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carlosjouanne/Downloads/"/>
    </mc:Choice>
  </mc:AlternateContent>
  <xr:revisionPtr revIDLastSave="0" documentId="13_ncr:1_{96342904-5990-2A48-A678-E4A2246B64F0}" xr6:coauthVersionLast="47" xr6:coauthVersionMax="47" xr10:uidLastSave="{00000000-0000-0000-0000-000000000000}"/>
  <bookViews>
    <workbookView xWindow="0" yWindow="760" windowWidth="34560" windowHeight="20440" activeTab="2" xr2:uid="{00000000-000D-0000-FFFF-FFFF00000000}"/>
  </bookViews>
  <sheets>
    <sheet name="RESUMEN" sheetId="1" r:id="rId1"/>
    <sheet name="PLANILLA" sheetId="2" r:id="rId2"/>
    <sheet name="COMPANYX" sheetId="4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/iGfsP1IRp/ReBk+JFYwVfN+g/6hs4VRm+pNXzoPU/8="/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BD50" i="4"/>
  <c r="BC50" i="4"/>
  <c r="BD49" i="4"/>
  <c r="BC49" i="4"/>
  <c r="BE49" i="4" s="1"/>
  <c r="BF49" i="4" s="1"/>
  <c r="BD48" i="4"/>
  <c r="BC48" i="4"/>
  <c r="BD47" i="4"/>
  <c r="BC47" i="4"/>
  <c r="BD46" i="4"/>
  <c r="BC46" i="4"/>
  <c r="BD45" i="4"/>
  <c r="BC45" i="4"/>
  <c r="BD44" i="4"/>
  <c r="BC44" i="4"/>
  <c r="BE44" i="4" s="1"/>
  <c r="BF44" i="4" s="1"/>
  <c r="BD43" i="4"/>
  <c r="BC43" i="4"/>
  <c r="BE43" i="4" s="1"/>
  <c r="BF43" i="4" s="1"/>
  <c r="BD42" i="4"/>
  <c r="BC42" i="4"/>
  <c r="BD41" i="4"/>
  <c r="BC41" i="4"/>
  <c r="BD40" i="4"/>
  <c r="BC40" i="4"/>
  <c r="BD39" i="4"/>
  <c r="BC39" i="4"/>
  <c r="BD38" i="4"/>
  <c r="BC38" i="4"/>
  <c r="BE38" i="4" s="1"/>
  <c r="BF38" i="4" s="1"/>
  <c r="BD37" i="4"/>
  <c r="BC37" i="4"/>
  <c r="BE37" i="4" s="1"/>
  <c r="BF37" i="4" s="1"/>
  <c r="BD36" i="4"/>
  <c r="BC36" i="4"/>
  <c r="BD35" i="4"/>
  <c r="BC35" i="4"/>
  <c r="BD34" i="4"/>
  <c r="BC34" i="4"/>
  <c r="BD33" i="4"/>
  <c r="BC33" i="4"/>
  <c r="BD32" i="4"/>
  <c r="BC32" i="4"/>
  <c r="BE32" i="4" s="1"/>
  <c r="BF32" i="4" s="1"/>
  <c r="BD31" i="4"/>
  <c r="BC31" i="4"/>
  <c r="BE31" i="4" s="1"/>
  <c r="BF31" i="4" s="1"/>
  <c r="BD30" i="4"/>
  <c r="BC30" i="4"/>
  <c r="BD29" i="4"/>
  <c r="BC29" i="4"/>
  <c r="BD28" i="4"/>
  <c r="BC28" i="4"/>
  <c r="BD27" i="4"/>
  <c r="BC27" i="4"/>
  <c r="BD26" i="4"/>
  <c r="BC26" i="4"/>
  <c r="BD25" i="4"/>
  <c r="BC25" i="4"/>
  <c r="BD24" i="4"/>
  <c r="BC24" i="4"/>
  <c r="BD23" i="4"/>
  <c r="BC23" i="4"/>
  <c r="BE23" i="4" s="1"/>
  <c r="BF23" i="4" s="1"/>
  <c r="BD22" i="4"/>
  <c r="BC22" i="4"/>
  <c r="BD21" i="4"/>
  <c r="BC21" i="4"/>
  <c r="BD20" i="4"/>
  <c r="BC20" i="4"/>
  <c r="BD19" i="4"/>
  <c r="BC19" i="4"/>
  <c r="BD18" i="4"/>
  <c r="BC18" i="4"/>
  <c r="BD17" i="4"/>
  <c r="BC17" i="4"/>
  <c r="BD16" i="4"/>
  <c r="BC16" i="4"/>
  <c r="BD15" i="4"/>
  <c r="BC15" i="4"/>
  <c r="BD14" i="4"/>
  <c r="BC14" i="4"/>
  <c r="BD13" i="4"/>
  <c r="BC13" i="4"/>
  <c r="BD12" i="4"/>
  <c r="BC12" i="4"/>
  <c r="BD11" i="4"/>
  <c r="BC11" i="4"/>
  <c r="BD10" i="4"/>
  <c r="BC10" i="4"/>
  <c r="BD9" i="4"/>
  <c r="BC9" i="4"/>
  <c r="BD8" i="4"/>
  <c r="BC8" i="4"/>
  <c r="BD7" i="4"/>
  <c r="BC7" i="4"/>
  <c r="BD6" i="4"/>
  <c r="BC6" i="4"/>
  <c r="BD5" i="4"/>
  <c r="BC5" i="4"/>
  <c r="BD4" i="4"/>
  <c r="BC4" i="4"/>
  <c r="BD3" i="4"/>
  <c r="BC3" i="4"/>
  <c r="BD2" i="4"/>
  <c r="BC2" i="4"/>
  <c r="BE2" i="4" s="1"/>
  <c r="BF2" i="4" s="1"/>
  <c r="H6" i="2"/>
  <c r="G6" i="2"/>
  <c r="F6" i="2"/>
  <c r="E6" i="2"/>
  <c r="D6" i="2"/>
  <c r="C6" i="2"/>
  <c r="B6" i="2"/>
  <c r="I5" i="2"/>
  <c r="I4" i="2"/>
  <c r="I6" i="2" s="1"/>
  <c r="BE5" i="4" l="1"/>
  <c r="BF5" i="4" s="1"/>
  <c r="BE11" i="4"/>
  <c r="BF11" i="4" s="1"/>
  <c r="BE41" i="4"/>
  <c r="BF41" i="4" s="1"/>
  <c r="BE33" i="4"/>
  <c r="BF33" i="4" s="1"/>
  <c r="BE39" i="4"/>
  <c r="BF39" i="4" s="1"/>
  <c r="BE45" i="4"/>
  <c r="BF45" i="4" s="1"/>
  <c r="BE17" i="4"/>
  <c r="BF17" i="4" s="1"/>
  <c r="BE50" i="4"/>
  <c r="BF50" i="4" s="1"/>
  <c r="BE25" i="4"/>
  <c r="BF25" i="4" s="1"/>
  <c r="BE3" i="4"/>
  <c r="BF3" i="4" s="1"/>
  <c r="BE9" i="4"/>
  <c r="BF9" i="4" s="1"/>
  <c r="BE15" i="4"/>
  <c r="BF15" i="4" s="1"/>
  <c r="BE21" i="4"/>
  <c r="BF21" i="4" s="1"/>
  <c r="BE27" i="4"/>
  <c r="BF27" i="4" s="1"/>
  <c r="BE10" i="4"/>
  <c r="BF10" i="4" s="1"/>
  <c r="BE16" i="4"/>
  <c r="BF16" i="4" s="1"/>
  <c r="BE22" i="4"/>
  <c r="BF22" i="4" s="1"/>
  <c r="BE28" i="4"/>
  <c r="BF28" i="4" s="1"/>
  <c r="BE34" i="4"/>
  <c r="BF34" i="4" s="1"/>
  <c r="BE40" i="4"/>
  <c r="BF40" i="4" s="1"/>
  <c r="BE46" i="4"/>
  <c r="BF46" i="4" s="1"/>
  <c r="BE6" i="4"/>
  <c r="BF6" i="4" s="1"/>
  <c r="BE12" i="4"/>
  <c r="BF12" i="4" s="1"/>
  <c r="BE18" i="4"/>
  <c r="BF18" i="4" s="1"/>
  <c r="BE26" i="4"/>
  <c r="BF26" i="4" s="1"/>
  <c r="BE7" i="4"/>
  <c r="BF7" i="4" s="1"/>
  <c r="BE13" i="4"/>
  <c r="BF13" i="4" s="1"/>
  <c r="BE19" i="4"/>
  <c r="BF19" i="4" s="1"/>
  <c r="BE29" i="4"/>
  <c r="BF29" i="4" s="1"/>
  <c r="BE35" i="4"/>
  <c r="BF35" i="4" s="1"/>
  <c r="BE47" i="4"/>
  <c r="BF47" i="4" s="1"/>
  <c r="BE4" i="4"/>
  <c r="BF4" i="4" s="1"/>
  <c r="BE8" i="4"/>
  <c r="BF8" i="4" s="1"/>
  <c r="BE14" i="4"/>
  <c r="BF14" i="4" s="1"/>
  <c r="BE20" i="4"/>
  <c r="BF20" i="4" s="1"/>
  <c r="BE24" i="4"/>
  <c r="BF24" i="4" s="1"/>
  <c r="BE30" i="4"/>
  <c r="BF30" i="4" s="1"/>
  <c r="BE36" i="4"/>
  <c r="BF36" i="4" s="1"/>
  <c r="BE42" i="4"/>
  <c r="BF42" i="4" s="1"/>
  <c r="BE48" i="4"/>
  <c r="BF48" i="4" s="1"/>
</calcChain>
</file>

<file path=xl/sharedStrings.xml><?xml version="1.0" encoding="utf-8"?>
<sst xmlns="http://schemas.openxmlformats.org/spreadsheetml/2006/main" count="2363" uniqueCount="140">
  <si>
    <t>Cuenta de CAMPAMENTO</t>
  </si>
  <si>
    <t>Area</t>
  </si>
  <si>
    <t>CAMPAMENTO</t>
  </si>
  <si>
    <t>FACILITY</t>
  </si>
  <si>
    <t>FOOD</t>
  </si>
  <si>
    <t>MANTENCION</t>
  </si>
  <si>
    <t>STAFF</t>
  </si>
  <si>
    <t>AREA</t>
  </si>
  <si>
    <t xml:space="preserve">TOTAL Inicio de Turno </t>
  </si>
  <si>
    <t>Subida Antiguo </t>
  </si>
  <si>
    <t>TELETRABAJO</t>
  </si>
  <si>
    <t>4X3</t>
  </si>
  <si>
    <t>Subida Nuevos</t>
  </si>
  <si>
    <t>Bajadas Nuevos</t>
  </si>
  <si>
    <t>Bajadas</t>
  </si>
  <si>
    <t>Total Fin de Turno</t>
  </si>
  <si>
    <t>MANTENCIÓN</t>
  </si>
  <si>
    <t>DOTACION TOTAL PRESENTE Aramark</t>
  </si>
  <si>
    <t>NOMBRE</t>
  </si>
  <si>
    <t>AUXILIAR DE CASINO B</t>
  </si>
  <si>
    <t>MAESTRO MANTENCION MENOR</t>
  </si>
  <si>
    <t>AUXILIAR ASEO Y HOTELERIA</t>
  </si>
  <si>
    <t>VACACIONES</t>
  </si>
  <si>
    <t>RECEPCIONISTA HOTELERO</t>
  </si>
  <si>
    <t>MAESTRO COCINA</t>
  </si>
  <si>
    <t>AYUDANTE</t>
  </si>
  <si>
    <t>RUT</t>
  </si>
  <si>
    <t xml:space="preserve">CARGO </t>
  </si>
  <si>
    <t>CC</t>
  </si>
  <si>
    <t>NOMBRE DE CC</t>
  </si>
  <si>
    <t>FECHA INGRESO</t>
  </si>
  <si>
    <t>FECHA DE FINIQUITO</t>
  </si>
  <si>
    <t>FECHA DE NAC</t>
  </si>
  <si>
    <t>SEXO</t>
  </si>
  <si>
    <t>CIUDAD</t>
  </si>
  <si>
    <t>SECTOR</t>
  </si>
  <si>
    <t xml:space="preserve">Turno </t>
  </si>
  <si>
    <t>MAESTRA 17-08-2023</t>
  </si>
  <si>
    <t>EXAMEN VENC</t>
  </si>
  <si>
    <t>OBSERVACIÓN EMBARAZO</t>
  </si>
  <si>
    <t>DIA</t>
  </si>
  <si>
    <t>NOCHE</t>
  </si>
  <si>
    <t>TOTAL</t>
  </si>
  <si>
    <t>HH</t>
  </si>
  <si>
    <t>ADMINISTRADOR DE MANTENCION</t>
  </si>
  <si>
    <t>MANTENIMIENTO MENOR QB2</t>
  </si>
  <si>
    <t>M</t>
  </si>
  <si>
    <t>ARICA</t>
  </si>
  <si>
    <t>NORTE</t>
  </si>
  <si>
    <t>10X10 B</t>
  </si>
  <si>
    <t>Contrato Vigente</t>
  </si>
  <si>
    <t>DESCANSO</t>
  </si>
  <si>
    <t>LM</t>
  </si>
  <si>
    <t>CHOFER CAMION</t>
  </si>
  <si>
    <t>ASEO Y HOTELERIA QB2</t>
  </si>
  <si>
    <t>SUR</t>
  </si>
  <si>
    <t>10x10 A</t>
  </si>
  <si>
    <t>JEFE OPERACIONES MANTENCIÓN</t>
  </si>
  <si>
    <t>4x3</t>
  </si>
  <si>
    <t>ALIMENTACIÓN CONCENTRADORA QB2</t>
  </si>
  <si>
    <t>F</t>
  </si>
  <si>
    <t>ALTO HOSPICIO</t>
  </si>
  <si>
    <t xml:space="preserve">VACACIONES </t>
  </si>
  <si>
    <t>AYUDANTE BODEGA</t>
  </si>
  <si>
    <t>OVALLE</t>
  </si>
  <si>
    <t>FINIQUITADO</t>
  </si>
  <si>
    <t>IQUIQUE</t>
  </si>
  <si>
    <t>10x10 B</t>
  </si>
  <si>
    <t>VERIFICAR</t>
  </si>
  <si>
    <t>ALIMENTACION TAMBO Y EXTENSION TAMBO QB2</t>
  </si>
  <si>
    <t>COQUIMBO</t>
  </si>
  <si>
    <t>SUPERVISOR HOTELERO</t>
  </si>
  <si>
    <t>INASISTENTE</t>
  </si>
  <si>
    <t>EMBARAZADA</t>
  </si>
  <si>
    <t>POZO ALMONTE</t>
  </si>
  <si>
    <t>AUXILIAR DE RECEPCION</t>
  </si>
  <si>
    <t>LA SERENA</t>
  </si>
  <si>
    <t>ADMINISTRATIVO FAENA</t>
  </si>
  <si>
    <t>ENCARGADO DE KIOSKO</t>
  </si>
  <si>
    <t>RETAIL QB2</t>
  </si>
  <si>
    <t>JEFE DE LOGISTICA INTEGRAL</t>
  </si>
  <si>
    <t>PICA</t>
  </si>
  <si>
    <t>JEFE FINANCIERO</t>
  </si>
  <si>
    <t>FUERO MATERNAL</t>
  </si>
  <si>
    <t>SUPERVISOR DE COMEDOR</t>
  </si>
  <si>
    <t>COPIAPO</t>
  </si>
  <si>
    <t>EXPERTO PREV. RIESGOS</t>
  </si>
  <si>
    <t>COMBARBALA</t>
  </si>
  <si>
    <t>QUILPUE</t>
  </si>
  <si>
    <t>Total general</t>
  </si>
  <si>
    <t>UNIDAD1</t>
  </si>
  <si>
    <t>Perez, JUAN</t>
  </si>
  <si>
    <t>ACUÑA,  FERNANDO</t>
  </si>
  <si>
    <t>ULLOA,ANDRES</t>
  </si>
  <si>
    <t>QUISPE, GABRIELA</t>
  </si>
  <si>
    <t>CATALDO, PABLO</t>
  </si>
  <si>
    <t>CACERES, CARMEN</t>
  </si>
  <si>
    <t>HURTADO, PAULA</t>
  </si>
  <si>
    <t>AGUILERA., PEDRO</t>
  </si>
  <si>
    <t>ALANOCA, FELIPE</t>
  </si>
  <si>
    <t>TORRES, LIDIA</t>
  </si>
  <si>
    <t>MONTAÑO, LIDIA</t>
  </si>
  <si>
    <t>LOPEZ, MARIA</t>
  </si>
  <si>
    <t>SALINAS, ROSA</t>
  </si>
  <si>
    <t>FERNANDEZ, SILVIA</t>
  </si>
  <si>
    <t>TORO, VICTOR</t>
  </si>
  <si>
    <t>MONTES, ANA</t>
  </si>
  <si>
    <t>GOZALEZ, CLAUDIA</t>
  </si>
  <si>
    <t>ASTORGA, RODRIGO</t>
  </si>
  <si>
    <t>ALVARADO, DANIELA</t>
  </si>
  <si>
    <t>ALVAREZ, OSCAR</t>
  </si>
  <si>
    <t>HENRIQUEZ, DANIELA</t>
  </si>
  <si>
    <t>ALVAREZ, EVA</t>
  </si>
  <si>
    <t>ALVAREZ,JOSÉ</t>
  </si>
  <si>
    <t>AMPUERO, JAEL</t>
  </si>
  <si>
    <t>PEREZ, ALEJANDRINA</t>
  </si>
  <si>
    <t>MONTAÑO, JAVIERA</t>
  </si>
  <si>
    <t>VERGARA, MARIA</t>
  </si>
  <si>
    <t>CORTES,  HERNAN</t>
  </si>
  <si>
    <t>FLORES, FRANCISCO</t>
  </si>
  <si>
    <t>FLORES CARLA</t>
  </si>
  <si>
    <t>HENRIQUEZ ISABEL</t>
  </si>
  <si>
    <t>VIDAL, ARTURO</t>
  </si>
  <si>
    <t>MEDEL, CARMEN</t>
  </si>
  <si>
    <t>MEDEL, JAHEL</t>
  </si>
  <si>
    <t>CONDR ELIAS</t>
  </si>
  <si>
    <t xml:space="preserve">CLAUDE, ROSARIO </t>
  </si>
  <si>
    <t>TAPIA, CARLOS</t>
  </si>
  <si>
    <t xml:space="preserve">ARAVENA, ALEJANDRO </t>
  </si>
  <si>
    <t>ARAVENA , MARIA</t>
  </si>
  <si>
    <t>ARAYA,EDUARDO</t>
  </si>
  <si>
    <t>ARAYA , LEJANDRO</t>
  </si>
  <si>
    <t>ARAYA, ENRIQUE</t>
  </si>
  <si>
    <t>VERA, JOAQUIN</t>
  </si>
  <si>
    <t>GONZALEZ, ALEXANDRA</t>
  </si>
  <si>
    <t>VILLARROEL, NATALIA</t>
  </si>
  <si>
    <t>ZUÑIGA, PATRICIO</t>
  </si>
  <si>
    <t>RIQUELME, ESTEBAN</t>
  </si>
  <si>
    <t>CASANOVA,BENJAMIN</t>
  </si>
  <si>
    <t>ARANCIBIA, 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</si>
</sst>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Aptos Narrow"/>
    </font>
    <font>
      <sz val="11"/>
      <color theme="1"/>
      <name val="Aptos Narrow"/>
    </font>
    <font>
      <b/>
      <sz val="11"/>
      <color rgb="FFFF0000"/>
      <name val="Aptos Narrow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6" fillId="0" borderId="0" xfId="0" applyFont="1"/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0" fontId="4" fillId="3" borderId="1" xfId="0" applyFont="1" applyFill="1" applyBorder="1"/>
    <xf numFmtId="0" fontId="7" fillId="0" borderId="0" xfId="0" applyFont="1"/>
    <xf numFmtId="0" fontId="7" fillId="0" borderId="1" xfId="0" applyFont="1" applyBorder="1"/>
    <xf numFmtId="14" fontId="4" fillId="3" borderId="1" xfId="0" applyNumberFormat="1" applyFont="1" applyFill="1" applyBorder="1" applyAlignment="1">
      <alignment horizontal="left"/>
    </xf>
    <xf numFmtId="14" fontId="5" fillId="3" borderId="1" xfId="0" applyNumberFormat="1" applyFont="1" applyFill="1" applyBorder="1" applyAlignment="1">
      <alignment horizontal="left"/>
    </xf>
    <xf numFmtId="0" fontId="8" fillId="0" borderId="0" xfId="0" applyFont="1"/>
    <xf numFmtId="0" fontId="4" fillId="3" borderId="1" xfId="0" quotePrefix="1" applyFont="1" applyFill="1" applyBorder="1" applyAlignment="1">
      <alignment horizontal="left"/>
    </xf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 vertical="center"/>
    </xf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50</xdr:row>
      <xdr:rowOff>0</xdr:rowOff>
    </xdr:from>
    <xdr:ext cx="161925" cy="161925"/>
    <xdr:sp macro="" textlink="">
      <xdr:nvSpPr>
        <xdr:cNvPr id="3" name="Shape 3" descr="https://mail.google.com/mail/u/0?ui=2&amp;ik=fcd91fcb91&amp;attid=0.0.1&amp;permmsgid=msg-f:1735255946241960254&amp;th=1814de16de22e93e&amp;view=fimg&amp;fur=ip&amp;sz=s0-l75-ft&amp;attbid=ANGjdJ-9Zakc45N1uOs1RVaa6erOdMUCmEr7mcn1FGnUP03iIAKvk__8yALVFb0BOu9dPhY1lVzl2wuMQ9_myqBYPr3xX7vOK2vZ9QFsnkAtRGKuUyhR_4Wx5Hql29I&amp;disp=emb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50</xdr:row>
      <xdr:rowOff>0</xdr:rowOff>
    </xdr:from>
    <xdr:ext cx="161925" cy="161925"/>
    <xdr:sp macro="" textlink="">
      <xdr:nvSpPr>
        <xdr:cNvPr id="2" name="Shape 3" descr="https://mail.google.com/mail/u/0?ui=2&amp;ik=fcd91fcb91&amp;attid=0.0.1&amp;permmsgid=msg-f:1735255946241960254&amp;th=1814de16de22e93e&amp;view=fimg&amp;fur=ip&amp;sz=s0-l75-ft&amp;attbid=ANGjdJ-9Zakc45N1uOs1RVaa6erOdMUCmEr7mcn1FGnUP03iIAKvk__8yALVFb0BOu9dPhY1lVzl2wuMQ9_myqBYPr3xX7vOK2vZ9QFsnkAtRGKuUyhR_4Wx5Hql29I&amp;disp=emb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arlos Jouanne" refreshedDate="45845.753695486113" refreshedVersion="8" recordCount="49" xr:uid="{00000000-000A-0000-FFFF-FFFF00000000}">
  <cacheSource type="worksheet">
    <worksheetSource ref="A1:BB50" sheet="COMPANYX"/>
  </cacheSource>
  <cacheFields count="54">
    <cacheField name="RUT" numFmtId="0">
      <sharedItems containsSemiMixedTypes="0" containsString="0" containsNumber="1" containsInteger="1" minValue="12000001" maxValue="12000049"/>
    </cacheField>
    <cacheField name="NOMBRE" numFmtId="0">
      <sharedItems/>
    </cacheField>
    <cacheField name="CARGO " numFmtId="0">
      <sharedItems/>
    </cacheField>
    <cacheField name="CC" numFmtId="0">
      <sharedItems containsSemiMixedTypes="0" containsString="0" containsNumber="1" containsInteger="1" minValue="62027" maxValue="84832"/>
    </cacheField>
    <cacheField name="NOMBRE DE CC" numFmtId="0">
      <sharedItems/>
    </cacheField>
    <cacheField name="FECHA INGRESO" numFmtId="14">
      <sharedItems containsSemiMixedTypes="0" containsNonDate="0" containsDate="1" containsString="0" minDate="2019-06-28T00:00:00" maxDate="2024-10-02T00:00:00"/>
    </cacheField>
    <cacheField name="FECHA DE FINIQUITO" numFmtId="0">
      <sharedItems containsNonDate="0" containsDate="1" containsString="0" containsBlank="1" minDate="2024-12-17T00:00:00" maxDate="2025-02-07T00:00:00"/>
    </cacheField>
    <cacheField name="FECHA DE NAC" numFmtId="14">
      <sharedItems containsSemiMixedTypes="0" containsNonDate="0" containsDate="1" containsString="0" minDate="1962-09-16T00:00:00" maxDate="2005-03-24T00:00:00"/>
    </cacheField>
    <cacheField name="SEXO" numFmtId="0">
      <sharedItems/>
    </cacheField>
    <cacheField name="CIUDAD" numFmtId="0">
      <sharedItems/>
    </cacheField>
    <cacheField name="SECTOR" numFmtId="0">
      <sharedItems/>
    </cacheField>
    <cacheField name="Turno " numFmtId="0">
      <sharedItems/>
    </cacheField>
    <cacheField name="Area" numFmtId="0">
      <sharedItems count="4">
        <s v="MANTENCION"/>
        <s v="STAFF"/>
        <s v="FOOD"/>
        <s v="FACILITY"/>
      </sharedItems>
    </cacheField>
    <cacheField name="CAMPAMENTO" numFmtId="0">
      <sharedItems count="3">
        <s v="UNIDAD1"/>
        <s v="PAQARI ANTAY" u="1"/>
        <s v="TAMBO" u="1"/>
      </sharedItems>
    </cacheField>
    <cacheField name="MAESTRA 17-08-2023" numFmtId="0">
      <sharedItems/>
    </cacheField>
    <cacheField name="EXAMEN VENC" numFmtId="0">
      <sharedItems containsDate="1" containsMixedTypes="1" minDate="2024-03-31T00:00:00" maxDate="2028-01-24T00:00:00"/>
    </cacheField>
    <cacheField name="OBSERVACIÓN EMBARAZO" numFmtId="0">
      <sharedItems containsBlank="1"/>
    </cacheField>
    <cacheField name="25-03-25" numFmtId="0">
      <sharedItems/>
    </cacheField>
    <cacheField name="26-03-25" numFmtId="0">
      <sharedItems/>
    </cacheField>
    <cacheField name="27-03-25" numFmtId="0">
      <sharedItems/>
    </cacheField>
    <cacheField name="28-03-25" numFmtId="0">
      <sharedItems/>
    </cacheField>
    <cacheField name="29-03-25" numFmtId="0">
      <sharedItems/>
    </cacheField>
    <cacheField name="30-03-25" numFmtId="0">
      <sharedItems/>
    </cacheField>
    <cacheField name="31-03-25" numFmtId="0">
      <sharedItems/>
    </cacheField>
    <cacheField name="01-04-25" numFmtId="0">
      <sharedItems/>
    </cacheField>
    <cacheField name="02-04-25" numFmtId="0">
      <sharedItems/>
    </cacheField>
    <cacheField name="03-04-25" numFmtId="0">
      <sharedItems/>
    </cacheField>
    <cacheField name="04-04-25" numFmtId="0">
      <sharedItems/>
    </cacheField>
    <cacheField name="05-04-25" numFmtId="0">
      <sharedItems/>
    </cacheField>
    <cacheField name="06-04-25" numFmtId="0">
      <sharedItems/>
    </cacheField>
    <cacheField name="07-04-25" numFmtId="0">
      <sharedItems/>
    </cacheField>
    <cacheField name="08-04-25" numFmtId="0">
      <sharedItems/>
    </cacheField>
    <cacheField name="09-04-25" numFmtId="0">
      <sharedItems/>
    </cacheField>
    <cacheField name="10-04-25" numFmtId="0">
      <sharedItems/>
    </cacheField>
    <cacheField name="11-04-25" numFmtId="0">
      <sharedItems/>
    </cacheField>
    <cacheField name="12-04-25" numFmtId="0">
      <sharedItems/>
    </cacheField>
    <cacheField name="13-04-25" numFmtId="0">
      <sharedItems/>
    </cacheField>
    <cacheField name="14-04-25" numFmtId="0">
      <sharedItems/>
    </cacheField>
    <cacheField name="15-04-25" numFmtId="0">
      <sharedItems/>
    </cacheField>
    <cacheField name="16-04-25" numFmtId="0">
      <sharedItems/>
    </cacheField>
    <cacheField name="17-04-25" numFmtId="0">
      <sharedItems/>
    </cacheField>
    <cacheField name="18-04-25" numFmtId="0">
      <sharedItems/>
    </cacheField>
    <cacheField name="19-04-25" numFmtId="0">
      <sharedItems/>
    </cacheField>
    <cacheField name="20-04-25" numFmtId="0">
      <sharedItems/>
    </cacheField>
    <cacheField name="21-04-25" numFmtId="0">
      <sharedItems/>
    </cacheField>
    <cacheField name="22-04-25" numFmtId="0">
      <sharedItems/>
    </cacheField>
    <cacheField name="23-04-25" numFmtId="0">
      <sharedItems/>
    </cacheField>
    <cacheField name="24-04-25" numFmtId="0">
      <sharedItems/>
    </cacheField>
    <cacheField name="25-04-25" numFmtId="0">
      <sharedItems/>
    </cacheField>
    <cacheField name="26-04-25" numFmtId="0">
      <sharedItems/>
    </cacheField>
    <cacheField name="27-04-25" numFmtId="0">
      <sharedItems/>
    </cacheField>
    <cacheField name="28-04-25" numFmtId="0">
      <sharedItems/>
    </cacheField>
    <cacheField name="29-04-25" numFmtId="0">
      <sharedItems/>
    </cacheField>
    <cacheField name="30-04-2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12000001"/>
    <s v="Perez, JUAN"/>
    <s v="ADMINISTRADOR DE MANTENCION"/>
    <n v="84832"/>
    <s v="MANTENIMIENTO MENOR QB2"/>
    <d v="2019-08-09T00:00:00"/>
    <m/>
    <d v="1976-12-17T00:00:00"/>
    <s v="M"/>
    <s v="ARICA"/>
    <s v="NORTE"/>
    <s v="10X10 B"/>
    <x v="0"/>
    <x v="0"/>
    <s v="Contrato Vigente"/>
    <d v="2025-09-20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02"/>
    <s v="ACUÑA,  FERNANDO"/>
    <s v="MAESTRO MANTENCION MENOR"/>
    <n v="84832"/>
    <s v="MANTENIMIENTO MENOR QB2"/>
    <d v="2020-12-18T00:00:00"/>
    <m/>
    <d v="1993-06-23T00:00:00"/>
    <s v="M"/>
    <s v="ARICA"/>
    <s v="NORTE"/>
    <s v="10X10 B"/>
    <x v="0"/>
    <x v="0"/>
    <s v="Contrato Vigente"/>
    <d v="2027-08-28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LM"/>
    <s v="LM"/>
    <s v="LM"/>
    <s v="LM"/>
    <s v="LM"/>
    <s v="LM"/>
    <s v="LM"/>
    <s v="LM"/>
    <s v="LM"/>
    <s v="LM"/>
    <s v="LM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03"/>
    <s v="ULLOA,ANDRES"/>
    <s v="JEFE OPERACIONES MANTENCIÓN"/>
    <n v="84832"/>
    <s v="MANTENIMIENTO MENOR QB2"/>
    <d v="2019-09-16T00:00:00"/>
    <m/>
    <d v="1975-09-09T00:00:00"/>
    <s v="M"/>
    <s v="ARICA"/>
    <s v="NORTE"/>
    <s v="4x3"/>
    <x v="1"/>
    <x v="0"/>
    <s v="Contrato Vigente"/>
    <d v="2025-10-30T00:00:00"/>
    <m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DESCANSO"/>
    <s v="LM"/>
    <s v="LM"/>
    <s v="LM"/>
    <s v="LM"/>
    <s v="LM"/>
    <s v="LM"/>
    <s v="LM"/>
    <s v="LM"/>
    <s v="LM"/>
    <s v="LM"/>
    <s v="LM"/>
    <s v="LM"/>
    <s v="LM"/>
    <s v="LM"/>
    <s v="LM"/>
    <s v="LM"/>
    <s v="LM"/>
  </r>
  <r>
    <n v="12000004"/>
    <s v="QUISPE, GABRIELA"/>
    <s v="AYUDANTE"/>
    <n v="62027"/>
    <s v="ALIMENTACIÓN CONCENTRADORA QB2"/>
    <d v="2019-06-28T00:00:00"/>
    <m/>
    <d v="1975-05-17T00:00:00"/>
    <s v="F"/>
    <s v="ALTO HOSPICIO"/>
    <s v="NORTE"/>
    <s v="10x10 A"/>
    <x v="2"/>
    <x v="0"/>
    <s v="Contrato Vigente"/>
    <d v="2025-07-31T00:00:00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VACACIONES "/>
    <s v="VACACIONES "/>
    <s v="VACACIONES "/>
    <s v="VACACIONES "/>
    <s v="VACACIONES "/>
    <s v="VACACIONES "/>
    <s v="VACACIONES"/>
    <s v="VACACIONES"/>
    <s v="VACACIONES"/>
    <s v="VACACIONES"/>
    <s v="VACACIONES"/>
    <s v="VACACIONES"/>
    <s v="VACACIONES"/>
  </r>
  <r>
    <n v="12000005"/>
    <s v="CATALDO, PABLO"/>
    <s v="AYUDANTE BODEGA"/>
    <n v="62027"/>
    <s v="ALIMENTACIÓN CONCENTRADORA QB2"/>
    <d v="2022-01-27T00:00:00"/>
    <m/>
    <d v="2003-11-17T00:00:00"/>
    <s v="M"/>
    <s v="ALTO HOSPICIO"/>
    <s v="NORTE"/>
    <s v="10X10 B"/>
    <x v="2"/>
    <x v="0"/>
    <s v="Contrato Vigente"/>
    <d v="2026-12-27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06"/>
    <s v="CACERES, CARMEN"/>
    <s v="AUXILIAR ASEO Y HOTELERIA"/>
    <n v="84831"/>
    <s v="ASEO Y HOTELERIA QB2"/>
    <d v="2021-09-01T00:00:00"/>
    <d v="2024-12-19T00:00:00"/>
    <d v="1969-04-14T00:00:00"/>
    <s v="F"/>
    <s v="OVALLE"/>
    <s v="SUR"/>
    <s v="10x10 A"/>
    <x v="3"/>
    <x v="0"/>
    <s v="Contrato Vigente"/>
    <s v="FINIQUITADO"/>
    <m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DESCANSO"/>
    <s v="FINIQUITADO"/>
    <s v="FINIQUITADO"/>
  </r>
  <r>
    <n v="12000007"/>
    <s v="HURTADO, PAULA"/>
    <s v="AYUDANTE"/>
    <n v="62027"/>
    <s v="ALIMENTACIÓN CONCENTRADORA QB2"/>
    <d v="2023-03-16T00:00:00"/>
    <d v="2024-12-19T00:00:00"/>
    <d v="1980-10-19T00:00:00"/>
    <s v="F"/>
    <s v="ALTO HOSPICIO"/>
    <s v="NORTE"/>
    <s v="10x10 A"/>
    <x v="2"/>
    <x v="0"/>
    <s v="Contrato Vigente"/>
    <d v="2026-01-26T00:00:00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</r>
  <r>
    <n v="12000008"/>
    <s v="AGUILERA., PEDRO"/>
    <s v="RECEPCIONISTA HOTELERO"/>
    <n v="84831"/>
    <s v="ASEO Y HOTELERIA QB2"/>
    <d v="2022-03-01T00:00:00"/>
    <d v="2024-12-19T00:00:00"/>
    <d v="1987-08-23T00:00:00"/>
    <s v="F"/>
    <s v="IQUIQUE"/>
    <s v="NORTE"/>
    <s v="10x10 A"/>
    <x v="3"/>
    <x v="0"/>
    <s v="Contrato Vigente"/>
    <d v="2026-01-18T00:00:00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  <s v="NOCHE"/>
    <s v="NOCHE"/>
    <s v="NOCHE"/>
    <s v="NOCHE"/>
    <s v="NOCHE"/>
    <s v="NOCHE"/>
    <s v="NOCHE"/>
    <s v="DESCANSO"/>
    <s v="DESCANSO"/>
    <s v="DESCANSO"/>
  </r>
  <r>
    <n v="12000009"/>
    <s v="ALANOCA, FELIPE"/>
    <s v="AYUDANTE"/>
    <n v="62027"/>
    <s v="ALIMENTACIÓN CONCENTRADORA QB2"/>
    <d v="2022-09-13T00:00:00"/>
    <d v="2024-12-17T00:00:00"/>
    <d v="1989-04-26T00:00:00"/>
    <s v="M"/>
    <s v="IQUIQUE"/>
    <s v="NORTE"/>
    <s v="10X10 B"/>
    <x v="2"/>
    <x v="0"/>
    <s v="Contrato Vigente"/>
    <d v="2026-08-29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10"/>
    <s v="TORRES, LIDIA"/>
    <s v="AUXILIAR ASEO Y HOTELERIA"/>
    <n v="84831"/>
    <s v="ASEO Y HOTELERIA QB2"/>
    <d v="2019-07-18T00:00:00"/>
    <d v="2024-12-18T00:00:00"/>
    <d v="1975-09-23T00:00:00"/>
    <s v="F"/>
    <s v="ALTO HOSPICIO"/>
    <s v="NORTE"/>
    <s v="10X10 B"/>
    <x v="3"/>
    <x v="0"/>
    <s v="Contrato Vigente"/>
    <d v="2025-08-24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11"/>
    <s v="MONTAÑO, LIDIA"/>
    <s v="AYUDANTE"/>
    <n v="62027"/>
    <s v="ALIMENTACIÓN CONCENTRADORA QB2"/>
    <d v="2023-05-26T00:00:00"/>
    <d v="2024-12-18T00:00:00"/>
    <d v="1998-07-04T00:00:00"/>
    <s v="F"/>
    <s v="ARICA"/>
    <s v="NORTE"/>
    <s v="10X10 B"/>
    <x v="2"/>
    <x v="0"/>
    <s v="Contrato Vigente"/>
    <d v="2027-04-24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  <s v="NOCHE"/>
    <s v="NOCHE"/>
    <s v="NOCHE"/>
    <s v="NOCHE"/>
    <s v="NOCHE"/>
    <s v="NOCHE"/>
    <s v="NOCHE"/>
    <s v="DESCANSO"/>
    <s v="DESCANSO"/>
    <s v="DESCANSO"/>
    <s v="DESCANSO"/>
    <s v="DESCANSO"/>
    <s v="DESCANSO"/>
    <s v="DESCANSO"/>
    <s v="DESCANSO"/>
    <s v="DESCANSO"/>
    <s v="DESCANSO"/>
    <s v="VACACIONES"/>
    <s v="VACACIONES"/>
    <s v="VACACIONES"/>
  </r>
  <r>
    <n v="12000012"/>
    <s v="LOPEZ, MARIA"/>
    <s v="AUXILIAR DE CASINO B"/>
    <n v="62027"/>
    <s v="ALIMENTACIÓN CONCENTRADORA QB2"/>
    <d v="2022-03-01T00:00:00"/>
    <m/>
    <d v="1994-06-15T00:00:00"/>
    <s v="F"/>
    <s v="ALTO HOSPICIO"/>
    <s v="NORTE"/>
    <s v="10x10 A"/>
    <x v="2"/>
    <x v="0"/>
    <s v="Contrato Vigente"/>
    <d v="2026-01-09T00:00:00"/>
    <m/>
    <s v="DESCANSO"/>
    <s v="DESCANSO"/>
    <s v="DESCANSO"/>
    <s v="DESCANSO"/>
    <s v="NOCHE"/>
    <s v="NOCHE"/>
    <s v="NOCHE"/>
    <s v="NOCHE"/>
    <s v="NOCHE"/>
    <s v="NOCHE"/>
    <s v="NOCHE"/>
    <s v="NOCHE"/>
    <s v="NOCHE"/>
    <s v="NOCHE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  <s v="NOCHE"/>
    <s v="NOCHE"/>
    <s v="NOCHE"/>
    <s v="NOCHE"/>
    <s v="NOCHE"/>
    <s v="NOCHE"/>
    <s v="NOCHE"/>
    <s v="DESCANSO"/>
    <s v="DESCANSO"/>
    <s v="DESCANSO"/>
  </r>
  <r>
    <n v="12000013"/>
    <s v="SALINAS, ROSA"/>
    <s v="AUXILIAR ASEO Y HOTELERIA"/>
    <n v="84831"/>
    <s v="ASEO Y HOTELERIA QB2"/>
    <d v="2023-03-03T00:00:00"/>
    <d v="2024-12-30T00:00:00"/>
    <d v="1976-08-30T00:00:00"/>
    <s v="F"/>
    <s v="ALTO HOSPICIO"/>
    <s v="NORTE"/>
    <s v="10X10 B"/>
    <x v="3"/>
    <x v="0"/>
    <s v="Contrato Vigente"/>
    <s v="FINIQUITADO"/>
    <m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</r>
  <r>
    <n v="12000014"/>
    <s v="FERNANDEZ, SILVIA"/>
    <s v="AUXILIAR ASEO Y HOTELERIA"/>
    <n v="84831"/>
    <s v="ASEO Y HOTELERIA QB2"/>
    <d v="2022-04-11T00:00:00"/>
    <m/>
    <d v="1991-01-25T00:00:00"/>
    <s v="F"/>
    <s v="ALTO HOSPICIO"/>
    <s v="NORTE"/>
    <s v="10X10 B"/>
    <x v="3"/>
    <x v="0"/>
    <s v="Contrato Vigente"/>
    <s v="VERIFICAR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15"/>
    <s v="TORO, VICTOR"/>
    <s v="AUXILIAR ASEO Y HOTELERIA"/>
    <n v="84831"/>
    <s v="ASEO Y HOTELERIA QB2"/>
    <d v="2023-11-23T00:00:00"/>
    <m/>
    <d v="1981-08-27T00:00:00"/>
    <s v="M"/>
    <s v="ARICA"/>
    <s v="NORTE"/>
    <s v="10x10 A"/>
    <x v="3"/>
    <x v="0"/>
    <s v="Contrato Vigente"/>
    <d v="2026-11-05T00:00:00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</r>
  <r>
    <n v="12000016"/>
    <s v="MONTES, ANA"/>
    <s v="AUXILIAR ASEO Y HOTELERIA"/>
    <n v="84831"/>
    <s v="ASEO Y HOTELERIA QB2"/>
    <d v="2022-12-29T00:00:00"/>
    <d v="2024-12-19T00:00:00"/>
    <d v="1995-11-04T00:00:00"/>
    <s v="F"/>
    <s v="ALTO HOSPICIO"/>
    <s v="NORTE"/>
    <s v="10x10 A"/>
    <x v="3"/>
    <x v="0"/>
    <s v="Contrato Vigente"/>
    <s v="FINIQUITADO"/>
    <m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</r>
  <r>
    <n v="12000017"/>
    <s v="GOZALEZ, CLAUDIA"/>
    <s v="AYUDANTE"/>
    <n v="62028"/>
    <s v="ALIMENTACION TAMBO Y EXTENSION TAMBO QB2"/>
    <d v="2023-03-27T00:00:00"/>
    <m/>
    <d v="1987-11-27T00:00:00"/>
    <s v="F"/>
    <s v="COQUIMBO"/>
    <s v="SUR"/>
    <s v="10X10 B"/>
    <x v="2"/>
    <x v="0"/>
    <s v="Contrato Vigente"/>
    <d v="2027-02-05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</r>
  <r>
    <n v="12000018"/>
    <s v="ASTORGA, RODRIGO"/>
    <s v="AUXILIAR DE CASINO B"/>
    <n v="62027"/>
    <s v="ALIMENTACIÓN CONCENTRADORA QB2"/>
    <d v="2021-07-26T00:00:00"/>
    <m/>
    <d v="1999-08-16T00:00:00"/>
    <s v="M"/>
    <s v="ARICA"/>
    <s v="NORTE"/>
    <s v="10X10 B"/>
    <x v="2"/>
    <x v="0"/>
    <s v="Contrato Vigente"/>
    <d v="2025-05-26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19"/>
    <s v="ALVARADO, DANIELA"/>
    <s v="SUPERVISOR HOTELERO"/>
    <n v="84831"/>
    <s v="ASEO Y HOTELERIA QB2"/>
    <d v="2019-07-17T00:00:00"/>
    <d v="2025-01-28T00:00:00"/>
    <d v="1984-01-09T00:00:00"/>
    <s v="F"/>
    <s v="ARICA"/>
    <s v="NORTE"/>
    <s v="10x10 A"/>
    <x v="3"/>
    <x v="0"/>
    <s v="Contrato Vigente"/>
    <s v="FINIQUITADO"/>
    <m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</r>
  <r>
    <n v="12000020"/>
    <s v="ALVAREZ, OSCAR"/>
    <s v="MAESTRO COCINA"/>
    <n v="62027"/>
    <s v="ALIMENTACIÓN CONCENTRADORA QB2"/>
    <d v="2021-12-28T00:00:00"/>
    <m/>
    <d v="1967-09-15T00:00:00"/>
    <s v="M"/>
    <s v="OVALLE"/>
    <s v="SUR"/>
    <s v="10x10 A"/>
    <x v="2"/>
    <x v="0"/>
    <s v="Contrato Vigente"/>
    <d v="2025-09-24T00:00:00"/>
    <m/>
    <s v="DESCANSO"/>
    <s v="DESCANSO"/>
    <s v="DESCANSO"/>
    <s v="DESCANSO"/>
    <s v="INASISTENTE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</r>
  <r>
    <n v="12000021"/>
    <s v="HENRIQUEZ, DANIELA"/>
    <s v="AUXILIAR DE CASINO B"/>
    <n v="62027"/>
    <s v="ALIMENTACIÓN CONCENTRADORA QB2"/>
    <d v="2023-04-26T00:00:00"/>
    <m/>
    <d v="1998-12-09T00:00:00"/>
    <s v="F"/>
    <s v="IQUIQUE"/>
    <s v="NORTE"/>
    <s v="10x10 A"/>
    <x v="2"/>
    <x v="0"/>
    <s v="Contrato Vigente"/>
    <d v="2024-03-31T00:00:00"/>
    <s v="EMBARAZADA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</r>
  <r>
    <n v="12000022"/>
    <s v="ALVAREZ, EVA"/>
    <s v="AUXILIAR ASEO Y HOTELERIA"/>
    <n v="84831"/>
    <s v="ASEO Y HOTELERIA QB2"/>
    <d v="2020-08-18T00:00:00"/>
    <d v="2024-12-19T00:00:00"/>
    <d v="1984-03-14T00:00:00"/>
    <s v="F"/>
    <s v="POZO ALMONTE"/>
    <s v="NORTE"/>
    <s v="10x10 A"/>
    <x v="3"/>
    <x v="0"/>
    <s v="Contrato Vigente"/>
    <s v="FINIQUITADO"/>
    <m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</r>
  <r>
    <n v="12000023"/>
    <s v="ALVAREZ,JOSÉ"/>
    <s v="AUXILIAR DE RECEPCION"/>
    <n v="62027"/>
    <s v="ALIMENTACIÓN CONCENTRADORA QB2"/>
    <d v="2023-02-16T00:00:00"/>
    <d v="2025-02-03T00:00:00"/>
    <d v="1998-01-28T00:00:00"/>
    <s v="F"/>
    <s v="ALTO HOSPICIO"/>
    <s v="NORTE"/>
    <s v="10X10 B"/>
    <x v="2"/>
    <x v="0"/>
    <s v="Contrato Vigente"/>
    <d v="2027-01-16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VACACIONES"/>
    <s v="VACACIONES"/>
    <s v="VACACIONES"/>
  </r>
  <r>
    <n v="12000024"/>
    <s v="AMPUERO, JAEL"/>
    <s v="AUXILIAR DE CASINO B"/>
    <n v="62027"/>
    <s v="ALIMENTACIÓN CONCENTRADORA QB2"/>
    <d v="2023-06-06T00:00:00"/>
    <d v="2025-01-28T00:00:00"/>
    <d v="1972-09-10T00:00:00"/>
    <s v="F"/>
    <s v="IQUIQUE"/>
    <s v="NORTE"/>
    <s v="10x10 A"/>
    <x v="2"/>
    <x v="0"/>
    <s v="Contrato Vigente"/>
    <d v="2026-07-08T00:00:00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</r>
  <r>
    <n v="12000025"/>
    <s v="PEREZ, ALEJANDRINA"/>
    <s v="AUXILIAR ASEO Y HOTELERIA"/>
    <n v="84831"/>
    <s v="ASEO Y HOTELERIA QB2"/>
    <d v="2024-10-01T00:00:00"/>
    <d v="2025-01-28T00:00:00"/>
    <d v="1990-07-09T00:00:00"/>
    <s v="F"/>
    <s v="IQUIQUE"/>
    <s v="NORTE"/>
    <s v="10X10 B"/>
    <x v="3"/>
    <x v="0"/>
    <s v="Contrato Vigente"/>
    <s v="FINIQUITADO"/>
    <m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</r>
  <r>
    <n v="12000026"/>
    <s v="MONTAÑO, JAVIERA"/>
    <s v="AYUDANTE"/>
    <n v="62027"/>
    <s v="ALIMENTACIÓN CONCENTRADORA QB2"/>
    <d v="2022-03-21T00:00:00"/>
    <d v="2025-01-28T00:00:00"/>
    <d v="2001-07-15T00:00:00"/>
    <s v="F"/>
    <s v="ARICA"/>
    <s v="NORTE"/>
    <s v="10x10 A"/>
    <x v="2"/>
    <x v="0"/>
    <s v="Contrato Vigente"/>
    <s v="FINIQUITADO"/>
    <m/>
    <s v="LM"/>
    <s v="LM"/>
    <s v="LM"/>
    <s v="LM"/>
    <s v="LM"/>
    <s v="LM"/>
    <s v="LM"/>
    <s v="LM"/>
    <s v="LM"/>
    <s v="LM"/>
    <s v="VACACIONES"/>
    <s v="VACACIONES"/>
    <s v="VACACIONES"/>
    <s v="VACACIONES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  <s v="NOCHE"/>
    <s v="NOCHE"/>
    <s v="NOCHE"/>
    <s v="NOCHE"/>
    <s v="FINIQUITADO"/>
    <s v="FINIQUITADO"/>
    <s v="FINIQUITADO"/>
    <s v="FINIQUITADO"/>
    <s v="FINIQUITADO"/>
    <s v="FINIQUITADO"/>
  </r>
  <r>
    <n v="12000027"/>
    <s v="VERGARA, MARIA"/>
    <s v="AUXILIAR ASEO Y HOTELERIA"/>
    <n v="84831"/>
    <s v="ASEO Y HOTELERIA QB2"/>
    <d v="2021-08-05T00:00:00"/>
    <d v="2025-01-28T00:00:00"/>
    <d v="1989-06-23T00:00:00"/>
    <s v="F"/>
    <s v="LA SERENA"/>
    <s v="SUR"/>
    <s v="10X10 B"/>
    <x v="3"/>
    <x v="0"/>
    <s v="Contrato Vigente"/>
    <s v="FINIQUITADO"/>
    <m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</r>
  <r>
    <n v="12000028"/>
    <s v="CORTES,  HERNAN"/>
    <s v="AUXILIAR DE CASINO B"/>
    <n v="62027"/>
    <s v="ALIMENTACIÓN CONCENTRADORA QB2"/>
    <d v="2023-02-05T00:00:00"/>
    <d v="2025-01-28T00:00:00"/>
    <d v="1987-07-21T00:00:00"/>
    <s v="M"/>
    <s v="COQUIMBO"/>
    <s v="SUR"/>
    <s v="10x10 A"/>
    <x v="2"/>
    <x v="0"/>
    <s v="Contrato Vigente"/>
    <d v="2026-11-06T00:00:00"/>
    <m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</r>
  <r>
    <n v="12000029"/>
    <s v="FLORES, FRANCISCO"/>
    <s v="ADMINISTRATIVO FAENA"/>
    <n v="62027"/>
    <s v="ALIMENTACIÓN CONCENTRADORA QB2"/>
    <d v="2020-12-14T00:00:00"/>
    <d v="2025-01-28T00:00:00"/>
    <d v="1987-09-19T00:00:00"/>
    <s v="M"/>
    <s v="ARICA"/>
    <s v="NORTE"/>
    <s v="10X10 B"/>
    <x v="1"/>
    <x v="0"/>
    <s v="Contrato Vigente"/>
    <d v="2027-10-23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30"/>
    <s v="FLORES CARLA"/>
    <s v="ENCARGADO DE KIOSKO"/>
    <n v="62030"/>
    <s v="RETAIL QB2"/>
    <d v="2022-04-01T00:00:00"/>
    <d v="2025-01-28T00:00:00"/>
    <d v="2002-04-17T00:00:00"/>
    <s v="F"/>
    <s v="IQUIQUE"/>
    <s v="NORTE"/>
    <s v="10X10 B"/>
    <x v="2"/>
    <x v="0"/>
    <s v="Contrato Vigente"/>
    <d v="2026-02-14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VACACIONES"/>
    <s v="VACACIONES"/>
    <s v="VACACIONES"/>
    <s v="VACACIONES"/>
    <s v="VACACIONES"/>
    <s v="VACACIONES"/>
    <s v="VACACIONES"/>
    <s v="VACACIONES"/>
    <s v="VACACIONES"/>
    <s v="VACACIONES"/>
    <s v="VACACIONES "/>
    <s v="VACACIONES "/>
    <s v="VACACIONES "/>
    <s v="VACACIONES "/>
    <s v="VACACIONES "/>
    <s v="DESCANSO"/>
    <s v="DESCANSO"/>
    <s v="DESCANSO"/>
    <s v="DESCANSO"/>
    <s v="DESCANSO"/>
    <s v="VACACIONES"/>
    <s v="DIA"/>
    <s v="DIA"/>
  </r>
  <r>
    <n v="12000031"/>
    <s v="HENRIQUEZ ISABEL"/>
    <s v="AUXILIAR ASEO Y HOTELERIA"/>
    <n v="84831"/>
    <s v="ASEO Y HOTELERIA QB2"/>
    <d v="2023-06-04T00:00:00"/>
    <d v="2025-01-28T00:00:00"/>
    <d v="1985-04-09T00:00:00"/>
    <s v="F"/>
    <s v="ARICA"/>
    <s v="NORTE"/>
    <s v="10x10 A"/>
    <x v="3"/>
    <x v="0"/>
    <s v="Contrato Vigente"/>
    <d v="2027-05-20T00:00:00"/>
    <m/>
    <s v="DESCANSO"/>
    <s v="DESCANSO"/>
    <s v="DESCANSO"/>
    <s v="DESCANSO"/>
    <s v="NOCHE"/>
    <s v="NOCHE"/>
    <s v="NOCHE"/>
    <s v="NOCHE"/>
    <s v="NOCHE"/>
    <s v="NOCHE"/>
    <s v="NOCHE"/>
    <s v="NOCHE"/>
    <s v="NOCHE"/>
    <s v="NOCHE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  <s v="NOCHE"/>
    <s v="NOCHE"/>
    <s v="NOCHE"/>
    <s v="NOCHE"/>
    <s v="NOCHE"/>
    <s v="NOCHE"/>
    <s v="NOCHE"/>
    <s v="DESCANSO"/>
    <s v="DESCANSO"/>
    <s v="DESCANSO"/>
  </r>
  <r>
    <n v="12000032"/>
    <s v="VIDAL, ARTURO"/>
    <s v="AYUDANTE"/>
    <n v="62028"/>
    <s v="ALIMENTACION TAMBO Y EXTENSION TAMBO QB2"/>
    <d v="2024-02-11T00:00:00"/>
    <d v="2025-02-03T00:00:00"/>
    <d v="1996-12-10T00:00:00"/>
    <s v="M"/>
    <s v="ARICA"/>
    <s v="NORTE"/>
    <s v="10X10 B"/>
    <x v="2"/>
    <x v="0"/>
    <s v="Contrato Vigente"/>
    <s v="FINIQUITADO"/>
    <m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</r>
  <r>
    <n v="12000033"/>
    <s v="MEDEL, CARMEN"/>
    <s v="JEFE DE LOGISTICA INTEGRAL"/>
    <n v="62027"/>
    <s v="ALIMENTACIÓN CONCENTRADORA QB2"/>
    <d v="2024-02-11T00:00:00"/>
    <d v="2025-01-28T00:00:00"/>
    <d v="1990-02-22T00:00:00"/>
    <s v="F"/>
    <s v="PICA"/>
    <s v="NORTE"/>
    <s v="4x3"/>
    <x v="1"/>
    <x v="0"/>
    <s v="Contrato Vigente"/>
    <d v="2027-09-06T00:00:00"/>
    <m/>
    <s v="DIA"/>
    <s v="DIA"/>
    <s v="DIA"/>
    <s v="DESCANSO"/>
    <s v="DESCANSO"/>
    <s v="DESCANSO"/>
    <s v="DIA"/>
    <s v="DIA"/>
    <s v="DIA"/>
    <s v="DIA"/>
    <s v="DESCANSO"/>
    <s v="DESCANSO"/>
    <s v="DESCANSO"/>
    <s v="DESCANSO"/>
    <s v="DIA"/>
    <s v="DIA"/>
    <s v="DIA"/>
    <s v="DESCANSO"/>
    <s v="DESCANSO"/>
    <s v="DESCANSO"/>
    <s v="DIA"/>
    <s v="DIA"/>
    <s v="DIA"/>
    <s v="DIA"/>
    <s v="DESCANSO"/>
    <s v="DESCANSO"/>
    <s v="DESCANSO"/>
    <s v="DIA"/>
    <s v="DIA"/>
    <s v="DIA"/>
    <s v="DIA"/>
    <s v="DESCANSO"/>
    <s v="DESCANSO"/>
    <s v="DESCANSO"/>
    <s v="DIA"/>
    <s v="DIA"/>
    <s v="DIA"/>
  </r>
  <r>
    <n v="12000034"/>
    <s v="MEDEL, JAHEL"/>
    <s v="AUXILIAR DE CASINO B"/>
    <n v="62027"/>
    <s v="ALIMENTACIÓN CONCENTRADORA QB2"/>
    <d v="2024-02-11T00:00:00"/>
    <d v="2025-01-28T00:00:00"/>
    <d v="1985-01-08T00:00:00"/>
    <s v="F"/>
    <s v="ALTO HOSPICIO"/>
    <s v="NORTE"/>
    <s v="10X10 B"/>
    <x v="2"/>
    <x v="0"/>
    <s v="Contrato Vigente"/>
    <d v="2026-09-20T00:00:00"/>
    <m/>
    <s v="NOCHE"/>
    <s v="NOCHE"/>
    <s v="NOCHE"/>
    <s v="NOCHE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  <s v="NOCHE"/>
    <s v="NOCHE"/>
    <s v="NOCHE"/>
    <s v="NOCHE"/>
    <s v="NOCHE"/>
    <s v="NOCHE"/>
    <s v="NOCHE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</r>
  <r>
    <n v="12000035"/>
    <s v="CONDR ELIAS"/>
    <s v="AUXILIAR ASEO Y HOTELERIA"/>
    <n v="84831"/>
    <s v="ASEO Y HOTELERIA QB2"/>
    <d v="2023-12-24T00:00:00"/>
    <d v="2025-01-28T00:00:00"/>
    <d v="1994-09-10T00:00:00"/>
    <s v="F"/>
    <s v="IQUIQUE"/>
    <s v="NORTE"/>
    <s v="10x10 A"/>
    <x v="3"/>
    <x v="0"/>
    <s v="Contrato Vigente"/>
    <d v="2025-12-14T00:00:00"/>
    <m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</r>
  <r>
    <n v="12000036"/>
    <s v="CLAUDE, ROSARIO "/>
    <s v="AUXILIAR DE RECEPCION"/>
    <n v="62028"/>
    <s v="ALIMENTACION TAMBO Y EXTENSION TAMBO QB2"/>
    <d v="2021-10-20T00:00:00"/>
    <d v="2025-01-28T00:00:00"/>
    <d v="1986-04-30T00:00:00"/>
    <s v="F"/>
    <s v="ALTO HOSPICIO"/>
    <s v="NORTE"/>
    <s v="10X10 B"/>
    <x v="2"/>
    <x v="0"/>
    <s v="Contrato Vigente"/>
    <d v="2026-09-20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  <s v="NOCHE"/>
    <s v="NOCHE"/>
    <s v="NOCHE"/>
    <s v="NOCHE"/>
    <s v="NOCHE"/>
    <s v="NOCHE"/>
    <s v="NOCHE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</r>
  <r>
    <n v="12000037"/>
    <s v="TAPIA, CARLOS"/>
    <s v="JEFE FINANCIERO"/>
    <n v="62027"/>
    <s v="ALIMENTACIÓN CONCENTRADORA QB2"/>
    <d v="2019-08-05T00:00:00"/>
    <d v="2025-01-28T00:00:00"/>
    <d v="1984-08-28T00:00:00"/>
    <s v="M"/>
    <s v="ARICA"/>
    <s v="NORTE"/>
    <s v="4x3"/>
    <x v="1"/>
    <x v="0"/>
    <s v="Contrato Vigente"/>
    <d v="2026-10-06T00:00:00"/>
    <m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  <s v="DESCANSO"/>
  </r>
  <r>
    <n v="12000038"/>
    <s v="ARAVENA, ALEJANDRO "/>
    <s v="SUPERVISOR DE COMEDOR"/>
    <n v="62027"/>
    <s v="ALIMENTACIÓN CONCENTRADORA QB2"/>
    <d v="2022-06-10T00:00:00"/>
    <d v="2025-01-28T00:00:00"/>
    <d v="1984-12-21T00:00:00"/>
    <s v="M"/>
    <s v="COPIAPO"/>
    <s v="SUR"/>
    <s v="10x10 A"/>
    <x v="2"/>
    <x v="0"/>
    <s v="Contrato Vigente"/>
    <s v="EMBARAZADA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  <s v="NOCHE"/>
    <s v="NOCHE"/>
    <s v="NOCHE"/>
    <s v="NOCHE"/>
    <s v="NOCHE"/>
    <s v="NOCHE"/>
    <s v="NOCHE"/>
    <s v="DESCANSO"/>
    <s v="DESCANSO"/>
    <s v="DESCANSO"/>
  </r>
  <r>
    <n v="12000039"/>
    <s v="ARAVENA , MARIA"/>
    <s v="ENCARGADO DE KIOSKO"/>
    <n v="62030"/>
    <s v="RETAIL QB2"/>
    <d v="2024-07-19T00:00:00"/>
    <d v="2025-01-28T00:00:00"/>
    <d v="2005-03-23T00:00:00"/>
    <s v="F"/>
    <s v="IQUIQUE"/>
    <s v="NORTE"/>
    <s v="10x10 A"/>
    <x v="2"/>
    <x v="0"/>
    <s v="Contrato Vigente"/>
    <s v="FUERO MATERNAL"/>
    <m/>
    <s v="DESCANSO"/>
    <s v="DESCANSO"/>
    <s v="DESCANSO"/>
    <s v="DESCANSO"/>
    <s v="LM"/>
    <s v="LM"/>
    <s v="LM"/>
    <s v="LM"/>
    <s v="LM"/>
    <s v="LM"/>
    <s v="LM"/>
    <s v="LM"/>
    <s v="LM"/>
    <s v="LM"/>
    <s v="LM"/>
    <s v="LM"/>
    <s v="LM"/>
    <s v="LM"/>
    <s v="DESCANSO"/>
    <s v="DESCANSO"/>
    <s v="DESCANSO"/>
    <s v="DESCANSO"/>
    <s v="DESCANSO"/>
    <s v="DESCANSO"/>
    <s v="LM"/>
    <s v="LM"/>
    <s v="LM"/>
    <s v="LM"/>
    <s v="LM"/>
    <s v="LM"/>
    <s v="LM"/>
    <s v="LM"/>
    <s v="LM"/>
    <s v="LM"/>
    <s v="LM"/>
    <s v="LM"/>
    <s v="LM"/>
  </r>
  <r>
    <n v="12000040"/>
    <s v="ARAYA,EDUARDO"/>
    <s v="AYUDANTE BODEGA"/>
    <n v="62027"/>
    <s v="ALIMENTACIÓN CONCENTRADORA QB2"/>
    <d v="2023-04-26T00:00:00"/>
    <d v="2025-01-28T00:00:00"/>
    <d v="1989-04-18T00:00:00"/>
    <s v="M"/>
    <s v="ALTO HOSPICIO"/>
    <s v="NORTE"/>
    <s v="10X10 B"/>
    <x v="2"/>
    <x v="0"/>
    <s v="Contrato Vigente"/>
    <d v="2027-02-07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41"/>
    <s v="ARAYA , LEJANDRO"/>
    <s v="EXPERTO PREV. RIESGOS"/>
    <n v="62027"/>
    <s v="ALIMENTACIÓN CONCENTRADORA QB2"/>
    <d v="2024-02-02T00:00:00"/>
    <d v="2025-02-06T00:00:00"/>
    <d v="1989-10-20T00:00:00"/>
    <s v="M"/>
    <s v="OVALLE"/>
    <s v="SUR"/>
    <s v="10x10 A"/>
    <x v="3"/>
    <x v="0"/>
    <s v="Contrato Vigente"/>
    <d v="2028-01-23T00:00:00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</r>
  <r>
    <n v="12000042"/>
    <s v="ARAYA, ENRIQUE"/>
    <s v="MAESTRO MANTENCION MENOR"/>
    <n v="84832"/>
    <s v="MANTENIMIENTO MENOR QB2"/>
    <d v="2021-03-03T00:00:00"/>
    <d v="2025-01-29T00:00:00"/>
    <d v="1962-09-16T00:00:00"/>
    <s v="M"/>
    <s v="COMBARBALA"/>
    <s v="SUR"/>
    <s v="10X10 B"/>
    <x v="0"/>
    <x v="0"/>
    <s v="Contrato Vigente"/>
    <d v="2025-12-02T00:00:00"/>
    <m/>
    <s v="LM"/>
    <s v="LM"/>
    <s v="LM"/>
    <s v="LM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NOCHE"/>
    <s v="NOCHE"/>
    <s v="NOCHE"/>
  </r>
  <r>
    <n v="12000043"/>
    <s v="GONZALEZ, ALEXANDRA"/>
    <s v="ENCARGADO DE KIOSKO"/>
    <n v="62030"/>
    <s v="RETAIL QB2"/>
    <d v="2022-05-20T00:00:00"/>
    <d v="2025-01-29T00:00:00"/>
    <d v="1995-08-25T00:00:00"/>
    <s v="F"/>
    <s v="IQUIQUE"/>
    <s v="NORTE"/>
    <s v="10x10 A"/>
    <x v="2"/>
    <x v="0"/>
    <s v="Contrato Vigente"/>
    <d v="2026-04-20T00:00:00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VACACIONES "/>
    <s v="VACACIONES "/>
    <s v="VACACIONES "/>
    <s v="VACACIONES "/>
    <s v="VACACIONES "/>
    <s v="VACACIONES "/>
    <s v="VACACIONES"/>
    <s v="VACACIONES"/>
    <s v="VACACIONES"/>
    <s v="VACACIONES"/>
    <s v="VACACIONES"/>
    <s v="VACACIONES"/>
    <s v="VACACIONES"/>
  </r>
  <r>
    <n v="12000044"/>
    <s v="VERA, JOAQUIN"/>
    <s v="AUXILIAR ASEO Y HOTELERIA"/>
    <n v="84831"/>
    <s v="ASEO Y HOTELERIA QB2"/>
    <d v="2021-09-10T00:00:00"/>
    <d v="2025-01-28T00:00:00"/>
    <d v="1992-09-02T00:00:00"/>
    <s v="M"/>
    <s v="ARICA"/>
    <s v="NORTE"/>
    <s v="10X10 B"/>
    <x v="3"/>
    <x v="0"/>
    <s v="Contrato Vigente"/>
    <d v="2025-08-19T00:00:00"/>
    <m/>
    <s v="INASISTENTE"/>
    <s v="INASISTENTE"/>
    <s v="INASISTENTE"/>
    <s v="INASISTENTE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45"/>
    <s v="VILLARROEL, NATALIA"/>
    <s v="AUXILIAR DE CASINO B"/>
    <n v="62027"/>
    <s v="ALIMENTACIÓN CONCENTRADORA QB2"/>
    <d v="2021-01-14T00:00:00"/>
    <d v="2025-01-28T00:00:00"/>
    <d v="1996-10-11T00:00:00"/>
    <s v="F"/>
    <s v="COQUIMBO"/>
    <s v="NORTE"/>
    <s v="10X10 B"/>
    <x v="2"/>
    <x v="0"/>
    <s v="Contrato Vigente"/>
    <d v="2024-12-20T00:00:00"/>
    <s v="FUERO MATERNAL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LM"/>
    <s v="DESCANSO"/>
    <s v="DESCANSO"/>
    <s v="LM"/>
    <s v="LM"/>
    <s v="LM"/>
    <s v="LM"/>
    <s v="LM"/>
    <s v="LM"/>
    <s v="LM"/>
    <s v="LM"/>
  </r>
  <r>
    <n v="12000046"/>
    <s v="ZUÑIGA, PATRICIO"/>
    <s v="AUXILIAR ASEO Y HOTELERIA"/>
    <n v="84831"/>
    <s v="ASEO Y HOTELERIA QB2"/>
    <d v="2021-09-24T00:00:00"/>
    <d v="2025-01-28T00:00:00"/>
    <d v="1992-09-03T00:00:00"/>
    <s v="M"/>
    <s v="ALTO HOSPICIO"/>
    <s v="NORTE"/>
    <s v="10x10 A"/>
    <x v="3"/>
    <x v="0"/>
    <s v="Contrato Vigente"/>
    <d v="2026-07-31T00:00:00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LM"/>
    <s v="LM"/>
    <s v="LM"/>
    <s v="LM"/>
    <s v="LM"/>
    <s v="LM"/>
    <s v="LM"/>
    <s v="LM"/>
    <s v="LM"/>
    <s v="LM"/>
    <s v="LM"/>
    <s v="LM"/>
    <s v="LM"/>
  </r>
  <r>
    <n v="12000047"/>
    <s v="RIQUELME, ESTEBAN"/>
    <s v="AYUDANTE"/>
    <n v="62027"/>
    <s v="ALIMENTACIÓN CONCENTRADORA QB2"/>
    <d v="2022-12-19T00:00:00"/>
    <d v="2025-01-28T00:00:00"/>
    <d v="2001-10-01T00:00:00"/>
    <s v="F"/>
    <s v="ALTO HOSPICIO"/>
    <s v="NORTE"/>
    <s v="10X10 B"/>
    <x v="2"/>
    <x v="0"/>
    <s v="Contrato Vigente"/>
    <d v="2026-10-30T00:00:00"/>
    <m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</r>
  <r>
    <n v="12000048"/>
    <s v="CASANOVA,BENJAMIN"/>
    <s v="CHOFER CAMION"/>
    <n v="84832"/>
    <s v="MANTENIMIENTO MENOR QB2"/>
    <d v="2024-01-02T00:00:00"/>
    <d v="2025-01-28T00:00:00"/>
    <d v="1992-03-03T00:00:00"/>
    <s v="M"/>
    <s v="IQUIQUE"/>
    <s v="NORTE"/>
    <s v="10x10 A"/>
    <x v="0"/>
    <x v="0"/>
    <s v="Contrato Vigente"/>
    <d v="2027-12-11T00:00:00"/>
    <m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  <s v="DESCANSO"/>
    <s v="DESCANSO"/>
    <s v="DESCANSO"/>
    <s v="DESCANSO"/>
    <s v="DESCANSO"/>
    <s v="DESCANSO"/>
    <s v="DESCANSO"/>
    <s v="DIA"/>
    <s v="DIA"/>
    <s v="DIA"/>
    <s v="DIA"/>
    <s v="DIA"/>
    <s v="DIA"/>
    <s v="DIA"/>
    <s v="DIA"/>
    <s v="DIA"/>
    <s v="DIA"/>
    <s v="DESCANSO"/>
    <s v="DESCANSO"/>
    <s v="DESCANSO"/>
  </r>
  <r>
    <n v="12000049"/>
    <s v="ARANCIBIA,  ANDRES"/>
    <s v="AYUDANTE"/>
    <n v="62027"/>
    <s v="ALIMENTACIÓN CONCENTRADORA QB2"/>
    <d v="2022-12-08T00:00:00"/>
    <d v="2025-01-28T00:00:00"/>
    <d v="1984-08-10T00:00:00"/>
    <s v="M"/>
    <s v="QUILPUE"/>
    <s v="SUR"/>
    <s v="10x10 A"/>
    <x v="2"/>
    <x v="0"/>
    <s v="Contrato Vigente"/>
    <s v="FINIQUITADO"/>
    <m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  <s v="FINIQUIT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RESUMEN" cacheId="5" applyNumberFormats="0" applyBorderFormats="0" applyFontFormats="0" applyPatternFormats="0" applyAlignmentFormats="0" applyWidthHeightFormats="0" dataCaption="" updatedVersion="8" compact="0" compactData="0">
  <location ref="A3:F6" firstHeaderRow="1" firstDataRow="2" firstDataCol="1"/>
  <pivotFields count="54">
    <pivotField name="RUT" compact="0" outline="0" multipleItemSelectionAllowed="1" showAll="0"/>
    <pivotField name="NOMBRE" compact="0" outline="0" multipleItemSelectionAllowed="1" showAll="0"/>
    <pivotField name="CARGO " compact="0" outline="0" multipleItemSelectionAllowed="1" showAll="0"/>
    <pivotField name="CC" compact="0" outline="0" multipleItemSelectionAllowed="1" showAll="0"/>
    <pivotField name="NOMBRE DE CC" compact="0" outline="0" multipleItemSelectionAllowed="1" showAll="0"/>
    <pivotField name="FECHA INGRESO" compact="0" numFmtId="14" outline="0" multipleItemSelectionAllowed="1" showAll="0"/>
    <pivotField name="FECHA DE FINIQUITO" compact="0" outline="0" multipleItemSelectionAllowed="1" showAll="0"/>
    <pivotField name="FECHA DE NAC" compact="0" numFmtId="14" outline="0" multipleItemSelectionAllowed="1" showAll="0"/>
    <pivotField name="SEXO" compact="0" outline="0" multipleItemSelectionAllowed="1" showAll="0"/>
    <pivotField name="CIUDAD" compact="0" outline="0" multipleItemSelectionAllowed="1" showAll="0"/>
    <pivotField name="SECTOR" compact="0" outline="0" multipleItemSelectionAllowed="1" showAll="0"/>
    <pivotField name="Turno " compact="0" outline="0" multipleItemSelectionAllowed="1" showAll="0"/>
    <pivotField name="Area" axis="axisCol" compact="0" outline="0" multipleItemSelectionAllowed="1" showAll="0" sortType="ascending">
      <items count="5">
        <item x="3"/>
        <item x="2"/>
        <item x="0"/>
        <item x="1"/>
        <item t="default"/>
      </items>
    </pivotField>
    <pivotField name="CAMPAMENTO" axis="axisRow" dataField="1" compact="0" outline="0" multipleItemSelectionAllowed="1" showAll="0" sortType="ascending">
      <items count="4">
        <item m="1" x="1"/>
        <item m="1" x="2"/>
        <item x="0"/>
        <item t="default"/>
      </items>
    </pivotField>
    <pivotField name="MAESTRA 17-08-2023" compact="0" outline="0" multipleItemSelectionAllowed="1" showAll="0"/>
    <pivotField name="EXAMEN VENC" compact="0" outline="0" multipleItemSelectionAllowed="1" showAll="0"/>
    <pivotField name="OBSERVACIÓN EMBARAZO" compact="0" outline="0" multipleItemSelectionAllowed="1" showAl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3"/>
  </rowFields>
  <rowItems count="2"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CAMPAMENTO" fld="1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A5" sqref="A5"/>
    </sheetView>
  </sheetViews>
  <sheetFormatPr baseColWidth="10" defaultColWidth="11.1640625" defaultRowHeight="15" customHeight="1" x14ac:dyDescent="0.2"/>
  <cols>
    <col min="1" max="1" width="22.5" customWidth="1"/>
    <col min="2" max="2" width="21.5" customWidth="1"/>
    <col min="3" max="3" width="6.1640625" customWidth="1"/>
    <col min="4" max="4" width="12.83203125" customWidth="1"/>
    <col min="5" max="5" width="6.33203125" customWidth="1"/>
    <col min="6" max="6" width="12" customWidth="1"/>
    <col min="7" max="26" width="10.5" customWidth="1"/>
  </cols>
  <sheetData>
    <row r="1" spans="1:6" ht="15.75" customHeight="1" x14ac:dyDescent="0.2">
      <c r="A1" s="1"/>
    </row>
    <row r="2" spans="1:6" ht="15.75" customHeight="1" x14ac:dyDescent="0.2">
      <c r="A2" s="2"/>
      <c r="B2" s="2"/>
    </row>
    <row r="3" spans="1:6" ht="15.75" customHeight="1" x14ac:dyDescent="0.2">
      <c r="A3" s="22" t="s">
        <v>0</v>
      </c>
      <c r="B3" s="22" t="s">
        <v>1</v>
      </c>
      <c r="C3" s="23"/>
      <c r="D3" s="23"/>
      <c r="E3" s="23"/>
      <c r="F3" s="24"/>
    </row>
    <row r="4" spans="1:6" ht="15.75" customHeight="1" x14ac:dyDescent="0.2">
      <c r="A4" s="22" t="s">
        <v>2</v>
      </c>
      <c r="B4" s="25" t="s">
        <v>3</v>
      </c>
      <c r="C4" s="26" t="s">
        <v>4</v>
      </c>
      <c r="D4" s="26" t="s">
        <v>5</v>
      </c>
      <c r="E4" s="26" t="s">
        <v>6</v>
      </c>
      <c r="F4" s="27" t="s">
        <v>89</v>
      </c>
    </row>
    <row r="5" spans="1:6" ht="15.75" customHeight="1" x14ac:dyDescent="0.2">
      <c r="A5" s="25" t="s">
        <v>90</v>
      </c>
      <c r="B5" s="32">
        <v>16</v>
      </c>
      <c r="C5" s="33">
        <v>25</v>
      </c>
      <c r="D5" s="33">
        <v>4</v>
      </c>
      <c r="E5" s="33">
        <v>4</v>
      </c>
      <c r="F5" s="34">
        <v>49</v>
      </c>
    </row>
    <row r="6" spans="1:6" ht="15.75" customHeight="1" x14ac:dyDescent="0.2">
      <c r="A6" s="28" t="s">
        <v>89</v>
      </c>
      <c r="B6" s="35">
        <v>16</v>
      </c>
      <c r="C6" s="36">
        <v>25</v>
      </c>
      <c r="D6" s="36">
        <v>4</v>
      </c>
      <c r="E6" s="36">
        <v>4</v>
      </c>
      <c r="F6" s="37">
        <v>49</v>
      </c>
    </row>
    <row r="7" spans="1:6" ht="15.75" customHeight="1" x14ac:dyDescent="0.2"/>
    <row r="8" spans="1:6" ht="15.75" customHeight="1" x14ac:dyDescent="0.2"/>
    <row r="9" spans="1:6" ht="15.75" customHeight="1" x14ac:dyDescent="0.2"/>
    <row r="10" spans="1:6" ht="15.75" customHeight="1" x14ac:dyDescent="0.2"/>
    <row r="11" spans="1:6" ht="15.75" customHeight="1" x14ac:dyDescent="0.2"/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1.1640625" defaultRowHeight="15" customHeight="1" x14ac:dyDescent="0.2"/>
  <cols>
    <col min="1" max="1" width="29.5" customWidth="1"/>
    <col min="2" max="2" width="18.33203125" customWidth="1"/>
    <col min="3" max="3" width="13.1640625" customWidth="1"/>
    <col min="4" max="4" width="11.33203125" customWidth="1"/>
    <col min="5" max="5" width="4.33203125" customWidth="1"/>
    <col min="6" max="6" width="12.33203125" customWidth="1"/>
    <col min="7" max="7" width="12.83203125" customWidth="1"/>
    <col min="8" max="8" width="10.5" customWidth="1"/>
    <col min="9" max="9" width="14.83203125" customWidth="1"/>
    <col min="10" max="26" width="10.5" customWidth="1"/>
  </cols>
  <sheetData>
    <row r="1" spans="1:9" ht="15.75" customHeight="1" x14ac:dyDescent="0.2">
      <c r="A1" s="3" t="s">
        <v>7</v>
      </c>
      <c r="B1" s="3" t="s">
        <v>8</v>
      </c>
      <c r="C1" s="3" t="s">
        <v>9</v>
      </c>
      <c r="D1" s="3" t="s">
        <v>10</v>
      </c>
      <c r="E1" s="4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 spans="1:9" ht="15.75" customHeight="1" x14ac:dyDescent="0.2">
      <c r="A2" s="3" t="s">
        <v>4</v>
      </c>
      <c r="B2" s="5">
        <v>102</v>
      </c>
      <c r="C2" s="5">
        <v>4</v>
      </c>
      <c r="D2" s="5"/>
      <c r="E2" s="5">
        <v>3</v>
      </c>
      <c r="F2" s="5"/>
      <c r="G2" s="5"/>
      <c r="H2" s="5">
        <v>4</v>
      </c>
      <c r="I2" s="4">
        <v>104</v>
      </c>
    </row>
    <row r="3" spans="1:9" ht="15.75" customHeight="1" x14ac:dyDescent="0.2">
      <c r="A3" s="3" t="s">
        <v>3</v>
      </c>
      <c r="B3" s="5">
        <v>79</v>
      </c>
      <c r="C3" s="5">
        <v>1</v>
      </c>
      <c r="D3" s="5"/>
      <c r="E3" s="5">
        <v>1</v>
      </c>
      <c r="F3" s="5"/>
      <c r="G3" s="5"/>
      <c r="H3" s="5">
        <v>1</v>
      </c>
      <c r="I3" s="4">
        <v>81</v>
      </c>
    </row>
    <row r="4" spans="1:9" ht="15.75" customHeight="1" x14ac:dyDescent="0.2">
      <c r="A4" s="3" t="s">
        <v>16</v>
      </c>
      <c r="B4" s="5">
        <v>18</v>
      </c>
      <c r="C4" s="5">
        <v>2</v>
      </c>
      <c r="D4" s="5"/>
      <c r="E4" s="5">
        <v>1</v>
      </c>
      <c r="F4" s="5"/>
      <c r="G4" s="5"/>
      <c r="H4" s="5"/>
      <c r="I4" s="4">
        <f t="shared" ref="I4:I5" si="0">B4+C4+D4++F4+G4+H4+E4</f>
        <v>21</v>
      </c>
    </row>
    <row r="5" spans="1:9" ht="15.75" customHeight="1" x14ac:dyDescent="0.2">
      <c r="A5" s="3" t="s">
        <v>6</v>
      </c>
      <c r="B5" s="5">
        <v>3</v>
      </c>
      <c r="C5" s="5"/>
      <c r="D5" s="5"/>
      <c r="E5" s="5">
        <v>14</v>
      </c>
      <c r="F5" s="5"/>
      <c r="G5" s="5"/>
      <c r="H5" s="5"/>
      <c r="I5" s="4">
        <f t="shared" si="0"/>
        <v>17</v>
      </c>
    </row>
    <row r="6" spans="1:9" ht="15.75" customHeight="1" x14ac:dyDescent="0.2">
      <c r="A6" s="3" t="s">
        <v>17</v>
      </c>
      <c r="B6" s="4">
        <f t="shared" ref="B6:I6" si="1">SUM(B2:B5)</f>
        <v>202</v>
      </c>
      <c r="C6" s="4">
        <f t="shared" si="1"/>
        <v>7</v>
      </c>
      <c r="D6" s="4">
        <f t="shared" si="1"/>
        <v>0</v>
      </c>
      <c r="E6" s="4">
        <f t="shared" si="1"/>
        <v>19</v>
      </c>
      <c r="F6" s="4">
        <f t="shared" si="1"/>
        <v>0</v>
      </c>
      <c r="G6" s="4">
        <f t="shared" si="1"/>
        <v>0</v>
      </c>
      <c r="H6" s="4">
        <f t="shared" si="1"/>
        <v>5</v>
      </c>
      <c r="I6" s="4">
        <f t="shared" si="1"/>
        <v>223</v>
      </c>
    </row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50"/>
  <sheetViews>
    <sheetView tabSelected="1" zoomScale="115" workbookViewId="0">
      <selection activeCell="L1" sqref="L1:L1048576"/>
    </sheetView>
  </sheetViews>
  <sheetFormatPr baseColWidth="10" defaultColWidth="11.1640625" defaultRowHeight="15" customHeight="1" x14ac:dyDescent="0.2"/>
  <cols>
    <col min="1" max="1" width="10.5" customWidth="1"/>
    <col min="2" max="2" width="37" customWidth="1"/>
    <col min="3" max="3" width="27.6640625" customWidth="1"/>
    <col min="4" max="4" width="11.1640625" customWidth="1"/>
    <col min="5" max="5" width="40" customWidth="1"/>
    <col min="6" max="6" width="10.83203125" customWidth="1"/>
    <col min="7" max="7" width="17" customWidth="1"/>
    <col min="8" max="8" width="14" customWidth="1"/>
    <col min="9" max="9" width="11.1640625" customWidth="1"/>
    <col min="10" max="10" width="13.83203125" customWidth="1"/>
    <col min="11" max="12" width="11.1640625" customWidth="1"/>
    <col min="13" max="13" width="14.6640625" customWidth="1"/>
    <col min="14" max="14" width="15.33203125" customWidth="1"/>
    <col min="15" max="15" width="11.1640625" customWidth="1"/>
    <col min="16" max="16" width="14.83203125" customWidth="1"/>
    <col min="17" max="17" width="29.1640625" customWidth="1"/>
    <col min="18" max="38" width="11.1640625" customWidth="1"/>
    <col min="39" max="47" width="11" customWidth="1"/>
    <col min="48" max="50" width="12" customWidth="1"/>
    <col min="51" max="51" width="12.1640625" customWidth="1"/>
    <col min="52" max="54" width="12" customWidth="1"/>
    <col min="55" max="59" width="10.5" customWidth="1"/>
  </cols>
  <sheetData>
    <row r="1" spans="1:59" ht="10.5" customHeight="1" x14ac:dyDescent="0.2">
      <c r="A1" s="3" t="s">
        <v>26</v>
      </c>
      <c r="B1" s="8" t="s">
        <v>18</v>
      </c>
      <c r="C1" s="8" t="s">
        <v>27</v>
      </c>
      <c r="D1" s="4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1</v>
      </c>
      <c r="N1" s="8" t="s">
        <v>2</v>
      </c>
      <c r="O1" s="8" t="s">
        <v>37</v>
      </c>
      <c r="P1" s="9" t="s">
        <v>38</v>
      </c>
      <c r="Q1" s="8" t="s">
        <v>39</v>
      </c>
      <c r="R1" s="10">
        <v>45741</v>
      </c>
      <c r="S1" s="10">
        <v>45742</v>
      </c>
      <c r="T1" s="10">
        <v>45743</v>
      </c>
      <c r="U1" s="10">
        <v>45744</v>
      </c>
      <c r="V1" s="10">
        <v>45745</v>
      </c>
      <c r="W1" s="10">
        <v>45746</v>
      </c>
      <c r="X1" s="10">
        <v>45747</v>
      </c>
      <c r="Y1" s="10">
        <v>45748</v>
      </c>
      <c r="Z1" s="10">
        <v>45749</v>
      </c>
      <c r="AA1" s="10">
        <v>45750</v>
      </c>
      <c r="AB1" s="10">
        <v>45751</v>
      </c>
      <c r="AC1" s="10">
        <v>45752</v>
      </c>
      <c r="AD1" s="10">
        <v>45753</v>
      </c>
      <c r="AE1" s="10">
        <v>45754</v>
      </c>
      <c r="AF1" s="10">
        <v>45755</v>
      </c>
      <c r="AG1" s="10">
        <v>45756</v>
      </c>
      <c r="AH1" s="10">
        <v>45757</v>
      </c>
      <c r="AI1" s="10">
        <v>45758</v>
      </c>
      <c r="AJ1" s="10">
        <v>45759</v>
      </c>
      <c r="AK1" s="10">
        <v>45760</v>
      </c>
      <c r="AL1" s="10">
        <v>45761</v>
      </c>
      <c r="AM1" s="10">
        <v>45762</v>
      </c>
      <c r="AN1" s="10">
        <v>45763</v>
      </c>
      <c r="AO1" s="10">
        <v>45764</v>
      </c>
      <c r="AP1" s="10">
        <v>45765</v>
      </c>
      <c r="AQ1" s="10">
        <v>45766</v>
      </c>
      <c r="AR1" s="10">
        <v>45767</v>
      </c>
      <c r="AS1" s="10">
        <v>45768</v>
      </c>
      <c r="AT1" s="10">
        <v>45769</v>
      </c>
      <c r="AU1" s="10">
        <v>45770</v>
      </c>
      <c r="AV1" s="10">
        <v>45771</v>
      </c>
      <c r="AW1" s="10">
        <v>45772</v>
      </c>
      <c r="AX1" s="10">
        <v>45773</v>
      </c>
      <c r="AY1" s="10">
        <v>45774</v>
      </c>
      <c r="AZ1" s="10">
        <v>45775</v>
      </c>
      <c r="BA1" s="10">
        <v>45776</v>
      </c>
      <c r="BB1" s="10">
        <v>45777</v>
      </c>
      <c r="BC1" s="3" t="s">
        <v>40</v>
      </c>
      <c r="BD1" s="3" t="s">
        <v>41</v>
      </c>
      <c r="BE1" s="3" t="s">
        <v>42</v>
      </c>
      <c r="BF1" s="3" t="s">
        <v>43</v>
      </c>
      <c r="BG1" s="11"/>
    </row>
    <row r="2" spans="1:59" ht="15.75" customHeight="1" x14ac:dyDescent="0.2">
      <c r="A2" s="29">
        <v>12000001</v>
      </c>
      <c r="B2" s="29" t="s">
        <v>91</v>
      </c>
      <c r="C2" s="6" t="s">
        <v>44</v>
      </c>
      <c r="D2" s="12">
        <v>84832</v>
      </c>
      <c r="E2" s="12" t="s">
        <v>45</v>
      </c>
      <c r="F2" s="13">
        <v>43686</v>
      </c>
      <c r="G2" s="12"/>
      <c r="H2" s="13">
        <v>28111</v>
      </c>
      <c r="I2" s="12" t="s">
        <v>46</v>
      </c>
      <c r="J2" s="12" t="s">
        <v>47</v>
      </c>
      <c r="K2" s="12" t="s">
        <v>48</v>
      </c>
      <c r="L2" s="6" t="s">
        <v>49</v>
      </c>
      <c r="M2" s="6" t="s">
        <v>5</v>
      </c>
      <c r="N2" s="29" t="s">
        <v>90</v>
      </c>
      <c r="O2" s="6" t="s">
        <v>50</v>
      </c>
      <c r="P2" s="14">
        <v>45920</v>
      </c>
      <c r="Q2" s="6"/>
      <c r="R2" s="6" t="s">
        <v>40</v>
      </c>
      <c r="S2" s="6" t="s">
        <v>40</v>
      </c>
      <c r="T2" s="6" t="s">
        <v>40</v>
      </c>
      <c r="U2" s="6" t="s">
        <v>40</v>
      </c>
      <c r="V2" s="6" t="s">
        <v>51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40</v>
      </c>
      <c r="AG2" s="6" t="s">
        <v>40</v>
      </c>
      <c r="AH2" s="6" t="s">
        <v>40</v>
      </c>
      <c r="AI2" s="6" t="s">
        <v>40</v>
      </c>
      <c r="AJ2" s="6" t="s">
        <v>40</v>
      </c>
      <c r="AK2" s="6" t="s">
        <v>40</v>
      </c>
      <c r="AL2" s="6" t="s">
        <v>40</v>
      </c>
      <c r="AM2" s="6" t="s">
        <v>40</v>
      </c>
      <c r="AN2" s="6" t="s">
        <v>40</v>
      </c>
      <c r="AO2" s="6" t="s">
        <v>40</v>
      </c>
      <c r="AP2" s="6" t="s">
        <v>51</v>
      </c>
      <c r="AQ2" s="6" t="s">
        <v>51</v>
      </c>
      <c r="AR2" s="6" t="s">
        <v>51</v>
      </c>
      <c r="AS2" s="6" t="s">
        <v>51</v>
      </c>
      <c r="AT2" s="6" t="s">
        <v>51</v>
      </c>
      <c r="AU2" s="6" t="s">
        <v>51</v>
      </c>
      <c r="AV2" s="6" t="s">
        <v>51</v>
      </c>
      <c r="AW2" s="6" t="s">
        <v>51</v>
      </c>
      <c r="AX2" s="6" t="s">
        <v>51</v>
      </c>
      <c r="AY2" s="6" t="s">
        <v>51</v>
      </c>
      <c r="AZ2" s="6" t="s">
        <v>40</v>
      </c>
      <c r="BA2" s="6" t="s">
        <v>40</v>
      </c>
      <c r="BB2" s="6" t="s">
        <v>40</v>
      </c>
      <c r="BC2" s="15">
        <f t="shared" ref="BC2:BC33" si="0">COUNTIF(R2:BB2,"DIA")</f>
        <v>17</v>
      </c>
      <c r="BD2" s="15">
        <f t="shared" ref="BD2:BD33" si="1">COUNTIF(R2:BB2,"NOCHE")</f>
        <v>0</v>
      </c>
      <c r="BE2" s="15">
        <f t="shared" ref="BE2:BE33" si="2">SUM(BC2:BD2)</f>
        <v>17</v>
      </c>
      <c r="BF2" s="15">
        <f t="shared" ref="BF2:BF33" si="3">BE2*12</f>
        <v>204</v>
      </c>
      <c r="BG2" s="16"/>
    </row>
    <row r="3" spans="1:59" ht="15.75" customHeight="1" x14ac:dyDescent="0.2">
      <c r="A3" s="29">
        <v>12000002</v>
      </c>
      <c r="B3" s="29" t="s">
        <v>92</v>
      </c>
      <c r="C3" s="6" t="s">
        <v>20</v>
      </c>
      <c r="D3" s="12">
        <v>84832</v>
      </c>
      <c r="E3" s="12" t="s">
        <v>45</v>
      </c>
      <c r="F3" s="13">
        <v>44183</v>
      </c>
      <c r="G3" s="12"/>
      <c r="H3" s="13">
        <v>34143</v>
      </c>
      <c r="I3" s="12" t="s">
        <v>46</v>
      </c>
      <c r="J3" s="12" t="s">
        <v>47</v>
      </c>
      <c r="K3" s="12" t="s">
        <v>48</v>
      </c>
      <c r="L3" s="6" t="s">
        <v>49</v>
      </c>
      <c r="M3" s="6" t="s">
        <v>5</v>
      </c>
      <c r="N3" s="29" t="s">
        <v>90</v>
      </c>
      <c r="O3" s="6" t="s">
        <v>50</v>
      </c>
      <c r="P3" s="14">
        <v>46627</v>
      </c>
      <c r="Q3" s="6"/>
      <c r="R3" s="6" t="s">
        <v>40</v>
      </c>
      <c r="S3" s="6" t="s">
        <v>40</v>
      </c>
      <c r="T3" s="6" t="s">
        <v>40</v>
      </c>
      <c r="U3" s="6" t="s">
        <v>40</v>
      </c>
      <c r="V3" s="6" t="s">
        <v>51</v>
      </c>
      <c r="W3" s="6" t="s">
        <v>51</v>
      </c>
      <c r="X3" s="6" t="s">
        <v>51</v>
      </c>
      <c r="Y3" s="6" t="s">
        <v>51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52</v>
      </c>
      <c r="AG3" s="6" t="s">
        <v>52</v>
      </c>
      <c r="AH3" s="6" t="s">
        <v>52</v>
      </c>
      <c r="AI3" s="6" t="s">
        <v>52</v>
      </c>
      <c r="AJ3" s="6" t="s">
        <v>52</v>
      </c>
      <c r="AK3" s="6" t="s">
        <v>52</v>
      </c>
      <c r="AL3" s="6" t="s">
        <v>52</v>
      </c>
      <c r="AM3" s="6" t="s">
        <v>52</v>
      </c>
      <c r="AN3" s="6" t="s">
        <v>52</v>
      </c>
      <c r="AO3" s="6" t="s">
        <v>52</v>
      </c>
      <c r="AP3" s="6" t="s">
        <v>52</v>
      </c>
      <c r="AQ3" s="6" t="s">
        <v>51</v>
      </c>
      <c r="AR3" s="6" t="s">
        <v>51</v>
      </c>
      <c r="AS3" s="6" t="s">
        <v>51</v>
      </c>
      <c r="AT3" s="6" t="s">
        <v>51</v>
      </c>
      <c r="AU3" s="6" t="s">
        <v>51</v>
      </c>
      <c r="AV3" s="6" t="s">
        <v>51</v>
      </c>
      <c r="AW3" s="6" t="s">
        <v>51</v>
      </c>
      <c r="AX3" s="6" t="s">
        <v>51</v>
      </c>
      <c r="AY3" s="6" t="s">
        <v>51</v>
      </c>
      <c r="AZ3" s="6" t="s">
        <v>40</v>
      </c>
      <c r="BA3" s="6" t="s">
        <v>40</v>
      </c>
      <c r="BB3" s="6" t="s">
        <v>40</v>
      </c>
      <c r="BC3" s="15">
        <f t="shared" si="0"/>
        <v>7</v>
      </c>
      <c r="BD3" s="15">
        <f t="shared" si="1"/>
        <v>0</v>
      </c>
      <c r="BE3" s="15">
        <f t="shared" si="2"/>
        <v>7</v>
      </c>
      <c r="BF3" s="15">
        <f t="shared" si="3"/>
        <v>84</v>
      </c>
      <c r="BG3" s="16"/>
    </row>
    <row r="4" spans="1:59" ht="15.75" customHeight="1" x14ac:dyDescent="0.2">
      <c r="A4" s="29">
        <f>A3+1</f>
        <v>12000003</v>
      </c>
      <c r="B4" s="29" t="s">
        <v>93</v>
      </c>
      <c r="C4" s="6" t="s">
        <v>57</v>
      </c>
      <c r="D4" s="12">
        <v>84832</v>
      </c>
      <c r="E4" s="12" t="s">
        <v>45</v>
      </c>
      <c r="F4" s="13">
        <v>43724</v>
      </c>
      <c r="G4" s="12"/>
      <c r="H4" s="13">
        <v>27646</v>
      </c>
      <c r="I4" s="12" t="s">
        <v>46</v>
      </c>
      <c r="J4" s="12" t="s">
        <v>47</v>
      </c>
      <c r="K4" s="12" t="s">
        <v>48</v>
      </c>
      <c r="L4" s="6" t="s">
        <v>58</v>
      </c>
      <c r="M4" s="6" t="s">
        <v>6</v>
      </c>
      <c r="N4" s="29" t="s">
        <v>90</v>
      </c>
      <c r="O4" s="6" t="s">
        <v>50</v>
      </c>
      <c r="P4" s="14">
        <v>45960</v>
      </c>
      <c r="Q4" s="6"/>
      <c r="R4" s="6" t="s">
        <v>52</v>
      </c>
      <c r="S4" s="6" t="s">
        <v>52</v>
      </c>
      <c r="T4" s="6" t="s">
        <v>52</v>
      </c>
      <c r="U4" s="6" t="s">
        <v>52</v>
      </c>
      <c r="V4" s="6" t="s">
        <v>52</v>
      </c>
      <c r="W4" s="6" t="s">
        <v>52</v>
      </c>
      <c r="X4" s="6" t="s">
        <v>52</v>
      </c>
      <c r="Y4" s="6" t="s">
        <v>52</v>
      </c>
      <c r="Z4" s="6" t="s">
        <v>52</v>
      </c>
      <c r="AA4" s="6" t="s">
        <v>52</v>
      </c>
      <c r="AB4" s="6" t="s">
        <v>52</v>
      </c>
      <c r="AC4" s="6" t="s">
        <v>52</v>
      </c>
      <c r="AD4" s="6" t="s">
        <v>52</v>
      </c>
      <c r="AE4" s="6" t="s">
        <v>52</v>
      </c>
      <c r="AF4" s="6" t="s">
        <v>52</v>
      </c>
      <c r="AG4" s="6" t="s">
        <v>52</v>
      </c>
      <c r="AH4" s="6" t="s">
        <v>52</v>
      </c>
      <c r="AI4" s="6" t="s">
        <v>52</v>
      </c>
      <c r="AJ4" s="6" t="s">
        <v>52</v>
      </c>
      <c r="AK4" s="6" t="s">
        <v>51</v>
      </c>
      <c r="AL4" s="6" t="s">
        <v>52</v>
      </c>
      <c r="AM4" s="6" t="s">
        <v>52</v>
      </c>
      <c r="AN4" s="6" t="s">
        <v>52</v>
      </c>
      <c r="AO4" s="6" t="s">
        <v>52</v>
      </c>
      <c r="AP4" s="6" t="s">
        <v>52</v>
      </c>
      <c r="AQ4" s="6" t="s">
        <v>52</v>
      </c>
      <c r="AR4" s="6" t="s">
        <v>52</v>
      </c>
      <c r="AS4" s="6" t="s">
        <v>52</v>
      </c>
      <c r="AT4" s="6" t="s">
        <v>52</v>
      </c>
      <c r="AU4" s="6" t="s">
        <v>52</v>
      </c>
      <c r="AV4" s="6" t="s">
        <v>52</v>
      </c>
      <c r="AW4" s="6" t="s">
        <v>52</v>
      </c>
      <c r="AX4" s="6" t="s">
        <v>52</v>
      </c>
      <c r="AY4" s="6" t="s">
        <v>52</v>
      </c>
      <c r="AZ4" s="17" t="s">
        <v>52</v>
      </c>
      <c r="BA4" s="17" t="s">
        <v>52</v>
      </c>
      <c r="BB4" s="17" t="s">
        <v>52</v>
      </c>
      <c r="BC4" s="15">
        <f t="shared" si="0"/>
        <v>0</v>
      </c>
      <c r="BD4" s="15">
        <f t="shared" si="1"/>
        <v>0</v>
      </c>
      <c r="BE4" s="15">
        <f t="shared" si="2"/>
        <v>0</v>
      </c>
      <c r="BF4" s="15">
        <f t="shared" si="3"/>
        <v>0</v>
      </c>
      <c r="BG4" s="16"/>
    </row>
    <row r="5" spans="1:59" ht="15.75" customHeight="1" x14ac:dyDescent="0.2">
      <c r="A5" s="29">
        <f t="shared" ref="A5:A50" si="4">A4+1</f>
        <v>12000004</v>
      </c>
      <c r="B5" s="29" t="s">
        <v>94</v>
      </c>
      <c r="C5" s="6" t="s">
        <v>25</v>
      </c>
      <c r="D5" s="12">
        <v>62027</v>
      </c>
      <c r="E5" s="12" t="s">
        <v>59</v>
      </c>
      <c r="F5" s="13">
        <v>43644</v>
      </c>
      <c r="G5" s="12"/>
      <c r="H5" s="13">
        <v>27531</v>
      </c>
      <c r="I5" s="12" t="s">
        <v>60</v>
      </c>
      <c r="J5" s="12" t="s">
        <v>61</v>
      </c>
      <c r="K5" s="12" t="s">
        <v>48</v>
      </c>
      <c r="L5" s="6" t="s">
        <v>56</v>
      </c>
      <c r="M5" s="6" t="s">
        <v>4</v>
      </c>
      <c r="N5" s="29" t="s">
        <v>90</v>
      </c>
      <c r="O5" s="6" t="s">
        <v>50</v>
      </c>
      <c r="P5" s="14">
        <v>45869</v>
      </c>
      <c r="Q5" s="18"/>
      <c r="R5" s="6" t="s">
        <v>51</v>
      </c>
      <c r="S5" s="6" t="s">
        <v>51</v>
      </c>
      <c r="T5" s="6" t="s">
        <v>51</v>
      </c>
      <c r="U5" s="6" t="s">
        <v>51</v>
      </c>
      <c r="V5" s="6" t="s">
        <v>40</v>
      </c>
      <c r="W5" s="6" t="s">
        <v>40</v>
      </c>
      <c r="X5" s="6" t="s">
        <v>40</v>
      </c>
      <c r="Y5" s="6" t="s">
        <v>40</v>
      </c>
      <c r="Z5" s="6" t="s">
        <v>40</v>
      </c>
      <c r="AA5" s="6" t="s">
        <v>40</v>
      </c>
      <c r="AB5" s="6" t="s">
        <v>40</v>
      </c>
      <c r="AC5" s="6" t="s">
        <v>40</v>
      </c>
      <c r="AD5" s="6" t="s">
        <v>40</v>
      </c>
      <c r="AE5" s="6" t="s">
        <v>40</v>
      </c>
      <c r="AF5" s="6" t="s">
        <v>51</v>
      </c>
      <c r="AG5" s="6" t="s">
        <v>51</v>
      </c>
      <c r="AH5" s="6" t="s">
        <v>51</v>
      </c>
      <c r="AI5" s="6" t="s">
        <v>51</v>
      </c>
      <c r="AJ5" s="6" t="s">
        <v>51</v>
      </c>
      <c r="AK5" s="6" t="s">
        <v>51</v>
      </c>
      <c r="AL5" s="6" t="s">
        <v>51</v>
      </c>
      <c r="AM5" s="6" t="s">
        <v>51</v>
      </c>
      <c r="AN5" s="6" t="s">
        <v>51</v>
      </c>
      <c r="AO5" s="6" t="s">
        <v>51</v>
      </c>
      <c r="AP5" s="6" t="s">
        <v>62</v>
      </c>
      <c r="AQ5" s="6" t="s">
        <v>62</v>
      </c>
      <c r="AR5" s="6" t="s">
        <v>62</v>
      </c>
      <c r="AS5" s="6" t="s">
        <v>62</v>
      </c>
      <c r="AT5" s="6" t="s">
        <v>62</v>
      </c>
      <c r="AU5" s="6" t="s">
        <v>62</v>
      </c>
      <c r="AV5" s="6" t="s">
        <v>22</v>
      </c>
      <c r="AW5" s="6" t="s">
        <v>22</v>
      </c>
      <c r="AX5" s="6" t="s">
        <v>22</v>
      </c>
      <c r="AY5" s="6" t="s">
        <v>22</v>
      </c>
      <c r="AZ5" s="17" t="s">
        <v>22</v>
      </c>
      <c r="BA5" s="17" t="s">
        <v>22</v>
      </c>
      <c r="BB5" s="17" t="s">
        <v>22</v>
      </c>
      <c r="BC5" s="15">
        <f t="shared" si="0"/>
        <v>10</v>
      </c>
      <c r="BD5" s="15">
        <f t="shared" si="1"/>
        <v>0</v>
      </c>
      <c r="BE5" s="15">
        <f t="shared" si="2"/>
        <v>10</v>
      </c>
      <c r="BF5" s="15">
        <f t="shared" si="3"/>
        <v>120</v>
      </c>
      <c r="BG5" s="16"/>
    </row>
    <row r="6" spans="1:59" ht="15.75" customHeight="1" x14ac:dyDescent="0.2">
      <c r="A6" s="29">
        <f t="shared" si="4"/>
        <v>12000005</v>
      </c>
      <c r="B6" s="29" t="s">
        <v>95</v>
      </c>
      <c r="C6" s="6" t="s">
        <v>63</v>
      </c>
      <c r="D6" s="12">
        <v>62027</v>
      </c>
      <c r="E6" s="12" t="s">
        <v>59</v>
      </c>
      <c r="F6" s="13">
        <v>44588</v>
      </c>
      <c r="G6" s="12"/>
      <c r="H6" s="13">
        <v>37942</v>
      </c>
      <c r="I6" s="12" t="s">
        <v>46</v>
      </c>
      <c r="J6" s="12" t="s">
        <v>61</v>
      </c>
      <c r="K6" s="12" t="s">
        <v>48</v>
      </c>
      <c r="L6" s="6" t="s">
        <v>49</v>
      </c>
      <c r="M6" s="6" t="s">
        <v>4</v>
      </c>
      <c r="N6" s="29" t="s">
        <v>90</v>
      </c>
      <c r="O6" s="6" t="s">
        <v>50</v>
      </c>
      <c r="P6" s="14">
        <v>46383</v>
      </c>
      <c r="Q6" s="6"/>
      <c r="R6" s="6" t="s">
        <v>40</v>
      </c>
      <c r="S6" s="6" t="s">
        <v>40</v>
      </c>
      <c r="T6" s="6" t="s">
        <v>40</v>
      </c>
      <c r="U6" s="6" t="s">
        <v>40</v>
      </c>
      <c r="V6" s="6" t="s">
        <v>51</v>
      </c>
      <c r="W6" s="6" t="s">
        <v>51</v>
      </c>
      <c r="X6" s="6" t="s">
        <v>51</v>
      </c>
      <c r="Y6" s="6" t="s">
        <v>51</v>
      </c>
      <c r="Z6" s="6" t="s">
        <v>51</v>
      </c>
      <c r="AA6" s="6" t="s">
        <v>51</v>
      </c>
      <c r="AB6" s="6" t="s">
        <v>51</v>
      </c>
      <c r="AC6" s="6" t="s">
        <v>51</v>
      </c>
      <c r="AD6" s="6" t="s">
        <v>51</v>
      </c>
      <c r="AE6" s="6" t="s">
        <v>51</v>
      </c>
      <c r="AF6" s="6" t="s">
        <v>40</v>
      </c>
      <c r="AG6" s="6" t="s">
        <v>40</v>
      </c>
      <c r="AH6" s="6" t="s">
        <v>40</v>
      </c>
      <c r="AI6" s="6" t="s">
        <v>40</v>
      </c>
      <c r="AJ6" s="6" t="s">
        <v>40</v>
      </c>
      <c r="AK6" s="6" t="s">
        <v>40</v>
      </c>
      <c r="AL6" s="6" t="s">
        <v>40</v>
      </c>
      <c r="AM6" s="6" t="s">
        <v>40</v>
      </c>
      <c r="AN6" s="6" t="s">
        <v>40</v>
      </c>
      <c r="AO6" s="6" t="s">
        <v>40</v>
      </c>
      <c r="AP6" s="6" t="s">
        <v>51</v>
      </c>
      <c r="AQ6" s="6" t="s">
        <v>51</v>
      </c>
      <c r="AR6" s="6" t="s">
        <v>51</v>
      </c>
      <c r="AS6" s="6" t="s">
        <v>51</v>
      </c>
      <c r="AT6" s="6" t="s">
        <v>51</v>
      </c>
      <c r="AU6" s="6" t="s">
        <v>51</v>
      </c>
      <c r="AV6" s="6" t="s">
        <v>51</v>
      </c>
      <c r="AW6" s="6" t="s">
        <v>51</v>
      </c>
      <c r="AX6" s="6" t="s">
        <v>51</v>
      </c>
      <c r="AY6" s="6" t="s">
        <v>51</v>
      </c>
      <c r="AZ6" s="17" t="s">
        <v>40</v>
      </c>
      <c r="BA6" s="17" t="s">
        <v>40</v>
      </c>
      <c r="BB6" s="17" t="s">
        <v>40</v>
      </c>
      <c r="BC6" s="15">
        <f t="shared" si="0"/>
        <v>17</v>
      </c>
      <c r="BD6" s="15">
        <f t="shared" si="1"/>
        <v>0</v>
      </c>
      <c r="BE6" s="15">
        <f t="shared" si="2"/>
        <v>17</v>
      </c>
      <c r="BF6" s="15">
        <f t="shared" si="3"/>
        <v>204</v>
      </c>
      <c r="BG6" s="16"/>
    </row>
    <row r="7" spans="1:59" ht="15.75" customHeight="1" x14ac:dyDescent="0.2">
      <c r="A7" s="29">
        <f t="shared" si="4"/>
        <v>12000006</v>
      </c>
      <c r="B7" s="30" t="s">
        <v>96</v>
      </c>
      <c r="C7" s="7" t="s">
        <v>21</v>
      </c>
      <c r="D7" s="7">
        <v>84831</v>
      </c>
      <c r="E7" s="7" t="s">
        <v>54</v>
      </c>
      <c r="F7" s="19">
        <v>44440</v>
      </c>
      <c r="G7" s="19">
        <v>45645</v>
      </c>
      <c r="H7" s="19">
        <v>25307</v>
      </c>
      <c r="I7" s="7" t="s">
        <v>60</v>
      </c>
      <c r="J7" s="7" t="s">
        <v>64</v>
      </c>
      <c r="K7" s="7" t="s">
        <v>55</v>
      </c>
      <c r="L7" s="7" t="s">
        <v>56</v>
      </c>
      <c r="M7" s="7" t="s">
        <v>3</v>
      </c>
      <c r="N7" s="29" t="s">
        <v>90</v>
      </c>
      <c r="O7" s="7" t="s">
        <v>50</v>
      </c>
      <c r="P7" s="7" t="s">
        <v>65</v>
      </c>
      <c r="Q7" s="7"/>
      <c r="R7" s="7" t="s">
        <v>65</v>
      </c>
      <c r="S7" s="7" t="s">
        <v>65</v>
      </c>
      <c r="T7" s="7" t="s">
        <v>65</v>
      </c>
      <c r="U7" s="7" t="s">
        <v>65</v>
      </c>
      <c r="V7" s="7" t="s">
        <v>65</v>
      </c>
      <c r="W7" s="7" t="s">
        <v>65</v>
      </c>
      <c r="X7" s="7" t="s">
        <v>65</v>
      </c>
      <c r="Y7" s="7" t="s">
        <v>65</v>
      </c>
      <c r="Z7" s="7" t="s">
        <v>65</v>
      </c>
      <c r="AA7" s="7" t="s">
        <v>65</v>
      </c>
      <c r="AB7" s="7" t="s">
        <v>65</v>
      </c>
      <c r="AC7" s="7" t="s">
        <v>65</v>
      </c>
      <c r="AD7" s="7" t="s">
        <v>65</v>
      </c>
      <c r="AE7" s="7" t="s">
        <v>65</v>
      </c>
      <c r="AF7" s="7" t="s">
        <v>65</v>
      </c>
      <c r="AG7" s="7" t="s">
        <v>65</v>
      </c>
      <c r="AH7" s="7" t="s">
        <v>65</v>
      </c>
      <c r="AI7" s="7" t="s">
        <v>65</v>
      </c>
      <c r="AJ7" s="7" t="s">
        <v>65</v>
      </c>
      <c r="AK7" s="7" t="s">
        <v>65</v>
      </c>
      <c r="AL7" s="7" t="s">
        <v>65</v>
      </c>
      <c r="AM7" s="7" t="s">
        <v>65</v>
      </c>
      <c r="AN7" s="7" t="s">
        <v>65</v>
      </c>
      <c r="AO7" s="7" t="s">
        <v>65</v>
      </c>
      <c r="AP7" s="7" t="s">
        <v>65</v>
      </c>
      <c r="AQ7" s="7" t="s">
        <v>65</v>
      </c>
      <c r="AR7" s="7" t="s">
        <v>65</v>
      </c>
      <c r="AS7" s="7" t="s">
        <v>65</v>
      </c>
      <c r="AT7" s="7" t="s">
        <v>65</v>
      </c>
      <c r="AU7" s="7" t="s">
        <v>65</v>
      </c>
      <c r="AV7" s="7" t="s">
        <v>65</v>
      </c>
      <c r="AW7" s="7" t="s">
        <v>65</v>
      </c>
      <c r="AX7" s="7" t="s">
        <v>65</v>
      </c>
      <c r="AY7" s="7" t="s">
        <v>65</v>
      </c>
      <c r="AZ7" s="7" t="s">
        <v>51</v>
      </c>
      <c r="BA7" s="7" t="s">
        <v>65</v>
      </c>
      <c r="BB7" s="7" t="s">
        <v>65</v>
      </c>
      <c r="BC7" s="15">
        <f t="shared" si="0"/>
        <v>0</v>
      </c>
      <c r="BD7" s="15">
        <f t="shared" si="1"/>
        <v>0</v>
      </c>
      <c r="BE7" s="15">
        <f t="shared" si="2"/>
        <v>0</v>
      </c>
      <c r="BF7" s="15">
        <f t="shared" si="3"/>
        <v>0</v>
      </c>
      <c r="BG7" s="20"/>
    </row>
    <row r="8" spans="1:59" ht="15.75" customHeight="1" x14ac:dyDescent="0.2">
      <c r="A8" s="29">
        <f t="shared" si="4"/>
        <v>12000007</v>
      </c>
      <c r="B8" s="29" t="s">
        <v>97</v>
      </c>
      <c r="C8" s="6" t="s">
        <v>25</v>
      </c>
      <c r="D8" s="12">
        <v>62027</v>
      </c>
      <c r="E8" s="12" t="s">
        <v>59</v>
      </c>
      <c r="F8" s="13">
        <v>45001</v>
      </c>
      <c r="G8" s="13">
        <v>45645</v>
      </c>
      <c r="H8" s="13">
        <v>29513</v>
      </c>
      <c r="I8" s="12" t="s">
        <v>60</v>
      </c>
      <c r="J8" s="12" t="s">
        <v>61</v>
      </c>
      <c r="K8" s="12" t="s">
        <v>48</v>
      </c>
      <c r="L8" s="6" t="s">
        <v>56</v>
      </c>
      <c r="M8" s="6" t="s">
        <v>4</v>
      </c>
      <c r="N8" s="29" t="s">
        <v>90</v>
      </c>
      <c r="O8" s="6" t="s">
        <v>50</v>
      </c>
      <c r="P8" s="14">
        <v>46048</v>
      </c>
      <c r="Q8" s="6"/>
      <c r="R8" s="6" t="s">
        <v>51</v>
      </c>
      <c r="S8" s="6" t="s">
        <v>51</v>
      </c>
      <c r="T8" s="6" t="s">
        <v>51</v>
      </c>
      <c r="U8" s="6" t="s">
        <v>51</v>
      </c>
      <c r="V8" s="6" t="s">
        <v>40</v>
      </c>
      <c r="W8" s="6" t="s">
        <v>40</v>
      </c>
      <c r="X8" s="6" t="s">
        <v>40</v>
      </c>
      <c r="Y8" s="6" t="s">
        <v>40</v>
      </c>
      <c r="Z8" s="6" t="s">
        <v>40</v>
      </c>
      <c r="AA8" s="6" t="s">
        <v>40</v>
      </c>
      <c r="AB8" s="6" t="s">
        <v>40</v>
      </c>
      <c r="AC8" s="6" t="s">
        <v>40</v>
      </c>
      <c r="AD8" s="6" t="s">
        <v>40</v>
      </c>
      <c r="AE8" s="6" t="s">
        <v>40</v>
      </c>
      <c r="AF8" s="6" t="s">
        <v>51</v>
      </c>
      <c r="AG8" s="6" t="s">
        <v>51</v>
      </c>
      <c r="AH8" s="6" t="s">
        <v>51</v>
      </c>
      <c r="AI8" s="6" t="s">
        <v>51</v>
      </c>
      <c r="AJ8" s="6" t="s">
        <v>51</v>
      </c>
      <c r="AK8" s="6" t="s">
        <v>51</v>
      </c>
      <c r="AL8" s="6" t="s">
        <v>51</v>
      </c>
      <c r="AM8" s="6" t="s">
        <v>51</v>
      </c>
      <c r="AN8" s="6" t="s">
        <v>51</v>
      </c>
      <c r="AO8" s="6" t="s">
        <v>51</v>
      </c>
      <c r="AP8" s="6" t="s">
        <v>40</v>
      </c>
      <c r="AQ8" s="6" t="s">
        <v>40</v>
      </c>
      <c r="AR8" s="6" t="s">
        <v>40</v>
      </c>
      <c r="AS8" s="6" t="s">
        <v>40</v>
      </c>
      <c r="AT8" s="6" t="s">
        <v>40</v>
      </c>
      <c r="AU8" s="6" t="s">
        <v>40</v>
      </c>
      <c r="AV8" s="6" t="s">
        <v>40</v>
      </c>
      <c r="AW8" s="6" t="s">
        <v>40</v>
      </c>
      <c r="AX8" s="6" t="s">
        <v>40</v>
      </c>
      <c r="AY8" s="6" t="s">
        <v>40</v>
      </c>
      <c r="AZ8" s="17" t="s">
        <v>51</v>
      </c>
      <c r="BA8" s="17" t="s">
        <v>51</v>
      </c>
      <c r="BB8" s="17" t="s">
        <v>51</v>
      </c>
      <c r="BC8" s="15">
        <f t="shared" si="0"/>
        <v>20</v>
      </c>
      <c r="BD8" s="15">
        <f t="shared" si="1"/>
        <v>0</v>
      </c>
      <c r="BE8" s="15">
        <f t="shared" si="2"/>
        <v>20</v>
      </c>
      <c r="BF8" s="15">
        <f t="shared" si="3"/>
        <v>240</v>
      </c>
      <c r="BG8" s="16"/>
    </row>
    <row r="9" spans="1:59" ht="15.75" customHeight="1" x14ac:dyDescent="0.2">
      <c r="A9" s="29">
        <f t="shared" si="4"/>
        <v>12000008</v>
      </c>
      <c r="B9" s="29" t="s">
        <v>98</v>
      </c>
      <c r="C9" s="6" t="s">
        <v>23</v>
      </c>
      <c r="D9" s="12">
        <v>84831</v>
      </c>
      <c r="E9" s="12" t="s">
        <v>54</v>
      </c>
      <c r="F9" s="13">
        <v>44621</v>
      </c>
      <c r="G9" s="13">
        <v>45645</v>
      </c>
      <c r="H9" s="13">
        <v>32012</v>
      </c>
      <c r="I9" s="12" t="s">
        <v>60</v>
      </c>
      <c r="J9" s="12" t="s">
        <v>66</v>
      </c>
      <c r="K9" s="12" t="s">
        <v>48</v>
      </c>
      <c r="L9" s="6" t="s">
        <v>56</v>
      </c>
      <c r="M9" s="6" t="s">
        <v>3</v>
      </c>
      <c r="N9" s="29" t="s">
        <v>90</v>
      </c>
      <c r="O9" s="6" t="s">
        <v>50</v>
      </c>
      <c r="P9" s="14">
        <v>46040</v>
      </c>
      <c r="Q9" s="6"/>
      <c r="R9" s="6" t="s">
        <v>51</v>
      </c>
      <c r="S9" s="6" t="s">
        <v>51</v>
      </c>
      <c r="T9" s="6" t="s">
        <v>51</v>
      </c>
      <c r="U9" s="6" t="s">
        <v>51</v>
      </c>
      <c r="V9" s="6" t="s">
        <v>40</v>
      </c>
      <c r="W9" s="6" t="s">
        <v>40</v>
      </c>
      <c r="X9" s="6" t="s">
        <v>40</v>
      </c>
      <c r="Y9" s="6" t="s">
        <v>40</v>
      </c>
      <c r="Z9" s="6" t="s">
        <v>40</v>
      </c>
      <c r="AA9" s="6" t="s">
        <v>40</v>
      </c>
      <c r="AB9" s="6" t="s">
        <v>40</v>
      </c>
      <c r="AC9" s="6" t="s">
        <v>40</v>
      </c>
      <c r="AD9" s="6" t="s">
        <v>40</v>
      </c>
      <c r="AE9" s="6" t="s">
        <v>40</v>
      </c>
      <c r="AF9" s="6" t="s">
        <v>51</v>
      </c>
      <c r="AG9" s="6" t="s">
        <v>51</v>
      </c>
      <c r="AH9" s="6" t="s">
        <v>51</v>
      </c>
      <c r="AI9" s="6" t="s">
        <v>51</v>
      </c>
      <c r="AJ9" s="6" t="s">
        <v>51</v>
      </c>
      <c r="AK9" s="6" t="s">
        <v>51</v>
      </c>
      <c r="AL9" s="6" t="s">
        <v>51</v>
      </c>
      <c r="AM9" s="6" t="s">
        <v>51</v>
      </c>
      <c r="AN9" s="6" t="s">
        <v>51</v>
      </c>
      <c r="AO9" s="6" t="s">
        <v>51</v>
      </c>
      <c r="AP9" s="6" t="s">
        <v>41</v>
      </c>
      <c r="AQ9" s="6" t="s">
        <v>41</v>
      </c>
      <c r="AR9" s="6" t="s">
        <v>41</v>
      </c>
      <c r="AS9" s="6" t="s">
        <v>41</v>
      </c>
      <c r="AT9" s="6" t="s">
        <v>41</v>
      </c>
      <c r="AU9" s="6" t="s">
        <v>41</v>
      </c>
      <c r="AV9" s="6" t="s">
        <v>41</v>
      </c>
      <c r="AW9" s="6" t="s">
        <v>41</v>
      </c>
      <c r="AX9" s="6" t="s">
        <v>41</v>
      </c>
      <c r="AY9" s="6" t="s">
        <v>41</v>
      </c>
      <c r="AZ9" s="17" t="s">
        <v>51</v>
      </c>
      <c r="BA9" s="17" t="s">
        <v>51</v>
      </c>
      <c r="BB9" s="17" t="s">
        <v>51</v>
      </c>
      <c r="BC9" s="15">
        <f t="shared" si="0"/>
        <v>10</v>
      </c>
      <c r="BD9" s="15">
        <f t="shared" si="1"/>
        <v>10</v>
      </c>
      <c r="BE9" s="15">
        <f t="shared" si="2"/>
        <v>20</v>
      </c>
      <c r="BF9" s="15">
        <f t="shared" si="3"/>
        <v>240</v>
      </c>
      <c r="BG9" s="16"/>
    </row>
    <row r="10" spans="1:59" ht="15.75" customHeight="1" x14ac:dyDescent="0.2">
      <c r="A10" s="29">
        <f t="shared" si="4"/>
        <v>12000009</v>
      </c>
      <c r="B10" s="29" t="s">
        <v>99</v>
      </c>
      <c r="C10" s="6" t="s">
        <v>25</v>
      </c>
      <c r="D10" s="12">
        <v>62027</v>
      </c>
      <c r="E10" s="12" t="s">
        <v>59</v>
      </c>
      <c r="F10" s="13">
        <v>44817</v>
      </c>
      <c r="G10" s="13">
        <v>45643</v>
      </c>
      <c r="H10" s="13">
        <v>32624</v>
      </c>
      <c r="I10" s="12" t="s">
        <v>46</v>
      </c>
      <c r="J10" s="12" t="s">
        <v>66</v>
      </c>
      <c r="K10" s="12" t="s">
        <v>48</v>
      </c>
      <c r="L10" s="6" t="s">
        <v>49</v>
      </c>
      <c r="M10" s="6" t="s">
        <v>4</v>
      </c>
      <c r="N10" s="29" t="s">
        <v>90</v>
      </c>
      <c r="O10" s="6" t="s">
        <v>50</v>
      </c>
      <c r="P10" s="14">
        <v>46263</v>
      </c>
      <c r="Q10" s="6"/>
      <c r="R10" s="6" t="s">
        <v>40</v>
      </c>
      <c r="S10" s="6" t="s">
        <v>40</v>
      </c>
      <c r="T10" s="6" t="s">
        <v>40</v>
      </c>
      <c r="U10" s="6" t="s">
        <v>40</v>
      </c>
      <c r="V10" s="6" t="s">
        <v>51</v>
      </c>
      <c r="W10" s="6" t="s">
        <v>51</v>
      </c>
      <c r="X10" s="6" t="s">
        <v>51</v>
      </c>
      <c r="Y10" s="6" t="s">
        <v>51</v>
      </c>
      <c r="Z10" s="6" t="s">
        <v>51</v>
      </c>
      <c r="AA10" s="6" t="s">
        <v>51</v>
      </c>
      <c r="AB10" s="6" t="s">
        <v>51</v>
      </c>
      <c r="AC10" s="6" t="s">
        <v>51</v>
      </c>
      <c r="AD10" s="6" t="s">
        <v>51</v>
      </c>
      <c r="AE10" s="6" t="s">
        <v>51</v>
      </c>
      <c r="AF10" s="6" t="s">
        <v>40</v>
      </c>
      <c r="AG10" s="6" t="s">
        <v>40</v>
      </c>
      <c r="AH10" s="6" t="s">
        <v>40</v>
      </c>
      <c r="AI10" s="6" t="s">
        <v>40</v>
      </c>
      <c r="AJ10" s="6" t="s">
        <v>40</v>
      </c>
      <c r="AK10" s="6" t="s">
        <v>40</v>
      </c>
      <c r="AL10" s="6" t="s">
        <v>40</v>
      </c>
      <c r="AM10" s="6" t="s">
        <v>40</v>
      </c>
      <c r="AN10" s="6" t="s">
        <v>40</v>
      </c>
      <c r="AO10" s="6" t="s">
        <v>40</v>
      </c>
      <c r="AP10" s="6" t="s">
        <v>51</v>
      </c>
      <c r="AQ10" s="6" t="s">
        <v>51</v>
      </c>
      <c r="AR10" s="6" t="s">
        <v>51</v>
      </c>
      <c r="AS10" s="6" t="s">
        <v>51</v>
      </c>
      <c r="AT10" s="6" t="s">
        <v>51</v>
      </c>
      <c r="AU10" s="6" t="s">
        <v>51</v>
      </c>
      <c r="AV10" s="6" t="s">
        <v>51</v>
      </c>
      <c r="AW10" s="6" t="s">
        <v>51</v>
      </c>
      <c r="AX10" s="6" t="s">
        <v>51</v>
      </c>
      <c r="AY10" s="6" t="s">
        <v>51</v>
      </c>
      <c r="AZ10" s="17" t="s">
        <v>40</v>
      </c>
      <c r="BA10" s="17" t="s">
        <v>40</v>
      </c>
      <c r="BB10" s="17" t="s">
        <v>40</v>
      </c>
      <c r="BC10" s="15">
        <f t="shared" si="0"/>
        <v>17</v>
      </c>
      <c r="BD10" s="15">
        <f t="shared" si="1"/>
        <v>0</v>
      </c>
      <c r="BE10" s="15">
        <f t="shared" si="2"/>
        <v>17</v>
      </c>
      <c r="BF10" s="15">
        <f t="shared" si="3"/>
        <v>204</v>
      </c>
      <c r="BG10" s="16"/>
    </row>
    <row r="11" spans="1:59" ht="15.75" customHeight="1" x14ac:dyDescent="0.2">
      <c r="A11" s="29">
        <f t="shared" si="4"/>
        <v>12000010</v>
      </c>
      <c r="B11" s="29" t="s">
        <v>100</v>
      </c>
      <c r="C11" s="6" t="s">
        <v>21</v>
      </c>
      <c r="D11" s="12">
        <v>84831</v>
      </c>
      <c r="E11" s="12" t="s">
        <v>54</v>
      </c>
      <c r="F11" s="13">
        <v>43664</v>
      </c>
      <c r="G11" s="13">
        <v>45644</v>
      </c>
      <c r="H11" s="13">
        <v>27660</v>
      </c>
      <c r="I11" s="12" t="s">
        <v>60</v>
      </c>
      <c r="J11" s="12" t="s">
        <v>61</v>
      </c>
      <c r="K11" s="12" t="s">
        <v>48</v>
      </c>
      <c r="L11" s="6" t="s">
        <v>67</v>
      </c>
      <c r="M11" s="6" t="s">
        <v>3</v>
      </c>
      <c r="N11" s="29" t="s">
        <v>90</v>
      </c>
      <c r="O11" s="6" t="s">
        <v>50</v>
      </c>
      <c r="P11" s="14">
        <v>45893</v>
      </c>
      <c r="Q11" s="6"/>
      <c r="R11" s="6" t="s">
        <v>40</v>
      </c>
      <c r="S11" s="6" t="s">
        <v>40</v>
      </c>
      <c r="T11" s="6" t="s">
        <v>40</v>
      </c>
      <c r="U11" s="6" t="s">
        <v>40</v>
      </c>
      <c r="V11" s="6" t="s">
        <v>51</v>
      </c>
      <c r="W11" s="6" t="s">
        <v>51</v>
      </c>
      <c r="X11" s="6" t="s">
        <v>51</v>
      </c>
      <c r="Y11" s="6" t="s">
        <v>51</v>
      </c>
      <c r="Z11" s="6" t="s">
        <v>51</v>
      </c>
      <c r="AA11" s="6" t="s">
        <v>51</v>
      </c>
      <c r="AB11" s="6" t="s">
        <v>51</v>
      </c>
      <c r="AC11" s="6" t="s">
        <v>51</v>
      </c>
      <c r="AD11" s="6" t="s">
        <v>51</v>
      </c>
      <c r="AE11" s="6" t="s">
        <v>51</v>
      </c>
      <c r="AF11" s="6" t="s">
        <v>40</v>
      </c>
      <c r="AG11" s="6" t="s">
        <v>40</v>
      </c>
      <c r="AH11" s="6" t="s">
        <v>40</v>
      </c>
      <c r="AI11" s="6" t="s">
        <v>40</v>
      </c>
      <c r="AJ11" s="6" t="s">
        <v>40</v>
      </c>
      <c r="AK11" s="6" t="s">
        <v>40</v>
      </c>
      <c r="AL11" s="6" t="s">
        <v>40</v>
      </c>
      <c r="AM11" s="6" t="s">
        <v>40</v>
      </c>
      <c r="AN11" s="6" t="s">
        <v>40</v>
      </c>
      <c r="AO11" s="6" t="s">
        <v>40</v>
      </c>
      <c r="AP11" s="6" t="s">
        <v>51</v>
      </c>
      <c r="AQ11" s="6" t="s">
        <v>51</v>
      </c>
      <c r="AR11" s="6" t="s">
        <v>51</v>
      </c>
      <c r="AS11" s="6" t="s">
        <v>51</v>
      </c>
      <c r="AT11" s="6" t="s">
        <v>51</v>
      </c>
      <c r="AU11" s="6" t="s">
        <v>51</v>
      </c>
      <c r="AV11" s="6" t="s">
        <v>51</v>
      </c>
      <c r="AW11" s="6" t="s">
        <v>51</v>
      </c>
      <c r="AX11" s="6" t="s">
        <v>51</v>
      </c>
      <c r="AY11" s="6" t="s">
        <v>51</v>
      </c>
      <c r="AZ11" s="17" t="s">
        <v>40</v>
      </c>
      <c r="BA11" s="17" t="s">
        <v>40</v>
      </c>
      <c r="BB11" s="17" t="s">
        <v>40</v>
      </c>
      <c r="BC11" s="15">
        <f t="shared" si="0"/>
        <v>17</v>
      </c>
      <c r="BD11" s="15">
        <f t="shared" si="1"/>
        <v>0</v>
      </c>
      <c r="BE11" s="15">
        <f t="shared" si="2"/>
        <v>17</v>
      </c>
      <c r="BF11" s="15">
        <f t="shared" si="3"/>
        <v>204</v>
      </c>
      <c r="BG11" s="16"/>
    </row>
    <row r="12" spans="1:59" ht="15.75" customHeight="1" x14ac:dyDescent="0.2">
      <c r="A12" s="29">
        <f t="shared" si="4"/>
        <v>12000011</v>
      </c>
      <c r="B12" s="29" t="s">
        <v>101</v>
      </c>
      <c r="C12" s="6" t="s">
        <v>25</v>
      </c>
      <c r="D12" s="12">
        <v>62027</v>
      </c>
      <c r="E12" s="12" t="s">
        <v>59</v>
      </c>
      <c r="F12" s="13">
        <v>45072</v>
      </c>
      <c r="G12" s="13">
        <v>45644</v>
      </c>
      <c r="H12" s="13">
        <v>35980</v>
      </c>
      <c r="I12" s="12" t="s">
        <v>60</v>
      </c>
      <c r="J12" s="12" t="s">
        <v>47</v>
      </c>
      <c r="K12" s="12" t="s">
        <v>48</v>
      </c>
      <c r="L12" s="6" t="s">
        <v>49</v>
      </c>
      <c r="M12" s="6" t="s">
        <v>4</v>
      </c>
      <c r="N12" s="29" t="s">
        <v>90</v>
      </c>
      <c r="O12" s="6" t="s">
        <v>50</v>
      </c>
      <c r="P12" s="14">
        <v>46501</v>
      </c>
      <c r="Q12" s="6"/>
      <c r="R12" s="6" t="s">
        <v>40</v>
      </c>
      <c r="S12" s="6" t="s">
        <v>40</v>
      </c>
      <c r="T12" s="6" t="s">
        <v>40</v>
      </c>
      <c r="U12" s="6" t="s">
        <v>40</v>
      </c>
      <c r="V12" s="6" t="s">
        <v>51</v>
      </c>
      <c r="W12" s="6" t="s">
        <v>51</v>
      </c>
      <c r="X12" s="6" t="s">
        <v>51</v>
      </c>
      <c r="Y12" s="6" t="s">
        <v>51</v>
      </c>
      <c r="Z12" s="6" t="s">
        <v>51</v>
      </c>
      <c r="AA12" s="6" t="s">
        <v>51</v>
      </c>
      <c r="AB12" s="6" t="s">
        <v>51</v>
      </c>
      <c r="AC12" s="6" t="s">
        <v>51</v>
      </c>
      <c r="AD12" s="6" t="s">
        <v>51</v>
      </c>
      <c r="AE12" s="6" t="s">
        <v>51</v>
      </c>
      <c r="AF12" s="6" t="s">
        <v>41</v>
      </c>
      <c r="AG12" s="6" t="s">
        <v>41</v>
      </c>
      <c r="AH12" s="6" t="s">
        <v>41</v>
      </c>
      <c r="AI12" s="6" t="s">
        <v>41</v>
      </c>
      <c r="AJ12" s="6" t="s">
        <v>41</v>
      </c>
      <c r="AK12" s="6" t="s">
        <v>41</v>
      </c>
      <c r="AL12" s="6" t="s">
        <v>41</v>
      </c>
      <c r="AM12" s="6" t="s">
        <v>41</v>
      </c>
      <c r="AN12" s="6" t="s">
        <v>41</v>
      </c>
      <c r="AO12" s="6" t="s">
        <v>41</v>
      </c>
      <c r="AP12" s="6" t="s">
        <v>51</v>
      </c>
      <c r="AQ12" s="6" t="s">
        <v>51</v>
      </c>
      <c r="AR12" s="6" t="s">
        <v>51</v>
      </c>
      <c r="AS12" s="6" t="s">
        <v>51</v>
      </c>
      <c r="AT12" s="6" t="s">
        <v>51</v>
      </c>
      <c r="AU12" s="6" t="s">
        <v>51</v>
      </c>
      <c r="AV12" s="6" t="s">
        <v>51</v>
      </c>
      <c r="AW12" s="6" t="s">
        <v>51</v>
      </c>
      <c r="AX12" s="6" t="s">
        <v>51</v>
      </c>
      <c r="AY12" s="6" t="s">
        <v>51</v>
      </c>
      <c r="AZ12" s="17" t="s">
        <v>22</v>
      </c>
      <c r="BA12" s="17" t="s">
        <v>22</v>
      </c>
      <c r="BB12" s="17" t="s">
        <v>22</v>
      </c>
      <c r="BC12" s="15">
        <f t="shared" si="0"/>
        <v>4</v>
      </c>
      <c r="BD12" s="15">
        <f t="shared" si="1"/>
        <v>10</v>
      </c>
      <c r="BE12" s="15">
        <f t="shared" si="2"/>
        <v>14</v>
      </c>
      <c r="BF12" s="15">
        <f t="shared" si="3"/>
        <v>168</v>
      </c>
      <c r="BG12" s="16"/>
    </row>
    <row r="13" spans="1:59" ht="15.75" customHeight="1" x14ac:dyDescent="0.2">
      <c r="A13" s="29">
        <f t="shared" si="4"/>
        <v>12000012</v>
      </c>
      <c r="B13" s="29" t="s">
        <v>102</v>
      </c>
      <c r="C13" s="6" t="s">
        <v>19</v>
      </c>
      <c r="D13" s="12">
        <v>62027</v>
      </c>
      <c r="E13" s="12" t="s">
        <v>59</v>
      </c>
      <c r="F13" s="13">
        <v>44621</v>
      </c>
      <c r="G13" s="12"/>
      <c r="H13" s="13">
        <v>34500</v>
      </c>
      <c r="I13" s="12" t="s">
        <v>60</v>
      </c>
      <c r="J13" s="12" t="s">
        <v>61</v>
      </c>
      <c r="K13" s="12" t="s">
        <v>48</v>
      </c>
      <c r="L13" s="6" t="s">
        <v>56</v>
      </c>
      <c r="M13" s="6" t="s">
        <v>4</v>
      </c>
      <c r="N13" s="29" t="s">
        <v>90</v>
      </c>
      <c r="O13" s="6" t="s">
        <v>50</v>
      </c>
      <c r="P13" s="14">
        <v>46031</v>
      </c>
      <c r="Q13" s="6"/>
      <c r="R13" s="6" t="s">
        <v>51</v>
      </c>
      <c r="S13" s="6" t="s">
        <v>51</v>
      </c>
      <c r="T13" s="6" t="s">
        <v>51</v>
      </c>
      <c r="U13" s="6" t="s">
        <v>51</v>
      </c>
      <c r="V13" s="6" t="s">
        <v>41</v>
      </c>
      <c r="W13" s="6" t="s">
        <v>41</v>
      </c>
      <c r="X13" s="6" t="s">
        <v>41</v>
      </c>
      <c r="Y13" s="6" t="s">
        <v>41</v>
      </c>
      <c r="Z13" s="6" t="s">
        <v>41</v>
      </c>
      <c r="AA13" s="6" t="s">
        <v>41</v>
      </c>
      <c r="AB13" s="6" t="s">
        <v>41</v>
      </c>
      <c r="AC13" s="6" t="s">
        <v>41</v>
      </c>
      <c r="AD13" s="6" t="s">
        <v>41</v>
      </c>
      <c r="AE13" s="6" t="s">
        <v>41</v>
      </c>
      <c r="AF13" s="6" t="s">
        <v>51</v>
      </c>
      <c r="AG13" s="6" t="s">
        <v>51</v>
      </c>
      <c r="AH13" s="6" t="s">
        <v>51</v>
      </c>
      <c r="AI13" s="6" t="s">
        <v>51</v>
      </c>
      <c r="AJ13" s="6" t="s">
        <v>51</v>
      </c>
      <c r="AK13" s="6" t="s">
        <v>51</v>
      </c>
      <c r="AL13" s="6" t="s">
        <v>51</v>
      </c>
      <c r="AM13" s="6" t="s">
        <v>51</v>
      </c>
      <c r="AN13" s="6" t="s">
        <v>51</v>
      </c>
      <c r="AO13" s="6" t="s">
        <v>51</v>
      </c>
      <c r="AP13" s="6" t="s">
        <v>41</v>
      </c>
      <c r="AQ13" s="6" t="s">
        <v>41</v>
      </c>
      <c r="AR13" s="6" t="s">
        <v>41</v>
      </c>
      <c r="AS13" s="6" t="s">
        <v>41</v>
      </c>
      <c r="AT13" s="6" t="s">
        <v>41</v>
      </c>
      <c r="AU13" s="6" t="s">
        <v>41</v>
      </c>
      <c r="AV13" s="6" t="s">
        <v>41</v>
      </c>
      <c r="AW13" s="6" t="s">
        <v>41</v>
      </c>
      <c r="AX13" s="6" t="s">
        <v>41</v>
      </c>
      <c r="AY13" s="6" t="s">
        <v>41</v>
      </c>
      <c r="AZ13" s="17" t="s">
        <v>51</v>
      </c>
      <c r="BA13" s="17" t="s">
        <v>51</v>
      </c>
      <c r="BB13" s="17" t="s">
        <v>51</v>
      </c>
      <c r="BC13" s="15">
        <f t="shared" si="0"/>
        <v>0</v>
      </c>
      <c r="BD13" s="15">
        <f t="shared" si="1"/>
        <v>20</v>
      </c>
      <c r="BE13" s="15">
        <f t="shared" si="2"/>
        <v>20</v>
      </c>
      <c r="BF13" s="15">
        <f t="shared" si="3"/>
        <v>240</v>
      </c>
      <c r="BG13" s="16"/>
    </row>
    <row r="14" spans="1:59" ht="15.75" customHeight="1" x14ac:dyDescent="0.2">
      <c r="A14" s="29">
        <f t="shared" si="4"/>
        <v>12000013</v>
      </c>
      <c r="B14" s="30" t="s">
        <v>103</v>
      </c>
      <c r="C14" s="7" t="s">
        <v>21</v>
      </c>
      <c r="D14" s="7">
        <v>84831</v>
      </c>
      <c r="E14" s="7" t="s">
        <v>54</v>
      </c>
      <c r="F14" s="19">
        <v>44988</v>
      </c>
      <c r="G14" s="19">
        <v>45656</v>
      </c>
      <c r="H14" s="19">
        <v>28002</v>
      </c>
      <c r="I14" s="7" t="s">
        <v>60</v>
      </c>
      <c r="J14" s="7" t="s">
        <v>61</v>
      </c>
      <c r="K14" s="7" t="s">
        <v>48</v>
      </c>
      <c r="L14" s="7" t="s">
        <v>49</v>
      </c>
      <c r="M14" s="7" t="s">
        <v>3</v>
      </c>
      <c r="N14" s="29" t="s">
        <v>90</v>
      </c>
      <c r="O14" s="7" t="s">
        <v>50</v>
      </c>
      <c r="P14" s="7" t="s">
        <v>65</v>
      </c>
      <c r="Q14" s="7"/>
      <c r="R14" s="7" t="s">
        <v>65</v>
      </c>
      <c r="S14" s="7" t="s">
        <v>65</v>
      </c>
      <c r="T14" s="7" t="s">
        <v>65</v>
      </c>
      <c r="U14" s="7" t="s">
        <v>65</v>
      </c>
      <c r="V14" s="7" t="s">
        <v>65</v>
      </c>
      <c r="W14" s="7" t="s">
        <v>65</v>
      </c>
      <c r="X14" s="7" t="s">
        <v>65</v>
      </c>
      <c r="Y14" s="7" t="s">
        <v>65</v>
      </c>
      <c r="Z14" s="7" t="s">
        <v>65</v>
      </c>
      <c r="AA14" s="7" t="s">
        <v>65</v>
      </c>
      <c r="AB14" s="7" t="s">
        <v>65</v>
      </c>
      <c r="AC14" s="7" t="s">
        <v>65</v>
      </c>
      <c r="AD14" s="7" t="s">
        <v>65</v>
      </c>
      <c r="AE14" s="7" t="s">
        <v>65</v>
      </c>
      <c r="AF14" s="7" t="s">
        <v>65</v>
      </c>
      <c r="AG14" s="7" t="s">
        <v>65</v>
      </c>
      <c r="AH14" s="7" t="s">
        <v>65</v>
      </c>
      <c r="AI14" s="7" t="s">
        <v>65</v>
      </c>
      <c r="AJ14" s="7" t="s">
        <v>65</v>
      </c>
      <c r="AK14" s="7" t="s">
        <v>65</v>
      </c>
      <c r="AL14" s="7" t="s">
        <v>65</v>
      </c>
      <c r="AM14" s="7" t="s">
        <v>65</v>
      </c>
      <c r="AN14" s="7" t="s">
        <v>65</v>
      </c>
      <c r="AO14" s="7" t="s">
        <v>65</v>
      </c>
      <c r="AP14" s="7" t="s">
        <v>65</v>
      </c>
      <c r="AQ14" s="7" t="s">
        <v>65</v>
      </c>
      <c r="AR14" s="7" t="s">
        <v>65</v>
      </c>
      <c r="AS14" s="7" t="s">
        <v>65</v>
      </c>
      <c r="AT14" s="7" t="s">
        <v>65</v>
      </c>
      <c r="AU14" s="7" t="s">
        <v>65</v>
      </c>
      <c r="AV14" s="7" t="s">
        <v>65</v>
      </c>
      <c r="AW14" s="7" t="s">
        <v>65</v>
      </c>
      <c r="AX14" s="7" t="s">
        <v>65</v>
      </c>
      <c r="AY14" s="7" t="s">
        <v>65</v>
      </c>
      <c r="AZ14" s="7" t="s">
        <v>65</v>
      </c>
      <c r="BA14" s="7" t="s">
        <v>65</v>
      </c>
      <c r="BB14" s="7" t="s">
        <v>65</v>
      </c>
      <c r="BC14" s="15">
        <f t="shared" si="0"/>
        <v>0</v>
      </c>
      <c r="BD14" s="15">
        <f t="shared" si="1"/>
        <v>0</v>
      </c>
      <c r="BE14" s="15">
        <f t="shared" si="2"/>
        <v>0</v>
      </c>
      <c r="BF14" s="15">
        <f t="shared" si="3"/>
        <v>0</v>
      </c>
      <c r="BG14" s="20"/>
    </row>
    <row r="15" spans="1:59" ht="15.75" customHeight="1" x14ac:dyDescent="0.2">
      <c r="A15" s="29">
        <f t="shared" si="4"/>
        <v>12000014</v>
      </c>
      <c r="B15" s="29" t="s">
        <v>104</v>
      </c>
      <c r="C15" s="6" t="s">
        <v>21</v>
      </c>
      <c r="D15" s="12">
        <v>84831</v>
      </c>
      <c r="E15" s="12" t="s">
        <v>54</v>
      </c>
      <c r="F15" s="13">
        <v>44662</v>
      </c>
      <c r="G15" s="12"/>
      <c r="H15" s="13">
        <v>33263</v>
      </c>
      <c r="I15" s="12" t="s">
        <v>60</v>
      </c>
      <c r="J15" s="12" t="s">
        <v>61</v>
      </c>
      <c r="K15" s="12" t="s">
        <v>48</v>
      </c>
      <c r="L15" s="6" t="s">
        <v>49</v>
      </c>
      <c r="M15" s="6" t="s">
        <v>3</v>
      </c>
      <c r="N15" s="29" t="s">
        <v>90</v>
      </c>
      <c r="O15" s="6" t="s">
        <v>50</v>
      </c>
      <c r="P15" s="14" t="s">
        <v>68</v>
      </c>
      <c r="Q15" s="6"/>
      <c r="R15" s="6" t="s">
        <v>40</v>
      </c>
      <c r="S15" s="6" t="s">
        <v>40</v>
      </c>
      <c r="T15" s="6" t="s">
        <v>40</v>
      </c>
      <c r="U15" s="6" t="s">
        <v>40</v>
      </c>
      <c r="V15" s="6" t="s">
        <v>51</v>
      </c>
      <c r="W15" s="6" t="s">
        <v>51</v>
      </c>
      <c r="X15" s="6" t="s">
        <v>51</v>
      </c>
      <c r="Y15" s="6" t="s">
        <v>51</v>
      </c>
      <c r="Z15" s="6" t="s">
        <v>51</v>
      </c>
      <c r="AA15" s="6" t="s">
        <v>51</v>
      </c>
      <c r="AB15" s="6" t="s">
        <v>51</v>
      </c>
      <c r="AC15" s="6" t="s">
        <v>51</v>
      </c>
      <c r="AD15" s="6" t="s">
        <v>51</v>
      </c>
      <c r="AE15" s="6" t="s">
        <v>51</v>
      </c>
      <c r="AF15" s="6" t="s">
        <v>40</v>
      </c>
      <c r="AG15" s="6" t="s">
        <v>40</v>
      </c>
      <c r="AH15" s="6" t="s">
        <v>40</v>
      </c>
      <c r="AI15" s="6" t="s">
        <v>40</v>
      </c>
      <c r="AJ15" s="6" t="s">
        <v>40</v>
      </c>
      <c r="AK15" s="6" t="s">
        <v>40</v>
      </c>
      <c r="AL15" s="6" t="s">
        <v>40</v>
      </c>
      <c r="AM15" s="6" t="s">
        <v>40</v>
      </c>
      <c r="AN15" s="6" t="s">
        <v>40</v>
      </c>
      <c r="AO15" s="6" t="s">
        <v>40</v>
      </c>
      <c r="AP15" s="6" t="s">
        <v>51</v>
      </c>
      <c r="AQ15" s="6" t="s">
        <v>51</v>
      </c>
      <c r="AR15" s="6" t="s">
        <v>51</v>
      </c>
      <c r="AS15" s="6" t="s">
        <v>51</v>
      </c>
      <c r="AT15" s="6" t="s">
        <v>51</v>
      </c>
      <c r="AU15" s="6" t="s">
        <v>51</v>
      </c>
      <c r="AV15" s="6" t="s">
        <v>51</v>
      </c>
      <c r="AW15" s="6" t="s">
        <v>51</v>
      </c>
      <c r="AX15" s="6" t="s">
        <v>51</v>
      </c>
      <c r="AY15" s="6" t="s">
        <v>51</v>
      </c>
      <c r="AZ15" s="17" t="s">
        <v>40</v>
      </c>
      <c r="BA15" s="17" t="s">
        <v>40</v>
      </c>
      <c r="BB15" s="17" t="s">
        <v>40</v>
      </c>
      <c r="BC15" s="15">
        <f t="shared" si="0"/>
        <v>17</v>
      </c>
      <c r="BD15" s="15">
        <f t="shared" si="1"/>
        <v>0</v>
      </c>
      <c r="BE15" s="15">
        <f t="shared" si="2"/>
        <v>17</v>
      </c>
      <c r="BF15" s="15">
        <f t="shared" si="3"/>
        <v>204</v>
      </c>
      <c r="BG15" s="16"/>
    </row>
    <row r="16" spans="1:59" ht="15.75" customHeight="1" x14ac:dyDescent="0.2">
      <c r="A16" s="29">
        <f t="shared" si="4"/>
        <v>12000015</v>
      </c>
      <c r="B16" s="29" t="s">
        <v>105</v>
      </c>
      <c r="C16" s="6" t="s">
        <v>21</v>
      </c>
      <c r="D16" s="12">
        <v>84831</v>
      </c>
      <c r="E16" s="12" t="s">
        <v>54</v>
      </c>
      <c r="F16" s="13">
        <v>45253</v>
      </c>
      <c r="G16" s="12"/>
      <c r="H16" s="13">
        <v>29825</v>
      </c>
      <c r="I16" s="12" t="s">
        <v>46</v>
      </c>
      <c r="J16" s="12" t="s">
        <v>47</v>
      </c>
      <c r="K16" s="12" t="s">
        <v>48</v>
      </c>
      <c r="L16" s="6" t="s">
        <v>56</v>
      </c>
      <c r="M16" s="6" t="s">
        <v>3</v>
      </c>
      <c r="N16" s="29" t="s">
        <v>90</v>
      </c>
      <c r="O16" s="6" t="s">
        <v>50</v>
      </c>
      <c r="P16" s="14">
        <v>46331</v>
      </c>
      <c r="Q16" s="6"/>
      <c r="R16" s="6" t="s">
        <v>51</v>
      </c>
      <c r="S16" s="6" t="s">
        <v>51</v>
      </c>
      <c r="T16" s="6" t="s">
        <v>51</v>
      </c>
      <c r="U16" s="6" t="s">
        <v>51</v>
      </c>
      <c r="V16" s="6" t="s">
        <v>40</v>
      </c>
      <c r="W16" s="6" t="s">
        <v>40</v>
      </c>
      <c r="X16" s="6" t="s">
        <v>40</v>
      </c>
      <c r="Y16" s="6" t="s">
        <v>40</v>
      </c>
      <c r="Z16" s="6" t="s">
        <v>40</v>
      </c>
      <c r="AA16" s="6" t="s">
        <v>40</v>
      </c>
      <c r="AB16" s="6" t="s">
        <v>40</v>
      </c>
      <c r="AC16" s="6" t="s">
        <v>40</v>
      </c>
      <c r="AD16" s="6" t="s">
        <v>40</v>
      </c>
      <c r="AE16" s="6" t="s">
        <v>40</v>
      </c>
      <c r="AF16" s="6" t="s">
        <v>51</v>
      </c>
      <c r="AG16" s="6" t="s">
        <v>51</v>
      </c>
      <c r="AH16" s="6" t="s">
        <v>51</v>
      </c>
      <c r="AI16" s="6" t="s">
        <v>51</v>
      </c>
      <c r="AJ16" s="6" t="s">
        <v>51</v>
      </c>
      <c r="AK16" s="6" t="s">
        <v>51</v>
      </c>
      <c r="AL16" s="6" t="s">
        <v>51</v>
      </c>
      <c r="AM16" s="6" t="s">
        <v>51</v>
      </c>
      <c r="AN16" s="6" t="s">
        <v>51</v>
      </c>
      <c r="AO16" s="6" t="s">
        <v>51</v>
      </c>
      <c r="AP16" s="6" t="s">
        <v>40</v>
      </c>
      <c r="AQ16" s="6" t="s">
        <v>40</v>
      </c>
      <c r="AR16" s="6" t="s">
        <v>40</v>
      </c>
      <c r="AS16" s="6" t="s">
        <v>40</v>
      </c>
      <c r="AT16" s="6" t="s">
        <v>40</v>
      </c>
      <c r="AU16" s="6" t="s">
        <v>40</v>
      </c>
      <c r="AV16" s="6" t="s">
        <v>40</v>
      </c>
      <c r="AW16" s="6" t="s">
        <v>40</v>
      </c>
      <c r="AX16" s="6" t="s">
        <v>40</v>
      </c>
      <c r="AY16" s="6" t="s">
        <v>40</v>
      </c>
      <c r="AZ16" s="17" t="s">
        <v>51</v>
      </c>
      <c r="BA16" s="17" t="s">
        <v>51</v>
      </c>
      <c r="BB16" s="17" t="s">
        <v>51</v>
      </c>
      <c r="BC16" s="15">
        <f t="shared" si="0"/>
        <v>20</v>
      </c>
      <c r="BD16" s="15">
        <f t="shared" si="1"/>
        <v>0</v>
      </c>
      <c r="BE16" s="15">
        <f t="shared" si="2"/>
        <v>20</v>
      </c>
      <c r="BF16" s="15">
        <f t="shared" si="3"/>
        <v>240</v>
      </c>
      <c r="BG16" s="16"/>
    </row>
    <row r="17" spans="1:59" ht="15.75" customHeight="1" x14ac:dyDescent="0.2">
      <c r="A17" s="29">
        <f t="shared" si="4"/>
        <v>12000016</v>
      </c>
      <c r="B17" s="30" t="s">
        <v>106</v>
      </c>
      <c r="C17" s="7" t="s">
        <v>21</v>
      </c>
      <c r="D17" s="7">
        <v>84831</v>
      </c>
      <c r="E17" s="7" t="s">
        <v>54</v>
      </c>
      <c r="F17" s="19">
        <v>44924</v>
      </c>
      <c r="G17" s="19">
        <v>45645</v>
      </c>
      <c r="H17" s="19">
        <v>35007</v>
      </c>
      <c r="I17" s="7" t="s">
        <v>60</v>
      </c>
      <c r="J17" s="7" t="s">
        <v>61</v>
      </c>
      <c r="K17" s="7" t="s">
        <v>48</v>
      </c>
      <c r="L17" s="7" t="s">
        <v>56</v>
      </c>
      <c r="M17" s="7" t="s">
        <v>3</v>
      </c>
      <c r="N17" s="29" t="s">
        <v>90</v>
      </c>
      <c r="O17" s="7" t="s">
        <v>50</v>
      </c>
      <c r="P17" s="7" t="s">
        <v>65</v>
      </c>
      <c r="Q17" s="7"/>
      <c r="R17" s="7" t="s">
        <v>65</v>
      </c>
      <c r="S17" s="7" t="s">
        <v>65</v>
      </c>
      <c r="T17" s="7" t="s">
        <v>65</v>
      </c>
      <c r="U17" s="7" t="s">
        <v>65</v>
      </c>
      <c r="V17" s="7" t="s">
        <v>65</v>
      </c>
      <c r="W17" s="7" t="s">
        <v>65</v>
      </c>
      <c r="X17" s="7" t="s">
        <v>65</v>
      </c>
      <c r="Y17" s="7" t="s">
        <v>65</v>
      </c>
      <c r="Z17" s="7" t="s">
        <v>65</v>
      </c>
      <c r="AA17" s="7" t="s">
        <v>65</v>
      </c>
      <c r="AB17" s="7" t="s">
        <v>65</v>
      </c>
      <c r="AC17" s="7" t="s">
        <v>65</v>
      </c>
      <c r="AD17" s="7" t="s">
        <v>65</v>
      </c>
      <c r="AE17" s="7" t="s">
        <v>65</v>
      </c>
      <c r="AF17" s="7" t="s">
        <v>65</v>
      </c>
      <c r="AG17" s="7" t="s">
        <v>65</v>
      </c>
      <c r="AH17" s="7" t="s">
        <v>65</v>
      </c>
      <c r="AI17" s="7" t="s">
        <v>65</v>
      </c>
      <c r="AJ17" s="7" t="s">
        <v>65</v>
      </c>
      <c r="AK17" s="7" t="s">
        <v>65</v>
      </c>
      <c r="AL17" s="7" t="s">
        <v>65</v>
      </c>
      <c r="AM17" s="7" t="s">
        <v>65</v>
      </c>
      <c r="AN17" s="7" t="s">
        <v>65</v>
      </c>
      <c r="AO17" s="7" t="s">
        <v>65</v>
      </c>
      <c r="AP17" s="7" t="s">
        <v>65</v>
      </c>
      <c r="AQ17" s="7" t="s">
        <v>65</v>
      </c>
      <c r="AR17" s="7" t="s">
        <v>65</v>
      </c>
      <c r="AS17" s="7" t="s">
        <v>65</v>
      </c>
      <c r="AT17" s="7" t="s">
        <v>65</v>
      </c>
      <c r="AU17" s="7" t="s">
        <v>65</v>
      </c>
      <c r="AV17" s="7" t="s">
        <v>65</v>
      </c>
      <c r="AW17" s="7" t="s">
        <v>65</v>
      </c>
      <c r="AX17" s="7" t="s">
        <v>65</v>
      </c>
      <c r="AY17" s="7" t="s">
        <v>65</v>
      </c>
      <c r="AZ17" s="7" t="s">
        <v>65</v>
      </c>
      <c r="BA17" s="7" t="s">
        <v>65</v>
      </c>
      <c r="BB17" s="7" t="s">
        <v>65</v>
      </c>
      <c r="BC17" s="15">
        <f t="shared" si="0"/>
        <v>0</v>
      </c>
      <c r="BD17" s="15">
        <f t="shared" si="1"/>
        <v>0</v>
      </c>
      <c r="BE17" s="15">
        <f t="shared" si="2"/>
        <v>0</v>
      </c>
      <c r="BF17" s="15">
        <f t="shared" si="3"/>
        <v>0</v>
      </c>
      <c r="BG17" s="20"/>
    </row>
    <row r="18" spans="1:59" ht="15.75" customHeight="1" x14ac:dyDescent="0.2">
      <c r="A18" s="29">
        <f t="shared" si="4"/>
        <v>12000017</v>
      </c>
      <c r="B18" s="29" t="s">
        <v>107</v>
      </c>
      <c r="C18" s="6" t="s">
        <v>25</v>
      </c>
      <c r="D18" s="12">
        <v>62028</v>
      </c>
      <c r="E18" s="12" t="s">
        <v>69</v>
      </c>
      <c r="F18" s="13">
        <v>45012</v>
      </c>
      <c r="G18" s="12"/>
      <c r="H18" s="13">
        <v>32108</v>
      </c>
      <c r="I18" s="12" t="s">
        <v>60</v>
      </c>
      <c r="J18" s="12" t="s">
        <v>70</v>
      </c>
      <c r="K18" s="12" t="s">
        <v>55</v>
      </c>
      <c r="L18" s="6" t="s">
        <v>49</v>
      </c>
      <c r="M18" s="6" t="s">
        <v>4</v>
      </c>
      <c r="N18" s="29" t="s">
        <v>90</v>
      </c>
      <c r="O18" s="6" t="s">
        <v>50</v>
      </c>
      <c r="P18" s="14">
        <v>46423</v>
      </c>
      <c r="Q18" s="6"/>
      <c r="R18" s="6" t="s">
        <v>40</v>
      </c>
      <c r="S18" s="6" t="s">
        <v>40</v>
      </c>
      <c r="T18" s="6" t="s">
        <v>40</v>
      </c>
      <c r="U18" s="6" t="s">
        <v>40</v>
      </c>
      <c r="V18" s="6" t="s">
        <v>51</v>
      </c>
      <c r="W18" s="6" t="s">
        <v>51</v>
      </c>
      <c r="X18" s="6" t="s">
        <v>51</v>
      </c>
      <c r="Y18" s="6" t="s">
        <v>51</v>
      </c>
      <c r="Z18" s="6" t="s">
        <v>51</v>
      </c>
      <c r="AA18" s="6" t="s">
        <v>51</v>
      </c>
      <c r="AB18" s="6" t="s">
        <v>51</v>
      </c>
      <c r="AC18" s="6" t="s">
        <v>51</v>
      </c>
      <c r="AD18" s="6" t="s">
        <v>51</v>
      </c>
      <c r="AE18" s="6" t="s">
        <v>51</v>
      </c>
      <c r="AF18" s="6" t="s">
        <v>40</v>
      </c>
      <c r="AG18" s="6" t="s">
        <v>40</v>
      </c>
      <c r="AH18" s="6" t="s">
        <v>40</v>
      </c>
      <c r="AI18" s="6" t="s">
        <v>40</v>
      </c>
      <c r="AJ18" s="6" t="s">
        <v>40</v>
      </c>
      <c r="AK18" s="6" t="s">
        <v>40</v>
      </c>
      <c r="AL18" s="6" t="s">
        <v>40</v>
      </c>
      <c r="AM18" s="6" t="s">
        <v>40</v>
      </c>
      <c r="AN18" s="6" t="s">
        <v>40</v>
      </c>
      <c r="AO18" s="6" t="s">
        <v>40</v>
      </c>
      <c r="AP18" s="6" t="s">
        <v>51</v>
      </c>
      <c r="AQ18" s="6" t="s">
        <v>51</v>
      </c>
      <c r="AR18" s="6" t="s">
        <v>51</v>
      </c>
      <c r="AS18" s="6" t="s">
        <v>51</v>
      </c>
      <c r="AT18" s="6" t="s">
        <v>51</v>
      </c>
      <c r="AU18" s="6" t="s">
        <v>51</v>
      </c>
      <c r="AV18" s="6" t="s">
        <v>51</v>
      </c>
      <c r="AW18" s="6" t="s">
        <v>51</v>
      </c>
      <c r="AX18" s="6" t="s">
        <v>51</v>
      </c>
      <c r="AY18" s="6" t="s">
        <v>51</v>
      </c>
      <c r="AZ18" s="17" t="s">
        <v>41</v>
      </c>
      <c r="BA18" s="17" t="s">
        <v>41</v>
      </c>
      <c r="BB18" s="17" t="s">
        <v>41</v>
      </c>
      <c r="BC18" s="15">
        <f t="shared" si="0"/>
        <v>14</v>
      </c>
      <c r="BD18" s="15">
        <f t="shared" si="1"/>
        <v>3</v>
      </c>
      <c r="BE18" s="15">
        <f t="shared" si="2"/>
        <v>17</v>
      </c>
      <c r="BF18" s="15">
        <f t="shared" si="3"/>
        <v>204</v>
      </c>
      <c r="BG18" s="16"/>
    </row>
    <row r="19" spans="1:59" ht="15.75" customHeight="1" x14ac:dyDescent="0.2">
      <c r="A19" s="29">
        <f t="shared" si="4"/>
        <v>12000018</v>
      </c>
      <c r="B19" s="29" t="s">
        <v>108</v>
      </c>
      <c r="C19" s="6" t="s">
        <v>19</v>
      </c>
      <c r="D19" s="12">
        <v>62027</v>
      </c>
      <c r="E19" s="12" t="s">
        <v>59</v>
      </c>
      <c r="F19" s="13">
        <v>44403</v>
      </c>
      <c r="G19" s="12"/>
      <c r="H19" s="13">
        <v>36388</v>
      </c>
      <c r="I19" s="12" t="s">
        <v>46</v>
      </c>
      <c r="J19" s="12" t="s">
        <v>47</v>
      </c>
      <c r="K19" s="12" t="s">
        <v>48</v>
      </c>
      <c r="L19" s="6" t="s">
        <v>49</v>
      </c>
      <c r="M19" s="6" t="s">
        <v>4</v>
      </c>
      <c r="N19" s="29" t="s">
        <v>90</v>
      </c>
      <c r="O19" s="6" t="s">
        <v>50</v>
      </c>
      <c r="P19" s="14">
        <v>45803</v>
      </c>
      <c r="Q19" s="6"/>
      <c r="R19" s="6" t="s">
        <v>40</v>
      </c>
      <c r="S19" s="6" t="s">
        <v>40</v>
      </c>
      <c r="T19" s="6" t="s">
        <v>40</v>
      </c>
      <c r="U19" s="6" t="s">
        <v>40</v>
      </c>
      <c r="V19" s="6" t="s">
        <v>51</v>
      </c>
      <c r="W19" s="6" t="s">
        <v>51</v>
      </c>
      <c r="X19" s="6" t="s">
        <v>51</v>
      </c>
      <c r="Y19" s="6" t="s">
        <v>51</v>
      </c>
      <c r="Z19" s="6" t="s">
        <v>51</v>
      </c>
      <c r="AA19" s="6" t="s">
        <v>51</v>
      </c>
      <c r="AB19" s="6" t="s">
        <v>51</v>
      </c>
      <c r="AC19" s="6" t="s">
        <v>51</v>
      </c>
      <c r="AD19" s="6" t="s">
        <v>51</v>
      </c>
      <c r="AE19" s="6" t="s">
        <v>51</v>
      </c>
      <c r="AF19" s="6" t="s">
        <v>40</v>
      </c>
      <c r="AG19" s="6" t="s">
        <v>40</v>
      </c>
      <c r="AH19" s="6" t="s">
        <v>40</v>
      </c>
      <c r="AI19" s="6" t="s">
        <v>40</v>
      </c>
      <c r="AJ19" s="6" t="s">
        <v>40</v>
      </c>
      <c r="AK19" s="6" t="s">
        <v>40</v>
      </c>
      <c r="AL19" s="6" t="s">
        <v>40</v>
      </c>
      <c r="AM19" s="6" t="s">
        <v>40</v>
      </c>
      <c r="AN19" s="6" t="s">
        <v>40</v>
      </c>
      <c r="AO19" s="6" t="s">
        <v>40</v>
      </c>
      <c r="AP19" s="6" t="s">
        <v>51</v>
      </c>
      <c r="AQ19" s="6" t="s">
        <v>51</v>
      </c>
      <c r="AR19" s="6" t="s">
        <v>51</v>
      </c>
      <c r="AS19" s="6" t="s">
        <v>51</v>
      </c>
      <c r="AT19" s="6" t="s">
        <v>51</v>
      </c>
      <c r="AU19" s="6" t="s">
        <v>51</v>
      </c>
      <c r="AV19" s="6" t="s">
        <v>51</v>
      </c>
      <c r="AW19" s="6" t="s">
        <v>51</v>
      </c>
      <c r="AX19" s="6" t="s">
        <v>51</v>
      </c>
      <c r="AY19" s="6" t="s">
        <v>51</v>
      </c>
      <c r="AZ19" s="17" t="s">
        <v>40</v>
      </c>
      <c r="BA19" s="17" t="s">
        <v>40</v>
      </c>
      <c r="BB19" s="17" t="s">
        <v>40</v>
      </c>
      <c r="BC19" s="15">
        <f t="shared" si="0"/>
        <v>17</v>
      </c>
      <c r="BD19" s="15">
        <f t="shared" si="1"/>
        <v>0</v>
      </c>
      <c r="BE19" s="15">
        <f t="shared" si="2"/>
        <v>17</v>
      </c>
      <c r="BF19" s="15">
        <f t="shared" si="3"/>
        <v>204</v>
      </c>
      <c r="BG19" s="16"/>
    </row>
    <row r="20" spans="1:59" ht="15.75" customHeight="1" x14ac:dyDescent="0.2">
      <c r="A20" s="29">
        <f t="shared" si="4"/>
        <v>12000019</v>
      </c>
      <c r="B20" s="30" t="s">
        <v>109</v>
      </c>
      <c r="C20" s="7" t="s">
        <v>71</v>
      </c>
      <c r="D20" s="7">
        <v>84831</v>
      </c>
      <c r="E20" s="7" t="s">
        <v>54</v>
      </c>
      <c r="F20" s="19">
        <v>43663</v>
      </c>
      <c r="G20" s="19">
        <v>45685</v>
      </c>
      <c r="H20" s="19">
        <v>30690</v>
      </c>
      <c r="I20" s="7" t="s">
        <v>60</v>
      </c>
      <c r="J20" s="7" t="s">
        <v>47</v>
      </c>
      <c r="K20" s="7" t="s">
        <v>48</v>
      </c>
      <c r="L20" s="7" t="s">
        <v>56</v>
      </c>
      <c r="M20" s="7" t="s">
        <v>3</v>
      </c>
      <c r="N20" s="29" t="s">
        <v>90</v>
      </c>
      <c r="O20" s="7" t="s">
        <v>50</v>
      </c>
      <c r="P20" s="7" t="s">
        <v>65</v>
      </c>
      <c r="Q20" s="7"/>
      <c r="R20" s="7" t="s">
        <v>65</v>
      </c>
      <c r="S20" s="7" t="s">
        <v>65</v>
      </c>
      <c r="T20" s="7" t="s">
        <v>65</v>
      </c>
      <c r="U20" s="7" t="s">
        <v>65</v>
      </c>
      <c r="V20" s="7" t="s">
        <v>65</v>
      </c>
      <c r="W20" s="7" t="s">
        <v>65</v>
      </c>
      <c r="X20" s="7" t="s">
        <v>65</v>
      </c>
      <c r="Y20" s="7" t="s">
        <v>65</v>
      </c>
      <c r="Z20" s="7" t="s">
        <v>65</v>
      </c>
      <c r="AA20" s="7" t="s">
        <v>65</v>
      </c>
      <c r="AB20" s="7" t="s">
        <v>65</v>
      </c>
      <c r="AC20" s="7" t="s">
        <v>65</v>
      </c>
      <c r="AD20" s="7" t="s">
        <v>65</v>
      </c>
      <c r="AE20" s="7" t="s">
        <v>65</v>
      </c>
      <c r="AF20" s="7" t="s">
        <v>65</v>
      </c>
      <c r="AG20" s="7" t="s">
        <v>65</v>
      </c>
      <c r="AH20" s="7" t="s">
        <v>65</v>
      </c>
      <c r="AI20" s="7" t="s">
        <v>65</v>
      </c>
      <c r="AJ20" s="7" t="s">
        <v>65</v>
      </c>
      <c r="AK20" s="7" t="s">
        <v>65</v>
      </c>
      <c r="AL20" s="7" t="s">
        <v>65</v>
      </c>
      <c r="AM20" s="7" t="s">
        <v>65</v>
      </c>
      <c r="AN20" s="7" t="s">
        <v>65</v>
      </c>
      <c r="AO20" s="7" t="s">
        <v>65</v>
      </c>
      <c r="AP20" s="7" t="s">
        <v>65</v>
      </c>
      <c r="AQ20" s="7" t="s">
        <v>65</v>
      </c>
      <c r="AR20" s="7" t="s">
        <v>65</v>
      </c>
      <c r="AS20" s="7" t="s">
        <v>65</v>
      </c>
      <c r="AT20" s="7" t="s">
        <v>65</v>
      </c>
      <c r="AU20" s="7" t="s">
        <v>65</v>
      </c>
      <c r="AV20" s="7" t="s">
        <v>65</v>
      </c>
      <c r="AW20" s="7" t="s">
        <v>65</v>
      </c>
      <c r="AX20" s="7" t="s">
        <v>65</v>
      </c>
      <c r="AY20" s="7" t="s">
        <v>65</v>
      </c>
      <c r="AZ20" s="7" t="s">
        <v>65</v>
      </c>
      <c r="BA20" s="7" t="s">
        <v>65</v>
      </c>
      <c r="BB20" s="7" t="s">
        <v>65</v>
      </c>
      <c r="BC20" s="15">
        <f t="shared" si="0"/>
        <v>0</v>
      </c>
      <c r="BD20" s="15">
        <f t="shared" si="1"/>
        <v>0</v>
      </c>
      <c r="BE20" s="15">
        <f t="shared" si="2"/>
        <v>0</v>
      </c>
      <c r="BF20" s="15">
        <f t="shared" si="3"/>
        <v>0</v>
      </c>
      <c r="BG20" s="20"/>
    </row>
    <row r="21" spans="1:59" ht="15.75" customHeight="1" x14ac:dyDescent="0.2">
      <c r="A21" s="29">
        <f t="shared" si="4"/>
        <v>12000020</v>
      </c>
      <c r="B21" s="29" t="s">
        <v>110</v>
      </c>
      <c r="C21" s="6" t="s">
        <v>24</v>
      </c>
      <c r="D21" s="12">
        <v>62027</v>
      </c>
      <c r="E21" s="12" t="s">
        <v>59</v>
      </c>
      <c r="F21" s="13">
        <v>44558</v>
      </c>
      <c r="G21" s="12"/>
      <c r="H21" s="13">
        <v>24730</v>
      </c>
      <c r="I21" s="12" t="s">
        <v>46</v>
      </c>
      <c r="J21" s="12" t="s">
        <v>64</v>
      </c>
      <c r="K21" s="12" t="s">
        <v>55</v>
      </c>
      <c r="L21" s="6" t="s">
        <v>56</v>
      </c>
      <c r="M21" s="6" t="s">
        <v>4</v>
      </c>
      <c r="N21" s="29" t="s">
        <v>90</v>
      </c>
      <c r="O21" s="6" t="s">
        <v>50</v>
      </c>
      <c r="P21" s="14">
        <v>45924</v>
      </c>
      <c r="Q21" s="6"/>
      <c r="R21" s="6" t="s">
        <v>51</v>
      </c>
      <c r="S21" s="6" t="s">
        <v>51</v>
      </c>
      <c r="T21" s="6" t="s">
        <v>51</v>
      </c>
      <c r="U21" s="6" t="s">
        <v>51</v>
      </c>
      <c r="V21" s="6" t="s">
        <v>72</v>
      </c>
      <c r="W21" s="6" t="s">
        <v>40</v>
      </c>
      <c r="X21" s="6" t="s">
        <v>40</v>
      </c>
      <c r="Y21" s="6" t="s">
        <v>40</v>
      </c>
      <c r="Z21" s="6" t="s">
        <v>40</v>
      </c>
      <c r="AA21" s="6" t="s">
        <v>40</v>
      </c>
      <c r="AB21" s="6" t="s">
        <v>40</v>
      </c>
      <c r="AC21" s="6" t="s">
        <v>40</v>
      </c>
      <c r="AD21" s="6" t="s">
        <v>40</v>
      </c>
      <c r="AE21" s="6" t="s">
        <v>40</v>
      </c>
      <c r="AF21" s="6" t="s">
        <v>51</v>
      </c>
      <c r="AG21" s="6" t="s">
        <v>51</v>
      </c>
      <c r="AH21" s="6" t="s">
        <v>51</v>
      </c>
      <c r="AI21" s="6" t="s">
        <v>51</v>
      </c>
      <c r="AJ21" s="6" t="s">
        <v>51</v>
      </c>
      <c r="AK21" s="6" t="s">
        <v>51</v>
      </c>
      <c r="AL21" s="6" t="s">
        <v>51</v>
      </c>
      <c r="AM21" s="6" t="s">
        <v>51</v>
      </c>
      <c r="AN21" s="6" t="s">
        <v>51</v>
      </c>
      <c r="AO21" s="6" t="s">
        <v>51</v>
      </c>
      <c r="AP21" s="6" t="s">
        <v>40</v>
      </c>
      <c r="AQ21" s="6" t="s">
        <v>40</v>
      </c>
      <c r="AR21" s="6" t="s">
        <v>40</v>
      </c>
      <c r="AS21" s="6" t="s">
        <v>40</v>
      </c>
      <c r="AT21" s="6" t="s">
        <v>40</v>
      </c>
      <c r="AU21" s="6" t="s">
        <v>40</v>
      </c>
      <c r="AV21" s="6" t="s">
        <v>40</v>
      </c>
      <c r="AW21" s="6" t="s">
        <v>40</v>
      </c>
      <c r="AX21" s="6" t="s">
        <v>40</v>
      </c>
      <c r="AY21" s="6" t="s">
        <v>40</v>
      </c>
      <c r="AZ21" s="17" t="s">
        <v>51</v>
      </c>
      <c r="BA21" s="17" t="s">
        <v>51</v>
      </c>
      <c r="BB21" s="17" t="s">
        <v>51</v>
      </c>
      <c r="BC21" s="15">
        <f t="shared" si="0"/>
        <v>19</v>
      </c>
      <c r="BD21" s="15">
        <f t="shared" si="1"/>
        <v>0</v>
      </c>
      <c r="BE21" s="15">
        <f t="shared" si="2"/>
        <v>19</v>
      </c>
      <c r="BF21" s="15">
        <f t="shared" si="3"/>
        <v>228</v>
      </c>
      <c r="BG21" s="16"/>
    </row>
    <row r="22" spans="1:59" ht="15.75" customHeight="1" x14ac:dyDescent="0.2">
      <c r="A22" s="29">
        <f t="shared" si="4"/>
        <v>12000021</v>
      </c>
      <c r="B22" s="29" t="s">
        <v>111</v>
      </c>
      <c r="C22" s="6" t="s">
        <v>19</v>
      </c>
      <c r="D22" s="12">
        <v>62027</v>
      </c>
      <c r="E22" s="12" t="s">
        <v>59</v>
      </c>
      <c r="F22" s="13">
        <v>45042</v>
      </c>
      <c r="G22" s="12"/>
      <c r="H22" s="13">
        <v>36138</v>
      </c>
      <c r="I22" s="12" t="s">
        <v>60</v>
      </c>
      <c r="J22" s="12" t="s">
        <v>66</v>
      </c>
      <c r="K22" s="12" t="s">
        <v>48</v>
      </c>
      <c r="L22" s="6" t="s">
        <v>56</v>
      </c>
      <c r="M22" s="6" t="s">
        <v>4</v>
      </c>
      <c r="N22" s="29" t="s">
        <v>90</v>
      </c>
      <c r="O22" s="6" t="s">
        <v>50</v>
      </c>
      <c r="P22" s="14">
        <v>45382</v>
      </c>
      <c r="Q22" s="6" t="s">
        <v>73</v>
      </c>
      <c r="R22" s="6" t="s">
        <v>52</v>
      </c>
      <c r="S22" s="6" t="s">
        <v>52</v>
      </c>
      <c r="T22" s="6" t="s">
        <v>52</v>
      </c>
      <c r="U22" s="6" t="s">
        <v>52</v>
      </c>
      <c r="V22" s="6" t="s">
        <v>52</v>
      </c>
      <c r="W22" s="6" t="s">
        <v>52</v>
      </c>
      <c r="X22" s="6" t="s">
        <v>52</v>
      </c>
      <c r="Y22" s="6" t="s">
        <v>52</v>
      </c>
      <c r="Z22" s="6" t="s">
        <v>52</v>
      </c>
      <c r="AA22" s="6" t="s">
        <v>52</v>
      </c>
      <c r="AB22" s="6" t="s">
        <v>52</v>
      </c>
      <c r="AC22" s="6" t="s">
        <v>52</v>
      </c>
      <c r="AD22" s="6" t="s">
        <v>52</v>
      </c>
      <c r="AE22" s="6" t="s">
        <v>52</v>
      </c>
      <c r="AF22" s="6" t="s">
        <v>52</v>
      </c>
      <c r="AG22" s="6" t="s">
        <v>52</v>
      </c>
      <c r="AH22" s="6" t="s">
        <v>52</v>
      </c>
      <c r="AI22" s="6" t="s">
        <v>52</v>
      </c>
      <c r="AJ22" s="6" t="s">
        <v>52</v>
      </c>
      <c r="AK22" s="6" t="s">
        <v>52</v>
      </c>
      <c r="AL22" s="6" t="s">
        <v>52</v>
      </c>
      <c r="AM22" s="6" t="s">
        <v>52</v>
      </c>
      <c r="AN22" s="6" t="s">
        <v>52</v>
      </c>
      <c r="AO22" s="6" t="s">
        <v>52</v>
      </c>
      <c r="AP22" s="6" t="s">
        <v>52</v>
      </c>
      <c r="AQ22" s="6" t="s">
        <v>52</v>
      </c>
      <c r="AR22" s="6" t="s">
        <v>52</v>
      </c>
      <c r="AS22" s="6" t="s">
        <v>52</v>
      </c>
      <c r="AT22" s="6" t="s">
        <v>52</v>
      </c>
      <c r="AU22" s="6" t="s">
        <v>52</v>
      </c>
      <c r="AV22" s="6" t="s">
        <v>52</v>
      </c>
      <c r="AW22" s="6" t="s">
        <v>52</v>
      </c>
      <c r="AX22" s="6" t="s">
        <v>52</v>
      </c>
      <c r="AY22" s="6" t="s">
        <v>52</v>
      </c>
      <c r="AZ22" s="17" t="s">
        <v>52</v>
      </c>
      <c r="BA22" s="17" t="s">
        <v>52</v>
      </c>
      <c r="BB22" s="17" t="s">
        <v>52</v>
      </c>
      <c r="BC22" s="15">
        <f t="shared" si="0"/>
        <v>0</v>
      </c>
      <c r="BD22" s="15">
        <f t="shared" si="1"/>
        <v>0</v>
      </c>
      <c r="BE22" s="15">
        <f t="shared" si="2"/>
        <v>0</v>
      </c>
      <c r="BF22" s="15">
        <f t="shared" si="3"/>
        <v>0</v>
      </c>
      <c r="BG22" s="16"/>
    </row>
    <row r="23" spans="1:59" ht="15.75" customHeight="1" x14ac:dyDescent="0.2">
      <c r="A23" s="29">
        <f t="shared" si="4"/>
        <v>12000022</v>
      </c>
      <c r="B23" s="30" t="s">
        <v>112</v>
      </c>
      <c r="C23" s="7" t="s">
        <v>21</v>
      </c>
      <c r="D23" s="7">
        <v>84831</v>
      </c>
      <c r="E23" s="7" t="s">
        <v>54</v>
      </c>
      <c r="F23" s="19">
        <v>44061</v>
      </c>
      <c r="G23" s="19">
        <v>45645</v>
      </c>
      <c r="H23" s="19">
        <v>30755</v>
      </c>
      <c r="I23" s="7" t="s">
        <v>60</v>
      </c>
      <c r="J23" s="7" t="s">
        <v>74</v>
      </c>
      <c r="K23" s="7" t="s">
        <v>48</v>
      </c>
      <c r="L23" s="7" t="s">
        <v>56</v>
      </c>
      <c r="M23" s="7" t="s">
        <v>3</v>
      </c>
      <c r="N23" s="29" t="s">
        <v>90</v>
      </c>
      <c r="O23" s="7" t="s">
        <v>50</v>
      </c>
      <c r="P23" s="7" t="s">
        <v>65</v>
      </c>
      <c r="Q23" s="7"/>
      <c r="R23" s="7" t="s">
        <v>65</v>
      </c>
      <c r="S23" s="7" t="s">
        <v>65</v>
      </c>
      <c r="T23" s="7" t="s">
        <v>65</v>
      </c>
      <c r="U23" s="7" t="s">
        <v>65</v>
      </c>
      <c r="V23" s="7" t="s">
        <v>65</v>
      </c>
      <c r="W23" s="7" t="s">
        <v>65</v>
      </c>
      <c r="X23" s="7" t="s">
        <v>65</v>
      </c>
      <c r="Y23" s="7" t="s">
        <v>65</v>
      </c>
      <c r="Z23" s="7" t="s">
        <v>65</v>
      </c>
      <c r="AA23" s="7" t="s">
        <v>65</v>
      </c>
      <c r="AB23" s="7" t="s">
        <v>65</v>
      </c>
      <c r="AC23" s="7" t="s">
        <v>65</v>
      </c>
      <c r="AD23" s="7" t="s">
        <v>65</v>
      </c>
      <c r="AE23" s="7" t="s">
        <v>65</v>
      </c>
      <c r="AF23" s="7" t="s">
        <v>65</v>
      </c>
      <c r="AG23" s="7" t="s">
        <v>65</v>
      </c>
      <c r="AH23" s="7" t="s">
        <v>65</v>
      </c>
      <c r="AI23" s="7" t="s">
        <v>65</v>
      </c>
      <c r="AJ23" s="7" t="s">
        <v>65</v>
      </c>
      <c r="AK23" s="7" t="s">
        <v>65</v>
      </c>
      <c r="AL23" s="7" t="s">
        <v>65</v>
      </c>
      <c r="AM23" s="7" t="s">
        <v>65</v>
      </c>
      <c r="AN23" s="7" t="s">
        <v>65</v>
      </c>
      <c r="AO23" s="7" t="s">
        <v>65</v>
      </c>
      <c r="AP23" s="7" t="s">
        <v>65</v>
      </c>
      <c r="AQ23" s="7" t="s">
        <v>65</v>
      </c>
      <c r="AR23" s="7" t="s">
        <v>65</v>
      </c>
      <c r="AS23" s="7" t="s">
        <v>65</v>
      </c>
      <c r="AT23" s="7" t="s">
        <v>65</v>
      </c>
      <c r="AU23" s="7" t="s">
        <v>65</v>
      </c>
      <c r="AV23" s="7" t="s">
        <v>65</v>
      </c>
      <c r="AW23" s="7" t="s">
        <v>65</v>
      </c>
      <c r="AX23" s="7" t="s">
        <v>65</v>
      </c>
      <c r="AY23" s="7" t="s">
        <v>65</v>
      </c>
      <c r="AZ23" s="7" t="s">
        <v>65</v>
      </c>
      <c r="BA23" s="7" t="s">
        <v>65</v>
      </c>
      <c r="BB23" s="7" t="s">
        <v>65</v>
      </c>
      <c r="BC23" s="15">
        <f t="shared" si="0"/>
        <v>0</v>
      </c>
      <c r="BD23" s="15">
        <f t="shared" si="1"/>
        <v>0</v>
      </c>
      <c r="BE23" s="15">
        <f t="shared" si="2"/>
        <v>0</v>
      </c>
      <c r="BF23" s="15">
        <f t="shared" si="3"/>
        <v>0</v>
      </c>
      <c r="BG23" s="20"/>
    </row>
    <row r="24" spans="1:59" ht="15.75" customHeight="1" x14ac:dyDescent="0.2">
      <c r="A24" s="29">
        <f t="shared" si="4"/>
        <v>12000023</v>
      </c>
      <c r="B24" s="29" t="s">
        <v>113</v>
      </c>
      <c r="C24" s="6" t="s">
        <v>75</v>
      </c>
      <c r="D24" s="12">
        <v>62027</v>
      </c>
      <c r="E24" s="12" t="s">
        <v>59</v>
      </c>
      <c r="F24" s="13">
        <v>44973</v>
      </c>
      <c r="G24" s="13">
        <v>45691</v>
      </c>
      <c r="H24" s="13">
        <v>35823</v>
      </c>
      <c r="I24" s="12" t="s">
        <v>60</v>
      </c>
      <c r="J24" s="12" t="s">
        <v>61</v>
      </c>
      <c r="K24" s="12" t="s">
        <v>48</v>
      </c>
      <c r="L24" s="6" t="s">
        <v>49</v>
      </c>
      <c r="M24" s="6" t="s">
        <v>4</v>
      </c>
      <c r="N24" s="29" t="s">
        <v>90</v>
      </c>
      <c r="O24" s="6" t="s">
        <v>50</v>
      </c>
      <c r="P24" s="14">
        <v>46403</v>
      </c>
      <c r="Q24" s="6"/>
      <c r="R24" s="6" t="s">
        <v>40</v>
      </c>
      <c r="S24" s="6" t="s">
        <v>40</v>
      </c>
      <c r="T24" s="6" t="s">
        <v>40</v>
      </c>
      <c r="U24" s="6" t="s">
        <v>40</v>
      </c>
      <c r="V24" s="6" t="s">
        <v>51</v>
      </c>
      <c r="W24" s="6" t="s">
        <v>51</v>
      </c>
      <c r="X24" s="6" t="s">
        <v>51</v>
      </c>
      <c r="Y24" s="6" t="s">
        <v>51</v>
      </c>
      <c r="Z24" s="6" t="s">
        <v>51</v>
      </c>
      <c r="AA24" s="6" t="s">
        <v>51</v>
      </c>
      <c r="AB24" s="6" t="s">
        <v>51</v>
      </c>
      <c r="AC24" s="6" t="s">
        <v>51</v>
      </c>
      <c r="AD24" s="6" t="s">
        <v>51</v>
      </c>
      <c r="AE24" s="6" t="s">
        <v>51</v>
      </c>
      <c r="AF24" s="6" t="s">
        <v>40</v>
      </c>
      <c r="AG24" s="6" t="s">
        <v>40</v>
      </c>
      <c r="AH24" s="6" t="s">
        <v>40</v>
      </c>
      <c r="AI24" s="6" t="s">
        <v>40</v>
      </c>
      <c r="AJ24" s="6" t="s">
        <v>40</v>
      </c>
      <c r="AK24" s="6" t="s">
        <v>40</v>
      </c>
      <c r="AL24" s="6" t="s">
        <v>40</v>
      </c>
      <c r="AM24" s="6" t="s">
        <v>40</v>
      </c>
      <c r="AN24" s="6" t="s">
        <v>40</v>
      </c>
      <c r="AO24" s="6" t="s">
        <v>40</v>
      </c>
      <c r="AP24" s="6" t="s">
        <v>51</v>
      </c>
      <c r="AQ24" s="6" t="s">
        <v>51</v>
      </c>
      <c r="AR24" s="6" t="s">
        <v>51</v>
      </c>
      <c r="AS24" s="6" t="s">
        <v>51</v>
      </c>
      <c r="AT24" s="6" t="s">
        <v>51</v>
      </c>
      <c r="AU24" s="6" t="s">
        <v>51</v>
      </c>
      <c r="AV24" s="6" t="s">
        <v>51</v>
      </c>
      <c r="AW24" s="6" t="s">
        <v>51</v>
      </c>
      <c r="AX24" s="6" t="s">
        <v>51</v>
      </c>
      <c r="AY24" s="6" t="s">
        <v>51</v>
      </c>
      <c r="AZ24" s="17" t="s">
        <v>22</v>
      </c>
      <c r="BA24" s="17" t="s">
        <v>22</v>
      </c>
      <c r="BB24" s="17" t="s">
        <v>22</v>
      </c>
      <c r="BC24" s="15">
        <f t="shared" si="0"/>
        <v>14</v>
      </c>
      <c r="BD24" s="15">
        <f t="shared" si="1"/>
        <v>0</v>
      </c>
      <c r="BE24" s="15">
        <f t="shared" si="2"/>
        <v>14</v>
      </c>
      <c r="BF24" s="15">
        <f t="shared" si="3"/>
        <v>168</v>
      </c>
      <c r="BG24" s="16"/>
    </row>
    <row r="25" spans="1:59" ht="15.75" customHeight="1" x14ac:dyDescent="0.2">
      <c r="A25" s="29">
        <f t="shared" si="4"/>
        <v>12000024</v>
      </c>
      <c r="B25" s="29" t="s">
        <v>114</v>
      </c>
      <c r="C25" s="6" t="s">
        <v>19</v>
      </c>
      <c r="D25" s="12">
        <v>62027</v>
      </c>
      <c r="E25" s="12" t="s">
        <v>59</v>
      </c>
      <c r="F25" s="13">
        <v>45083</v>
      </c>
      <c r="G25" s="13">
        <v>45685</v>
      </c>
      <c r="H25" s="13">
        <v>26552</v>
      </c>
      <c r="I25" s="12" t="s">
        <v>60</v>
      </c>
      <c r="J25" s="12" t="s">
        <v>66</v>
      </c>
      <c r="K25" s="12" t="s">
        <v>48</v>
      </c>
      <c r="L25" s="6" t="s">
        <v>56</v>
      </c>
      <c r="M25" s="6" t="s">
        <v>4</v>
      </c>
      <c r="N25" s="29" t="s">
        <v>90</v>
      </c>
      <c r="O25" s="6" t="s">
        <v>50</v>
      </c>
      <c r="P25" s="14">
        <v>46211</v>
      </c>
      <c r="Q25" s="6"/>
      <c r="R25" s="6" t="s">
        <v>51</v>
      </c>
      <c r="S25" s="6" t="s">
        <v>51</v>
      </c>
      <c r="T25" s="6" t="s">
        <v>51</v>
      </c>
      <c r="U25" s="6" t="s">
        <v>51</v>
      </c>
      <c r="V25" s="6" t="s">
        <v>40</v>
      </c>
      <c r="W25" s="6" t="s">
        <v>40</v>
      </c>
      <c r="X25" s="6" t="s">
        <v>40</v>
      </c>
      <c r="Y25" s="6" t="s">
        <v>40</v>
      </c>
      <c r="Z25" s="6" t="s">
        <v>40</v>
      </c>
      <c r="AA25" s="6" t="s">
        <v>40</v>
      </c>
      <c r="AB25" s="6" t="s">
        <v>40</v>
      </c>
      <c r="AC25" s="6" t="s">
        <v>40</v>
      </c>
      <c r="AD25" s="6" t="s">
        <v>40</v>
      </c>
      <c r="AE25" s="6" t="s">
        <v>40</v>
      </c>
      <c r="AF25" s="6" t="s">
        <v>51</v>
      </c>
      <c r="AG25" s="6" t="s">
        <v>51</v>
      </c>
      <c r="AH25" s="6" t="s">
        <v>51</v>
      </c>
      <c r="AI25" s="6" t="s">
        <v>51</v>
      </c>
      <c r="AJ25" s="6" t="s">
        <v>51</v>
      </c>
      <c r="AK25" s="6" t="s">
        <v>51</v>
      </c>
      <c r="AL25" s="6" t="s">
        <v>51</v>
      </c>
      <c r="AM25" s="6" t="s">
        <v>51</v>
      </c>
      <c r="AN25" s="6" t="s">
        <v>51</v>
      </c>
      <c r="AO25" s="6" t="s">
        <v>51</v>
      </c>
      <c r="AP25" s="6" t="s">
        <v>40</v>
      </c>
      <c r="AQ25" s="6" t="s">
        <v>40</v>
      </c>
      <c r="AR25" s="6" t="s">
        <v>40</v>
      </c>
      <c r="AS25" s="6" t="s">
        <v>40</v>
      </c>
      <c r="AT25" s="6" t="s">
        <v>40</v>
      </c>
      <c r="AU25" s="6" t="s">
        <v>40</v>
      </c>
      <c r="AV25" s="6" t="s">
        <v>40</v>
      </c>
      <c r="AW25" s="6" t="s">
        <v>40</v>
      </c>
      <c r="AX25" s="6" t="s">
        <v>40</v>
      </c>
      <c r="AY25" s="6" t="s">
        <v>40</v>
      </c>
      <c r="AZ25" s="17" t="s">
        <v>51</v>
      </c>
      <c r="BA25" s="17" t="s">
        <v>51</v>
      </c>
      <c r="BB25" s="17" t="s">
        <v>51</v>
      </c>
      <c r="BC25" s="15">
        <f t="shared" si="0"/>
        <v>20</v>
      </c>
      <c r="BD25" s="15">
        <f t="shared" si="1"/>
        <v>0</v>
      </c>
      <c r="BE25" s="15">
        <f t="shared" si="2"/>
        <v>20</v>
      </c>
      <c r="BF25" s="15">
        <f t="shared" si="3"/>
        <v>240</v>
      </c>
      <c r="BG25" s="16"/>
    </row>
    <row r="26" spans="1:59" ht="15.75" customHeight="1" x14ac:dyDescent="0.2">
      <c r="A26" s="29">
        <f t="shared" si="4"/>
        <v>12000025</v>
      </c>
      <c r="B26" s="30" t="s">
        <v>115</v>
      </c>
      <c r="C26" s="7" t="s">
        <v>21</v>
      </c>
      <c r="D26" s="7">
        <v>84831</v>
      </c>
      <c r="E26" s="7" t="s">
        <v>54</v>
      </c>
      <c r="F26" s="19">
        <v>45566</v>
      </c>
      <c r="G26" s="19">
        <v>45685</v>
      </c>
      <c r="H26" s="19">
        <v>33063</v>
      </c>
      <c r="I26" s="7" t="s">
        <v>60</v>
      </c>
      <c r="J26" s="7" t="s">
        <v>66</v>
      </c>
      <c r="K26" s="7" t="s">
        <v>48</v>
      </c>
      <c r="L26" s="7" t="s">
        <v>67</v>
      </c>
      <c r="M26" s="7" t="s">
        <v>3</v>
      </c>
      <c r="N26" s="29" t="s">
        <v>90</v>
      </c>
      <c r="O26" s="7" t="s">
        <v>50</v>
      </c>
      <c r="P26" s="7" t="s">
        <v>65</v>
      </c>
      <c r="Q26" s="7"/>
      <c r="R26" s="7" t="s">
        <v>65</v>
      </c>
      <c r="S26" s="7" t="s">
        <v>65</v>
      </c>
      <c r="T26" s="7" t="s">
        <v>65</v>
      </c>
      <c r="U26" s="7" t="s">
        <v>65</v>
      </c>
      <c r="V26" s="7" t="s">
        <v>65</v>
      </c>
      <c r="W26" s="7" t="s">
        <v>65</v>
      </c>
      <c r="X26" s="7" t="s">
        <v>65</v>
      </c>
      <c r="Y26" s="7" t="s">
        <v>65</v>
      </c>
      <c r="Z26" s="7" t="s">
        <v>65</v>
      </c>
      <c r="AA26" s="7" t="s">
        <v>65</v>
      </c>
      <c r="AB26" s="7" t="s">
        <v>65</v>
      </c>
      <c r="AC26" s="7" t="s">
        <v>65</v>
      </c>
      <c r="AD26" s="7" t="s">
        <v>65</v>
      </c>
      <c r="AE26" s="7" t="s">
        <v>65</v>
      </c>
      <c r="AF26" s="7" t="s">
        <v>65</v>
      </c>
      <c r="AG26" s="7" t="s">
        <v>65</v>
      </c>
      <c r="AH26" s="7" t="s">
        <v>65</v>
      </c>
      <c r="AI26" s="7" t="s">
        <v>65</v>
      </c>
      <c r="AJ26" s="7" t="s">
        <v>65</v>
      </c>
      <c r="AK26" s="7" t="s">
        <v>65</v>
      </c>
      <c r="AL26" s="7" t="s">
        <v>65</v>
      </c>
      <c r="AM26" s="7" t="s">
        <v>65</v>
      </c>
      <c r="AN26" s="7" t="s">
        <v>65</v>
      </c>
      <c r="AO26" s="7" t="s">
        <v>65</v>
      </c>
      <c r="AP26" s="7" t="s">
        <v>65</v>
      </c>
      <c r="AQ26" s="7" t="s">
        <v>65</v>
      </c>
      <c r="AR26" s="7" t="s">
        <v>65</v>
      </c>
      <c r="AS26" s="7" t="s">
        <v>65</v>
      </c>
      <c r="AT26" s="7" t="s">
        <v>65</v>
      </c>
      <c r="AU26" s="7" t="s">
        <v>65</v>
      </c>
      <c r="AV26" s="7" t="s">
        <v>65</v>
      </c>
      <c r="AW26" s="7" t="s">
        <v>65</v>
      </c>
      <c r="AX26" s="7" t="s">
        <v>65</v>
      </c>
      <c r="AY26" s="7" t="s">
        <v>65</v>
      </c>
      <c r="AZ26" s="7" t="s">
        <v>65</v>
      </c>
      <c r="BA26" s="7" t="s">
        <v>65</v>
      </c>
      <c r="BB26" s="7" t="s">
        <v>65</v>
      </c>
      <c r="BC26" s="15">
        <f t="shared" si="0"/>
        <v>0</v>
      </c>
      <c r="BD26" s="15">
        <f t="shared" si="1"/>
        <v>0</v>
      </c>
      <c r="BE26" s="15">
        <f t="shared" si="2"/>
        <v>0</v>
      </c>
      <c r="BF26" s="15">
        <f t="shared" si="3"/>
        <v>0</v>
      </c>
      <c r="BG26" s="20"/>
    </row>
    <row r="27" spans="1:59" ht="15.75" customHeight="1" x14ac:dyDescent="0.2">
      <c r="A27" s="29">
        <f t="shared" si="4"/>
        <v>12000026</v>
      </c>
      <c r="B27" s="30" t="s">
        <v>116</v>
      </c>
      <c r="C27" s="7" t="s">
        <v>25</v>
      </c>
      <c r="D27" s="7">
        <v>62027</v>
      </c>
      <c r="E27" s="7" t="s">
        <v>59</v>
      </c>
      <c r="F27" s="19">
        <v>44641</v>
      </c>
      <c r="G27" s="19">
        <v>45685</v>
      </c>
      <c r="H27" s="19">
        <v>37087</v>
      </c>
      <c r="I27" s="7" t="s">
        <v>60</v>
      </c>
      <c r="J27" s="7" t="s">
        <v>47</v>
      </c>
      <c r="K27" s="7" t="s">
        <v>48</v>
      </c>
      <c r="L27" s="7" t="s">
        <v>56</v>
      </c>
      <c r="M27" s="7" t="s">
        <v>4</v>
      </c>
      <c r="N27" s="29" t="s">
        <v>90</v>
      </c>
      <c r="O27" s="7" t="s">
        <v>50</v>
      </c>
      <c r="P27" s="7" t="s">
        <v>65</v>
      </c>
      <c r="Q27" s="7"/>
      <c r="R27" s="7" t="s">
        <v>52</v>
      </c>
      <c r="S27" s="7" t="s">
        <v>52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22</v>
      </c>
      <c r="AC27" s="7" t="s">
        <v>22</v>
      </c>
      <c r="AD27" s="7" t="s">
        <v>22</v>
      </c>
      <c r="AE27" s="7" t="s">
        <v>22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7" t="s">
        <v>51</v>
      </c>
      <c r="AP27" s="7" t="s">
        <v>41</v>
      </c>
      <c r="AQ27" s="7" t="s">
        <v>41</v>
      </c>
      <c r="AR27" s="7" t="s">
        <v>41</v>
      </c>
      <c r="AS27" s="7" t="s">
        <v>41</v>
      </c>
      <c r="AT27" s="7" t="s">
        <v>41</v>
      </c>
      <c r="AU27" s="7" t="s">
        <v>41</v>
      </c>
      <c r="AV27" s="7" t="s">
        <v>41</v>
      </c>
      <c r="AW27" s="7" t="s">
        <v>65</v>
      </c>
      <c r="AX27" s="7" t="s">
        <v>65</v>
      </c>
      <c r="AY27" s="7" t="s">
        <v>65</v>
      </c>
      <c r="AZ27" s="7" t="s">
        <v>65</v>
      </c>
      <c r="BA27" s="7" t="s">
        <v>65</v>
      </c>
      <c r="BB27" s="7" t="s">
        <v>65</v>
      </c>
      <c r="BC27" s="15">
        <f t="shared" si="0"/>
        <v>0</v>
      </c>
      <c r="BD27" s="15">
        <f t="shared" si="1"/>
        <v>7</v>
      </c>
      <c r="BE27" s="15">
        <f t="shared" si="2"/>
        <v>7</v>
      </c>
      <c r="BF27" s="15">
        <f t="shared" si="3"/>
        <v>84</v>
      </c>
      <c r="BG27" s="20"/>
    </row>
    <row r="28" spans="1:59" ht="15.75" customHeight="1" x14ac:dyDescent="0.2">
      <c r="A28" s="29">
        <f t="shared" si="4"/>
        <v>12000027</v>
      </c>
      <c r="B28" s="30" t="s">
        <v>117</v>
      </c>
      <c r="C28" s="7" t="s">
        <v>21</v>
      </c>
      <c r="D28" s="7">
        <v>84831</v>
      </c>
      <c r="E28" s="7" t="s">
        <v>54</v>
      </c>
      <c r="F28" s="19">
        <v>44413</v>
      </c>
      <c r="G28" s="19">
        <v>45685</v>
      </c>
      <c r="H28" s="19">
        <v>32682</v>
      </c>
      <c r="I28" s="7" t="s">
        <v>60</v>
      </c>
      <c r="J28" s="7" t="s">
        <v>76</v>
      </c>
      <c r="K28" s="7" t="s">
        <v>55</v>
      </c>
      <c r="L28" s="7" t="s">
        <v>49</v>
      </c>
      <c r="M28" s="7" t="s">
        <v>3</v>
      </c>
      <c r="N28" s="29" t="s">
        <v>90</v>
      </c>
      <c r="O28" s="7" t="s">
        <v>50</v>
      </c>
      <c r="P28" s="7" t="s">
        <v>65</v>
      </c>
      <c r="Q28" s="7"/>
      <c r="R28" s="7" t="s">
        <v>65</v>
      </c>
      <c r="S28" s="7" t="s">
        <v>65</v>
      </c>
      <c r="T28" s="7" t="s">
        <v>65</v>
      </c>
      <c r="U28" s="7" t="s">
        <v>65</v>
      </c>
      <c r="V28" s="7" t="s">
        <v>65</v>
      </c>
      <c r="W28" s="7" t="s">
        <v>65</v>
      </c>
      <c r="X28" s="7" t="s">
        <v>65</v>
      </c>
      <c r="Y28" s="7" t="s">
        <v>65</v>
      </c>
      <c r="Z28" s="7" t="s">
        <v>65</v>
      </c>
      <c r="AA28" s="7" t="s">
        <v>65</v>
      </c>
      <c r="AB28" s="7" t="s">
        <v>65</v>
      </c>
      <c r="AC28" s="7" t="s">
        <v>65</v>
      </c>
      <c r="AD28" s="7" t="s">
        <v>65</v>
      </c>
      <c r="AE28" s="7" t="s">
        <v>65</v>
      </c>
      <c r="AF28" s="7" t="s">
        <v>65</v>
      </c>
      <c r="AG28" s="7" t="s">
        <v>65</v>
      </c>
      <c r="AH28" s="7" t="s">
        <v>65</v>
      </c>
      <c r="AI28" s="7" t="s">
        <v>65</v>
      </c>
      <c r="AJ28" s="7" t="s">
        <v>65</v>
      </c>
      <c r="AK28" s="7" t="s">
        <v>65</v>
      </c>
      <c r="AL28" s="7" t="s">
        <v>65</v>
      </c>
      <c r="AM28" s="7" t="s">
        <v>65</v>
      </c>
      <c r="AN28" s="7" t="s">
        <v>65</v>
      </c>
      <c r="AO28" s="7" t="s">
        <v>65</v>
      </c>
      <c r="AP28" s="7" t="s">
        <v>65</v>
      </c>
      <c r="AQ28" s="7" t="s">
        <v>65</v>
      </c>
      <c r="AR28" s="7" t="s">
        <v>65</v>
      </c>
      <c r="AS28" s="7" t="s">
        <v>65</v>
      </c>
      <c r="AT28" s="7" t="s">
        <v>65</v>
      </c>
      <c r="AU28" s="7" t="s">
        <v>65</v>
      </c>
      <c r="AV28" s="7" t="s">
        <v>65</v>
      </c>
      <c r="AW28" s="7" t="s">
        <v>65</v>
      </c>
      <c r="AX28" s="7" t="s">
        <v>65</v>
      </c>
      <c r="AY28" s="7" t="s">
        <v>65</v>
      </c>
      <c r="AZ28" s="7" t="s">
        <v>65</v>
      </c>
      <c r="BA28" s="7" t="s">
        <v>65</v>
      </c>
      <c r="BB28" s="7" t="s">
        <v>65</v>
      </c>
      <c r="BC28" s="15">
        <f t="shared" si="0"/>
        <v>0</v>
      </c>
      <c r="BD28" s="15">
        <f t="shared" si="1"/>
        <v>0</v>
      </c>
      <c r="BE28" s="15">
        <f t="shared" si="2"/>
        <v>0</v>
      </c>
      <c r="BF28" s="15">
        <f t="shared" si="3"/>
        <v>0</v>
      </c>
      <c r="BG28" s="20"/>
    </row>
    <row r="29" spans="1:59" ht="15.75" customHeight="1" x14ac:dyDescent="0.2">
      <c r="A29" s="29">
        <f t="shared" si="4"/>
        <v>12000028</v>
      </c>
      <c r="B29" s="29" t="s">
        <v>118</v>
      </c>
      <c r="C29" s="6" t="s">
        <v>19</v>
      </c>
      <c r="D29" s="12">
        <v>62027</v>
      </c>
      <c r="E29" s="12" t="s">
        <v>59</v>
      </c>
      <c r="F29" s="13">
        <v>44962</v>
      </c>
      <c r="G29" s="13">
        <v>45685</v>
      </c>
      <c r="H29" s="13">
        <v>31979</v>
      </c>
      <c r="I29" s="12" t="s">
        <v>46</v>
      </c>
      <c r="J29" s="12" t="s">
        <v>70</v>
      </c>
      <c r="K29" s="12" t="s">
        <v>55</v>
      </c>
      <c r="L29" s="6" t="s">
        <v>56</v>
      </c>
      <c r="M29" s="6" t="s">
        <v>4</v>
      </c>
      <c r="N29" s="29" t="s">
        <v>90</v>
      </c>
      <c r="O29" s="6" t="s">
        <v>50</v>
      </c>
      <c r="P29" s="14">
        <v>46332</v>
      </c>
      <c r="Q29" s="6"/>
      <c r="R29" s="6" t="s">
        <v>52</v>
      </c>
      <c r="S29" s="6" t="s">
        <v>52</v>
      </c>
      <c r="T29" s="6" t="s">
        <v>52</v>
      </c>
      <c r="U29" s="6" t="s">
        <v>52</v>
      </c>
      <c r="V29" s="6" t="s">
        <v>52</v>
      </c>
      <c r="W29" s="6" t="s">
        <v>52</v>
      </c>
      <c r="X29" s="6" t="s">
        <v>52</v>
      </c>
      <c r="Y29" s="6" t="s">
        <v>52</v>
      </c>
      <c r="Z29" s="6" t="s">
        <v>52</v>
      </c>
      <c r="AA29" s="6" t="s">
        <v>52</v>
      </c>
      <c r="AB29" s="6" t="s">
        <v>52</v>
      </c>
      <c r="AC29" s="6" t="s">
        <v>52</v>
      </c>
      <c r="AD29" s="6" t="s">
        <v>52</v>
      </c>
      <c r="AE29" s="6" t="s">
        <v>52</v>
      </c>
      <c r="AF29" s="6" t="s">
        <v>52</v>
      </c>
      <c r="AG29" s="6" t="s">
        <v>52</v>
      </c>
      <c r="AH29" s="6" t="s">
        <v>52</v>
      </c>
      <c r="AI29" s="6" t="s">
        <v>52</v>
      </c>
      <c r="AJ29" s="6" t="s">
        <v>52</v>
      </c>
      <c r="AK29" s="6" t="s">
        <v>52</v>
      </c>
      <c r="AL29" s="6" t="s">
        <v>52</v>
      </c>
      <c r="AM29" s="6" t="s">
        <v>52</v>
      </c>
      <c r="AN29" s="6" t="s">
        <v>52</v>
      </c>
      <c r="AO29" s="6" t="s">
        <v>52</v>
      </c>
      <c r="AP29" s="6" t="s">
        <v>52</v>
      </c>
      <c r="AQ29" s="6" t="s">
        <v>52</v>
      </c>
      <c r="AR29" s="6" t="s">
        <v>52</v>
      </c>
      <c r="AS29" s="6" t="s">
        <v>52</v>
      </c>
      <c r="AT29" s="6" t="s">
        <v>52</v>
      </c>
      <c r="AU29" s="6" t="s">
        <v>52</v>
      </c>
      <c r="AV29" s="6" t="s">
        <v>52</v>
      </c>
      <c r="AW29" s="6" t="s">
        <v>52</v>
      </c>
      <c r="AX29" s="6" t="s">
        <v>52</v>
      </c>
      <c r="AY29" s="6" t="s">
        <v>52</v>
      </c>
      <c r="AZ29" s="17" t="s">
        <v>52</v>
      </c>
      <c r="BA29" s="17" t="s">
        <v>52</v>
      </c>
      <c r="BB29" s="17" t="s">
        <v>52</v>
      </c>
      <c r="BC29" s="15">
        <f t="shared" si="0"/>
        <v>0</v>
      </c>
      <c r="BD29" s="15">
        <f t="shared" si="1"/>
        <v>0</v>
      </c>
      <c r="BE29" s="15">
        <f t="shared" si="2"/>
        <v>0</v>
      </c>
      <c r="BF29" s="15">
        <f t="shared" si="3"/>
        <v>0</v>
      </c>
      <c r="BG29" s="16"/>
    </row>
    <row r="30" spans="1:59" ht="15.75" customHeight="1" x14ac:dyDescent="0.2">
      <c r="A30" s="29">
        <f t="shared" si="4"/>
        <v>12000029</v>
      </c>
      <c r="B30" s="29" t="s">
        <v>119</v>
      </c>
      <c r="C30" s="6" t="s">
        <v>77</v>
      </c>
      <c r="D30" s="12">
        <v>62027</v>
      </c>
      <c r="E30" s="12" t="s">
        <v>59</v>
      </c>
      <c r="F30" s="13">
        <v>44179</v>
      </c>
      <c r="G30" s="13">
        <v>45685</v>
      </c>
      <c r="H30" s="13">
        <v>32039</v>
      </c>
      <c r="I30" s="12" t="s">
        <v>46</v>
      </c>
      <c r="J30" s="12" t="s">
        <v>47</v>
      </c>
      <c r="K30" s="12" t="s">
        <v>48</v>
      </c>
      <c r="L30" s="6" t="s">
        <v>49</v>
      </c>
      <c r="M30" s="6" t="s">
        <v>6</v>
      </c>
      <c r="N30" s="29" t="s">
        <v>90</v>
      </c>
      <c r="O30" s="6" t="s">
        <v>50</v>
      </c>
      <c r="P30" s="14">
        <v>46683</v>
      </c>
      <c r="Q30" s="6"/>
      <c r="R30" s="6" t="s">
        <v>40</v>
      </c>
      <c r="S30" s="6" t="s">
        <v>40</v>
      </c>
      <c r="T30" s="6" t="s">
        <v>40</v>
      </c>
      <c r="U30" s="6" t="s">
        <v>40</v>
      </c>
      <c r="V30" s="6" t="s">
        <v>51</v>
      </c>
      <c r="W30" s="6" t="s">
        <v>51</v>
      </c>
      <c r="X30" s="6" t="s">
        <v>51</v>
      </c>
      <c r="Y30" s="6" t="s">
        <v>51</v>
      </c>
      <c r="Z30" s="6" t="s">
        <v>51</v>
      </c>
      <c r="AA30" s="6" t="s">
        <v>51</v>
      </c>
      <c r="AB30" s="6" t="s">
        <v>51</v>
      </c>
      <c r="AC30" s="6" t="s">
        <v>51</v>
      </c>
      <c r="AD30" s="6" t="s">
        <v>51</v>
      </c>
      <c r="AE30" s="6" t="s">
        <v>51</v>
      </c>
      <c r="AF30" s="6" t="s">
        <v>40</v>
      </c>
      <c r="AG30" s="6" t="s">
        <v>40</v>
      </c>
      <c r="AH30" s="6" t="s">
        <v>40</v>
      </c>
      <c r="AI30" s="6" t="s">
        <v>40</v>
      </c>
      <c r="AJ30" s="6" t="s">
        <v>40</v>
      </c>
      <c r="AK30" s="6" t="s">
        <v>40</v>
      </c>
      <c r="AL30" s="6" t="s">
        <v>40</v>
      </c>
      <c r="AM30" s="6" t="s">
        <v>40</v>
      </c>
      <c r="AN30" s="6" t="s">
        <v>40</v>
      </c>
      <c r="AO30" s="6" t="s">
        <v>40</v>
      </c>
      <c r="AP30" s="6" t="s">
        <v>51</v>
      </c>
      <c r="AQ30" s="6" t="s">
        <v>51</v>
      </c>
      <c r="AR30" s="6" t="s">
        <v>51</v>
      </c>
      <c r="AS30" s="6" t="s">
        <v>51</v>
      </c>
      <c r="AT30" s="6" t="s">
        <v>51</v>
      </c>
      <c r="AU30" s="6" t="s">
        <v>51</v>
      </c>
      <c r="AV30" s="6" t="s">
        <v>51</v>
      </c>
      <c r="AW30" s="6" t="s">
        <v>51</v>
      </c>
      <c r="AX30" s="6" t="s">
        <v>51</v>
      </c>
      <c r="AY30" s="6" t="s">
        <v>51</v>
      </c>
      <c r="AZ30" s="17" t="s">
        <v>40</v>
      </c>
      <c r="BA30" s="17" t="s">
        <v>40</v>
      </c>
      <c r="BB30" s="17" t="s">
        <v>40</v>
      </c>
      <c r="BC30" s="15">
        <f t="shared" si="0"/>
        <v>17</v>
      </c>
      <c r="BD30" s="15">
        <f t="shared" si="1"/>
        <v>0</v>
      </c>
      <c r="BE30" s="15">
        <f t="shared" si="2"/>
        <v>17</v>
      </c>
      <c r="BF30" s="15">
        <f t="shared" si="3"/>
        <v>204</v>
      </c>
      <c r="BG30" s="16"/>
    </row>
    <row r="31" spans="1:59" ht="15.75" customHeight="1" x14ac:dyDescent="0.2">
      <c r="A31" s="29">
        <f t="shared" si="4"/>
        <v>12000030</v>
      </c>
      <c r="B31" s="29" t="s">
        <v>120</v>
      </c>
      <c r="C31" s="6" t="s">
        <v>78</v>
      </c>
      <c r="D31" s="12">
        <v>62030</v>
      </c>
      <c r="E31" s="12" t="s">
        <v>79</v>
      </c>
      <c r="F31" s="13">
        <v>44652</v>
      </c>
      <c r="G31" s="13">
        <v>45685</v>
      </c>
      <c r="H31" s="13">
        <v>37363</v>
      </c>
      <c r="I31" s="12" t="s">
        <v>60</v>
      </c>
      <c r="J31" s="12" t="s">
        <v>66</v>
      </c>
      <c r="K31" s="12" t="s">
        <v>48</v>
      </c>
      <c r="L31" s="6" t="s">
        <v>49</v>
      </c>
      <c r="M31" s="6" t="s">
        <v>4</v>
      </c>
      <c r="N31" s="29" t="s">
        <v>90</v>
      </c>
      <c r="O31" s="6" t="s">
        <v>50</v>
      </c>
      <c r="P31" s="14">
        <v>46067</v>
      </c>
      <c r="Q31" s="6"/>
      <c r="R31" s="6" t="s">
        <v>40</v>
      </c>
      <c r="S31" s="6" t="s">
        <v>40</v>
      </c>
      <c r="T31" s="6" t="s">
        <v>40</v>
      </c>
      <c r="U31" s="6" t="s">
        <v>40</v>
      </c>
      <c r="V31" s="6" t="s">
        <v>51</v>
      </c>
      <c r="W31" s="6" t="s">
        <v>51</v>
      </c>
      <c r="X31" s="6" t="s">
        <v>51</v>
      </c>
      <c r="Y31" s="6" t="s">
        <v>51</v>
      </c>
      <c r="Z31" s="6" t="s">
        <v>51</v>
      </c>
      <c r="AA31" s="6" t="s">
        <v>51</v>
      </c>
      <c r="AB31" s="6" t="s">
        <v>51</v>
      </c>
      <c r="AC31" s="6" t="s">
        <v>51</v>
      </c>
      <c r="AD31" s="6" t="s">
        <v>51</v>
      </c>
      <c r="AE31" s="6" t="s">
        <v>51</v>
      </c>
      <c r="AF31" s="6" t="s">
        <v>22</v>
      </c>
      <c r="AG31" s="6" t="s">
        <v>22</v>
      </c>
      <c r="AH31" s="6" t="s">
        <v>22</v>
      </c>
      <c r="AI31" s="6" t="s">
        <v>22</v>
      </c>
      <c r="AJ31" s="6" t="s">
        <v>22</v>
      </c>
      <c r="AK31" s="6" t="s">
        <v>22</v>
      </c>
      <c r="AL31" s="6" t="s">
        <v>22</v>
      </c>
      <c r="AM31" s="6" t="s">
        <v>22</v>
      </c>
      <c r="AN31" s="6" t="s">
        <v>22</v>
      </c>
      <c r="AO31" s="6" t="s">
        <v>22</v>
      </c>
      <c r="AP31" s="6" t="s">
        <v>62</v>
      </c>
      <c r="AQ31" s="6" t="s">
        <v>62</v>
      </c>
      <c r="AR31" s="6" t="s">
        <v>62</v>
      </c>
      <c r="AS31" s="6" t="s">
        <v>62</v>
      </c>
      <c r="AT31" s="6" t="s">
        <v>62</v>
      </c>
      <c r="AU31" s="6" t="s">
        <v>51</v>
      </c>
      <c r="AV31" s="6" t="s">
        <v>51</v>
      </c>
      <c r="AW31" s="6" t="s">
        <v>51</v>
      </c>
      <c r="AX31" s="6" t="s">
        <v>51</v>
      </c>
      <c r="AY31" s="6" t="s">
        <v>51</v>
      </c>
      <c r="AZ31" s="17" t="s">
        <v>22</v>
      </c>
      <c r="BA31" s="17" t="s">
        <v>40</v>
      </c>
      <c r="BB31" s="17" t="s">
        <v>40</v>
      </c>
      <c r="BC31" s="15">
        <f t="shared" si="0"/>
        <v>6</v>
      </c>
      <c r="BD31" s="15">
        <f t="shared" si="1"/>
        <v>0</v>
      </c>
      <c r="BE31" s="15">
        <f t="shared" si="2"/>
        <v>6</v>
      </c>
      <c r="BF31" s="15">
        <f t="shared" si="3"/>
        <v>72</v>
      </c>
      <c r="BG31" s="16"/>
    </row>
    <row r="32" spans="1:59" ht="15.75" customHeight="1" x14ac:dyDescent="0.2">
      <c r="A32" s="29">
        <f t="shared" si="4"/>
        <v>12000031</v>
      </c>
      <c r="B32" s="29" t="s">
        <v>121</v>
      </c>
      <c r="C32" s="6" t="s">
        <v>21</v>
      </c>
      <c r="D32" s="12">
        <v>84831</v>
      </c>
      <c r="E32" s="12" t="s">
        <v>54</v>
      </c>
      <c r="F32" s="13">
        <v>45081</v>
      </c>
      <c r="G32" s="13">
        <v>45685</v>
      </c>
      <c r="H32" s="13">
        <v>31146</v>
      </c>
      <c r="I32" s="12" t="s">
        <v>60</v>
      </c>
      <c r="J32" s="12" t="s">
        <v>47</v>
      </c>
      <c r="K32" s="12" t="s">
        <v>48</v>
      </c>
      <c r="L32" s="6" t="s">
        <v>56</v>
      </c>
      <c r="M32" s="6" t="s">
        <v>3</v>
      </c>
      <c r="N32" s="29" t="s">
        <v>90</v>
      </c>
      <c r="O32" s="6" t="s">
        <v>50</v>
      </c>
      <c r="P32" s="14">
        <v>46527</v>
      </c>
      <c r="Q32" s="6"/>
      <c r="R32" s="6" t="s">
        <v>51</v>
      </c>
      <c r="S32" s="6" t="s">
        <v>51</v>
      </c>
      <c r="T32" s="6" t="s">
        <v>51</v>
      </c>
      <c r="U32" s="6" t="s">
        <v>51</v>
      </c>
      <c r="V32" s="6" t="s">
        <v>41</v>
      </c>
      <c r="W32" s="6" t="s">
        <v>41</v>
      </c>
      <c r="X32" s="6" t="s">
        <v>41</v>
      </c>
      <c r="Y32" s="6" t="s">
        <v>41</v>
      </c>
      <c r="Z32" s="6" t="s">
        <v>41</v>
      </c>
      <c r="AA32" s="6" t="s">
        <v>41</v>
      </c>
      <c r="AB32" s="6" t="s">
        <v>41</v>
      </c>
      <c r="AC32" s="6" t="s">
        <v>41</v>
      </c>
      <c r="AD32" s="6" t="s">
        <v>41</v>
      </c>
      <c r="AE32" s="6" t="s">
        <v>41</v>
      </c>
      <c r="AF32" s="6" t="s">
        <v>51</v>
      </c>
      <c r="AG32" s="6" t="s">
        <v>51</v>
      </c>
      <c r="AH32" s="6" t="s">
        <v>51</v>
      </c>
      <c r="AI32" s="6" t="s">
        <v>51</v>
      </c>
      <c r="AJ32" s="6" t="s">
        <v>51</v>
      </c>
      <c r="AK32" s="6" t="s">
        <v>51</v>
      </c>
      <c r="AL32" s="6" t="s">
        <v>51</v>
      </c>
      <c r="AM32" s="6" t="s">
        <v>51</v>
      </c>
      <c r="AN32" s="6" t="s">
        <v>51</v>
      </c>
      <c r="AO32" s="6" t="s">
        <v>51</v>
      </c>
      <c r="AP32" s="6" t="s">
        <v>41</v>
      </c>
      <c r="AQ32" s="6" t="s">
        <v>41</v>
      </c>
      <c r="AR32" s="6" t="s">
        <v>41</v>
      </c>
      <c r="AS32" s="6" t="s">
        <v>41</v>
      </c>
      <c r="AT32" s="6" t="s">
        <v>41</v>
      </c>
      <c r="AU32" s="6" t="s">
        <v>41</v>
      </c>
      <c r="AV32" s="6" t="s">
        <v>41</v>
      </c>
      <c r="AW32" s="6" t="s">
        <v>41</v>
      </c>
      <c r="AX32" s="6" t="s">
        <v>41</v>
      </c>
      <c r="AY32" s="6" t="s">
        <v>41</v>
      </c>
      <c r="AZ32" s="17" t="s">
        <v>51</v>
      </c>
      <c r="BA32" s="17" t="s">
        <v>51</v>
      </c>
      <c r="BB32" s="17" t="s">
        <v>51</v>
      </c>
      <c r="BC32" s="15">
        <f t="shared" si="0"/>
        <v>0</v>
      </c>
      <c r="BD32" s="15">
        <f t="shared" si="1"/>
        <v>20</v>
      </c>
      <c r="BE32" s="15">
        <f t="shared" si="2"/>
        <v>20</v>
      </c>
      <c r="BF32" s="15">
        <f t="shared" si="3"/>
        <v>240</v>
      </c>
      <c r="BG32" s="16"/>
    </row>
    <row r="33" spans="1:59" ht="15.75" customHeight="1" x14ac:dyDescent="0.2">
      <c r="A33" s="29">
        <f t="shared" si="4"/>
        <v>12000032</v>
      </c>
      <c r="B33" s="30" t="s">
        <v>122</v>
      </c>
      <c r="C33" s="7" t="s">
        <v>25</v>
      </c>
      <c r="D33" s="7">
        <v>62028</v>
      </c>
      <c r="E33" s="7" t="s">
        <v>69</v>
      </c>
      <c r="F33" s="19">
        <v>45333</v>
      </c>
      <c r="G33" s="19">
        <v>45691</v>
      </c>
      <c r="H33" s="19">
        <v>35409</v>
      </c>
      <c r="I33" s="7" t="s">
        <v>46</v>
      </c>
      <c r="J33" s="7" t="s">
        <v>47</v>
      </c>
      <c r="K33" s="7" t="s">
        <v>48</v>
      </c>
      <c r="L33" s="7" t="s">
        <v>49</v>
      </c>
      <c r="M33" s="7" t="s">
        <v>4</v>
      </c>
      <c r="N33" s="29" t="s">
        <v>90</v>
      </c>
      <c r="O33" s="7" t="s">
        <v>50</v>
      </c>
      <c r="P33" s="7" t="s">
        <v>65</v>
      </c>
      <c r="Q33" s="7"/>
      <c r="R33" s="7" t="s">
        <v>65</v>
      </c>
      <c r="S33" s="7" t="s">
        <v>65</v>
      </c>
      <c r="T33" s="7" t="s">
        <v>65</v>
      </c>
      <c r="U33" s="7" t="s">
        <v>65</v>
      </c>
      <c r="V33" s="7" t="s">
        <v>65</v>
      </c>
      <c r="W33" s="7" t="s">
        <v>65</v>
      </c>
      <c r="X33" s="7" t="s">
        <v>65</v>
      </c>
      <c r="Y33" s="7" t="s">
        <v>65</v>
      </c>
      <c r="Z33" s="7" t="s">
        <v>65</v>
      </c>
      <c r="AA33" s="7" t="s">
        <v>65</v>
      </c>
      <c r="AB33" s="7" t="s">
        <v>65</v>
      </c>
      <c r="AC33" s="7" t="s">
        <v>65</v>
      </c>
      <c r="AD33" s="7" t="s">
        <v>65</v>
      </c>
      <c r="AE33" s="7" t="s">
        <v>65</v>
      </c>
      <c r="AF33" s="7" t="s">
        <v>65</v>
      </c>
      <c r="AG33" s="7" t="s">
        <v>65</v>
      </c>
      <c r="AH33" s="7" t="s">
        <v>65</v>
      </c>
      <c r="AI33" s="7" t="s">
        <v>65</v>
      </c>
      <c r="AJ33" s="7" t="s">
        <v>65</v>
      </c>
      <c r="AK33" s="7" t="s">
        <v>65</v>
      </c>
      <c r="AL33" s="7" t="s">
        <v>65</v>
      </c>
      <c r="AM33" s="7" t="s">
        <v>65</v>
      </c>
      <c r="AN33" s="7" t="s">
        <v>65</v>
      </c>
      <c r="AO33" s="7" t="s">
        <v>65</v>
      </c>
      <c r="AP33" s="7" t="s">
        <v>65</v>
      </c>
      <c r="AQ33" s="7" t="s">
        <v>65</v>
      </c>
      <c r="AR33" s="7" t="s">
        <v>65</v>
      </c>
      <c r="AS33" s="7" t="s">
        <v>65</v>
      </c>
      <c r="AT33" s="7" t="s">
        <v>65</v>
      </c>
      <c r="AU33" s="7" t="s">
        <v>65</v>
      </c>
      <c r="AV33" s="7" t="s">
        <v>65</v>
      </c>
      <c r="AW33" s="7" t="s">
        <v>65</v>
      </c>
      <c r="AX33" s="7" t="s">
        <v>65</v>
      </c>
      <c r="AY33" s="7" t="s">
        <v>65</v>
      </c>
      <c r="AZ33" s="7" t="s">
        <v>65</v>
      </c>
      <c r="BA33" s="7" t="s">
        <v>65</v>
      </c>
      <c r="BB33" s="7" t="s">
        <v>65</v>
      </c>
      <c r="BC33" s="15">
        <f t="shared" si="0"/>
        <v>0</v>
      </c>
      <c r="BD33" s="15">
        <f t="shared" si="1"/>
        <v>0</v>
      </c>
      <c r="BE33" s="15">
        <f t="shared" si="2"/>
        <v>0</v>
      </c>
      <c r="BF33" s="15">
        <f t="shared" si="3"/>
        <v>0</v>
      </c>
      <c r="BG33" s="20"/>
    </row>
    <row r="34" spans="1:59" ht="15.75" customHeight="1" x14ac:dyDescent="0.2">
      <c r="A34" s="29">
        <f t="shared" si="4"/>
        <v>12000033</v>
      </c>
      <c r="B34" s="29" t="s">
        <v>123</v>
      </c>
      <c r="C34" s="6" t="s">
        <v>80</v>
      </c>
      <c r="D34" s="12">
        <v>62027</v>
      </c>
      <c r="E34" s="12" t="s">
        <v>59</v>
      </c>
      <c r="F34" s="13">
        <v>45333</v>
      </c>
      <c r="G34" s="13">
        <v>45685</v>
      </c>
      <c r="H34" s="13">
        <v>32926</v>
      </c>
      <c r="I34" s="12" t="s">
        <v>60</v>
      </c>
      <c r="J34" s="12" t="s">
        <v>81</v>
      </c>
      <c r="K34" s="12" t="s">
        <v>48</v>
      </c>
      <c r="L34" s="6" t="s">
        <v>58</v>
      </c>
      <c r="M34" s="6" t="s">
        <v>6</v>
      </c>
      <c r="N34" s="29" t="s">
        <v>90</v>
      </c>
      <c r="O34" s="6" t="s">
        <v>50</v>
      </c>
      <c r="P34" s="14">
        <v>46636</v>
      </c>
      <c r="Q34" s="6"/>
      <c r="R34" s="6" t="s">
        <v>40</v>
      </c>
      <c r="S34" s="6" t="s">
        <v>40</v>
      </c>
      <c r="T34" s="6" t="s">
        <v>40</v>
      </c>
      <c r="U34" s="6" t="s">
        <v>51</v>
      </c>
      <c r="V34" s="6" t="s">
        <v>51</v>
      </c>
      <c r="W34" s="21" t="s">
        <v>51</v>
      </c>
      <c r="X34" s="6" t="s">
        <v>40</v>
      </c>
      <c r="Y34" s="6" t="s">
        <v>40</v>
      </c>
      <c r="Z34" s="6" t="s">
        <v>40</v>
      </c>
      <c r="AA34" s="6" t="s">
        <v>40</v>
      </c>
      <c r="AB34" s="6" t="s">
        <v>51</v>
      </c>
      <c r="AC34" s="6" t="s">
        <v>51</v>
      </c>
      <c r="AD34" s="6" t="s">
        <v>51</v>
      </c>
      <c r="AE34" s="6" t="s">
        <v>51</v>
      </c>
      <c r="AF34" s="6" t="s">
        <v>40</v>
      </c>
      <c r="AG34" s="6" t="s">
        <v>40</v>
      </c>
      <c r="AH34" s="6" t="s">
        <v>40</v>
      </c>
      <c r="AI34" s="6" t="s">
        <v>51</v>
      </c>
      <c r="AJ34" s="6" t="s">
        <v>51</v>
      </c>
      <c r="AK34" s="6" t="s">
        <v>51</v>
      </c>
      <c r="AL34" s="6" t="s">
        <v>40</v>
      </c>
      <c r="AM34" s="6" t="s">
        <v>40</v>
      </c>
      <c r="AN34" s="6" t="s">
        <v>40</v>
      </c>
      <c r="AO34" s="6" t="s">
        <v>40</v>
      </c>
      <c r="AP34" s="6" t="s">
        <v>51</v>
      </c>
      <c r="AQ34" s="6" t="s">
        <v>51</v>
      </c>
      <c r="AR34" s="6" t="s">
        <v>51</v>
      </c>
      <c r="AS34" s="6" t="s">
        <v>40</v>
      </c>
      <c r="AT34" s="6" t="s">
        <v>40</v>
      </c>
      <c r="AU34" s="6" t="s">
        <v>40</v>
      </c>
      <c r="AV34" s="6" t="s">
        <v>40</v>
      </c>
      <c r="AW34" s="6" t="s">
        <v>51</v>
      </c>
      <c r="AX34" s="6" t="s">
        <v>51</v>
      </c>
      <c r="AY34" s="6" t="s">
        <v>51</v>
      </c>
      <c r="AZ34" s="17" t="s">
        <v>40</v>
      </c>
      <c r="BA34" s="17" t="s">
        <v>40</v>
      </c>
      <c r="BB34" s="17" t="s">
        <v>40</v>
      </c>
      <c r="BC34" s="15">
        <f t="shared" ref="BC34:BC65" si="5">COUNTIF(R34:BB34,"DIA")</f>
        <v>21</v>
      </c>
      <c r="BD34" s="15">
        <f t="shared" ref="BD34:BD50" si="6">COUNTIF(R34:BB34,"NOCHE")</f>
        <v>0</v>
      </c>
      <c r="BE34" s="15">
        <f t="shared" ref="BE34:BE65" si="7">SUM(BC34:BD34)</f>
        <v>21</v>
      </c>
      <c r="BF34" s="15">
        <f t="shared" ref="BF34:BF65" si="8">BE34*12</f>
        <v>252</v>
      </c>
      <c r="BG34" s="16"/>
    </row>
    <row r="35" spans="1:59" ht="15.75" customHeight="1" x14ac:dyDescent="0.2">
      <c r="A35" s="29">
        <f t="shared" si="4"/>
        <v>12000034</v>
      </c>
      <c r="B35" s="29" t="s">
        <v>124</v>
      </c>
      <c r="C35" s="6" t="s">
        <v>19</v>
      </c>
      <c r="D35" s="12">
        <v>62027</v>
      </c>
      <c r="E35" s="12" t="s">
        <v>59</v>
      </c>
      <c r="F35" s="13">
        <v>45333</v>
      </c>
      <c r="G35" s="13">
        <v>45685</v>
      </c>
      <c r="H35" s="13">
        <v>31055</v>
      </c>
      <c r="I35" s="12" t="s">
        <v>60</v>
      </c>
      <c r="J35" s="12" t="s">
        <v>61</v>
      </c>
      <c r="K35" s="12" t="s">
        <v>48</v>
      </c>
      <c r="L35" s="6" t="s">
        <v>49</v>
      </c>
      <c r="M35" s="6" t="s">
        <v>4</v>
      </c>
      <c r="N35" s="29" t="s">
        <v>90</v>
      </c>
      <c r="O35" s="6" t="s">
        <v>50</v>
      </c>
      <c r="P35" s="14">
        <v>46285</v>
      </c>
      <c r="Q35" s="6"/>
      <c r="R35" s="6" t="s">
        <v>41</v>
      </c>
      <c r="S35" s="6" t="s">
        <v>41</v>
      </c>
      <c r="T35" s="6" t="s">
        <v>41</v>
      </c>
      <c r="U35" s="6" t="s">
        <v>41</v>
      </c>
      <c r="V35" s="6" t="s">
        <v>51</v>
      </c>
      <c r="W35" s="6" t="s">
        <v>51</v>
      </c>
      <c r="X35" s="6" t="s">
        <v>51</v>
      </c>
      <c r="Y35" s="6" t="s">
        <v>51</v>
      </c>
      <c r="Z35" s="6" t="s">
        <v>51</v>
      </c>
      <c r="AA35" s="6" t="s">
        <v>51</v>
      </c>
      <c r="AB35" s="6" t="s">
        <v>51</v>
      </c>
      <c r="AC35" s="6" t="s">
        <v>51</v>
      </c>
      <c r="AD35" s="6" t="s">
        <v>51</v>
      </c>
      <c r="AE35" s="6" t="s">
        <v>51</v>
      </c>
      <c r="AF35" s="6" t="s">
        <v>41</v>
      </c>
      <c r="AG35" s="6" t="s">
        <v>41</v>
      </c>
      <c r="AH35" s="6" t="s">
        <v>41</v>
      </c>
      <c r="AI35" s="6" t="s">
        <v>41</v>
      </c>
      <c r="AJ35" s="6" t="s">
        <v>41</v>
      </c>
      <c r="AK35" s="6" t="s">
        <v>41</v>
      </c>
      <c r="AL35" s="6" t="s">
        <v>41</v>
      </c>
      <c r="AM35" s="6" t="s">
        <v>41</v>
      </c>
      <c r="AN35" s="6" t="s">
        <v>41</v>
      </c>
      <c r="AO35" s="6" t="s">
        <v>41</v>
      </c>
      <c r="AP35" s="6" t="s">
        <v>51</v>
      </c>
      <c r="AQ35" s="6" t="s">
        <v>51</v>
      </c>
      <c r="AR35" s="6" t="s">
        <v>51</v>
      </c>
      <c r="AS35" s="6" t="s">
        <v>51</v>
      </c>
      <c r="AT35" s="6" t="s">
        <v>51</v>
      </c>
      <c r="AU35" s="6" t="s">
        <v>51</v>
      </c>
      <c r="AV35" s="6" t="s">
        <v>51</v>
      </c>
      <c r="AW35" s="6" t="s">
        <v>51</v>
      </c>
      <c r="AX35" s="6" t="s">
        <v>51</v>
      </c>
      <c r="AY35" s="6" t="s">
        <v>51</v>
      </c>
      <c r="AZ35" s="17" t="s">
        <v>41</v>
      </c>
      <c r="BA35" s="17" t="s">
        <v>41</v>
      </c>
      <c r="BB35" s="17" t="s">
        <v>41</v>
      </c>
      <c r="BC35" s="15">
        <f t="shared" si="5"/>
        <v>0</v>
      </c>
      <c r="BD35" s="15">
        <f t="shared" si="6"/>
        <v>17</v>
      </c>
      <c r="BE35" s="15">
        <f t="shared" si="7"/>
        <v>17</v>
      </c>
      <c r="BF35" s="15">
        <f t="shared" si="8"/>
        <v>204</v>
      </c>
      <c r="BG35" s="16"/>
    </row>
    <row r="36" spans="1:59" ht="15.75" customHeight="1" x14ac:dyDescent="0.2">
      <c r="A36" s="29">
        <f t="shared" si="4"/>
        <v>12000035</v>
      </c>
      <c r="B36" s="29" t="s">
        <v>125</v>
      </c>
      <c r="C36" s="6" t="s">
        <v>21</v>
      </c>
      <c r="D36" s="12">
        <v>84831</v>
      </c>
      <c r="E36" s="12" t="s">
        <v>54</v>
      </c>
      <c r="F36" s="13">
        <v>45284</v>
      </c>
      <c r="G36" s="13">
        <v>45685</v>
      </c>
      <c r="H36" s="13">
        <v>34587</v>
      </c>
      <c r="I36" s="12" t="s">
        <v>60</v>
      </c>
      <c r="J36" s="12" t="s">
        <v>66</v>
      </c>
      <c r="K36" s="12" t="s">
        <v>48</v>
      </c>
      <c r="L36" s="6" t="s">
        <v>56</v>
      </c>
      <c r="M36" s="6" t="s">
        <v>3</v>
      </c>
      <c r="N36" s="29" t="s">
        <v>90</v>
      </c>
      <c r="O36" s="6" t="s">
        <v>50</v>
      </c>
      <c r="P36" s="14">
        <v>46005</v>
      </c>
      <c r="Q36" s="6"/>
      <c r="R36" s="6" t="s">
        <v>52</v>
      </c>
      <c r="S36" s="6" t="s">
        <v>52</v>
      </c>
      <c r="T36" s="6" t="s">
        <v>52</v>
      </c>
      <c r="U36" s="6" t="s">
        <v>52</v>
      </c>
      <c r="V36" s="6" t="s">
        <v>52</v>
      </c>
      <c r="W36" s="6" t="s">
        <v>52</v>
      </c>
      <c r="X36" s="6" t="s">
        <v>52</v>
      </c>
      <c r="Y36" s="6" t="s">
        <v>52</v>
      </c>
      <c r="Z36" s="6" t="s">
        <v>52</v>
      </c>
      <c r="AA36" s="6" t="s">
        <v>52</v>
      </c>
      <c r="AB36" s="6" t="s">
        <v>52</v>
      </c>
      <c r="AC36" s="6" t="s">
        <v>52</v>
      </c>
      <c r="AD36" s="6" t="s">
        <v>52</v>
      </c>
      <c r="AE36" s="6" t="s">
        <v>52</v>
      </c>
      <c r="AF36" s="6" t="s">
        <v>52</v>
      </c>
      <c r="AG36" s="6" t="s">
        <v>52</v>
      </c>
      <c r="AH36" s="6" t="s">
        <v>52</v>
      </c>
      <c r="AI36" s="6" t="s">
        <v>52</v>
      </c>
      <c r="AJ36" s="6" t="s">
        <v>52</v>
      </c>
      <c r="AK36" s="6" t="s">
        <v>52</v>
      </c>
      <c r="AL36" s="6" t="s">
        <v>52</v>
      </c>
      <c r="AM36" s="6" t="s">
        <v>52</v>
      </c>
      <c r="AN36" s="6" t="s">
        <v>52</v>
      </c>
      <c r="AO36" s="6" t="s">
        <v>52</v>
      </c>
      <c r="AP36" s="6" t="s">
        <v>52</v>
      </c>
      <c r="AQ36" s="6" t="s">
        <v>52</v>
      </c>
      <c r="AR36" s="6" t="s">
        <v>52</v>
      </c>
      <c r="AS36" s="6" t="s">
        <v>52</v>
      </c>
      <c r="AT36" s="6" t="s">
        <v>52</v>
      </c>
      <c r="AU36" s="6" t="s">
        <v>52</v>
      </c>
      <c r="AV36" s="6" t="s">
        <v>52</v>
      </c>
      <c r="AW36" s="6" t="s">
        <v>52</v>
      </c>
      <c r="AX36" s="6" t="s">
        <v>52</v>
      </c>
      <c r="AY36" s="6" t="s">
        <v>52</v>
      </c>
      <c r="AZ36" s="17" t="s">
        <v>52</v>
      </c>
      <c r="BA36" s="17" t="s">
        <v>52</v>
      </c>
      <c r="BB36" s="17" t="s">
        <v>52</v>
      </c>
      <c r="BC36" s="15">
        <f t="shared" si="5"/>
        <v>0</v>
      </c>
      <c r="BD36" s="15">
        <f t="shared" si="6"/>
        <v>0</v>
      </c>
      <c r="BE36" s="15">
        <f t="shared" si="7"/>
        <v>0</v>
      </c>
      <c r="BF36" s="15">
        <f t="shared" si="8"/>
        <v>0</v>
      </c>
      <c r="BG36" s="16"/>
    </row>
    <row r="37" spans="1:59" ht="15.75" customHeight="1" x14ac:dyDescent="0.2">
      <c r="A37" s="29">
        <f t="shared" si="4"/>
        <v>12000036</v>
      </c>
      <c r="B37" s="29" t="s">
        <v>126</v>
      </c>
      <c r="C37" s="6" t="s">
        <v>75</v>
      </c>
      <c r="D37" s="12">
        <v>62028</v>
      </c>
      <c r="E37" s="12" t="s">
        <v>69</v>
      </c>
      <c r="F37" s="13">
        <v>44489</v>
      </c>
      <c r="G37" s="13">
        <v>45685</v>
      </c>
      <c r="H37" s="13">
        <v>31532</v>
      </c>
      <c r="I37" s="12" t="s">
        <v>60</v>
      </c>
      <c r="J37" s="12" t="s">
        <v>61</v>
      </c>
      <c r="K37" s="12" t="s">
        <v>48</v>
      </c>
      <c r="L37" s="6" t="s">
        <v>49</v>
      </c>
      <c r="M37" s="6" t="s">
        <v>4</v>
      </c>
      <c r="N37" s="29" t="s">
        <v>90</v>
      </c>
      <c r="O37" s="6" t="s">
        <v>50</v>
      </c>
      <c r="P37" s="14">
        <v>46285</v>
      </c>
      <c r="Q37" s="6"/>
      <c r="R37" s="6" t="s">
        <v>40</v>
      </c>
      <c r="S37" s="6" t="s">
        <v>40</v>
      </c>
      <c r="T37" s="6" t="s">
        <v>40</v>
      </c>
      <c r="U37" s="6" t="s">
        <v>40</v>
      </c>
      <c r="V37" s="6" t="s">
        <v>51</v>
      </c>
      <c r="W37" s="6" t="s">
        <v>51</v>
      </c>
      <c r="X37" s="6" t="s">
        <v>51</v>
      </c>
      <c r="Y37" s="6" t="s">
        <v>51</v>
      </c>
      <c r="Z37" s="6" t="s">
        <v>51</v>
      </c>
      <c r="AA37" s="6" t="s">
        <v>51</v>
      </c>
      <c r="AB37" s="6" t="s">
        <v>51</v>
      </c>
      <c r="AC37" s="6" t="s">
        <v>51</v>
      </c>
      <c r="AD37" s="6" t="s">
        <v>51</v>
      </c>
      <c r="AE37" s="6" t="s">
        <v>51</v>
      </c>
      <c r="AF37" s="6" t="s">
        <v>41</v>
      </c>
      <c r="AG37" s="6" t="s">
        <v>41</v>
      </c>
      <c r="AH37" s="6" t="s">
        <v>41</v>
      </c>
      <c r="AI37" s="6" t="s">
        <v>41</v>
      </c>
      <c r="AJ37" s="6" t="s">
        <v>41</v>
      </c>
      <c r="AK37" s="6" t="s">
        <v>41</v>
      </c>
      <c r="AL37" s="6" t="s">
        <v>41</v>
      </c>
      <c r="AM37" s="6" t="s">
        <v>41</v>
      </c>
      <c r="AN37" s="6" t="s">
        <v>41</v>
      </c>
      <c r="AO37" s="6" t="s">
        <v>41</v>
      </c>
      <c r="AP37" s="6" t="s">
        <v>51</v>
      </c>
      <c r="AQ37" s="6" t="s">
        <v>51</v>
      </c>
      <c r="AR37" s="6" t="s">
        <v>51</v>
      </c>
      <c r="AS37" s="6" t="s">
        <v>51</v>
      </c>
      <c r="AT37" s="6" t="s">
        <v>51</v>
      </c>
      <c r="AU37" s="6" t="s">
        <v>51</v>
      </c>
      <c r="AV37" s="6" t="s">
        <v>51</v>
      </c>
      <c r="AW37" s="6" t="s">
        <v>51</v>
      </c>
      <c r="AX37" s="6" t="s">
        <v>51</v>
      </c>
      <c r="AY37" s="6" t="s">
        <v>51</v>
      </c>
      <c r="AZ37" s="17" t="s">
        <v>41</v>
      </c>
      <c r="BA37" s="17" t="s">
        <v>41</v>
      </c>
      <c r="BB37" s="17" t="s">
        <v>41</v>
      </c>
      <c r="BC37" s="15">
        <f t="shared" si="5"/>
        <v>4</v>
      </c>
      <c r="BD37" s="15">
        <f t="shared" si="6"/>
        <v>13</v>
      </c>
      <c r="BE37" s="15">
        <f t="shared" si="7"/>
        <v>17</v>
      </c>
      <c r="BF37" s="15">
        <f t="shared" si="8"/>
        <v>204</v>
      </c>
      <c r="BG37" s="16"/>
    </row>
    <row r="38" spans="1:59" ht="15.75" customHeight="1" x14ac:dyDescent="0.2">
      <c r="A38" s="29">
        <f t="shared" si="4"/>
        <v>12000037</v>
      </c>
      <c r="B38" s="29" t="s">
        <v>127</v>
      </c>
      <c r="C38" s="6" t="s">
        <v>82</v>
      </c>
      <c r="D38" s="12">
        <v>62027</v>
      </c>
      <c r="E38" s="12" t="s">
        <v>59</v>
      </c>
      <c r="F38" s="13">
        <v>43682</v>
      </c>
      <c r="G38" s="13">
        <v>45685</v>
      </c>
      <c r="H38" s="13">
        <v>30922</v>
      </c>
      <c r="I38" s="12" t="s">
        <v>46</v>
      </c>
      <c r="J38" s="12" t="s">
        <v>47</v>
      </c>
      <c r="K38" s="12" t="s">
        <v>48</v>
      </c>
      <c r="L38" s="6" t="s">
        <v>58</v>
      </c>
      <c r="M38" s="6" t="s">
        <v>6</v>
      </c>
      <c r="N38" s="29" t="s">
        <v>90</v>
      </c>
      <c r="O38" s="6" t="s">
        <v>50</v>
      </c>
      <c r="P38" s="14">
        <v>46301</v>
      </c>
      <c r="Q38" s="6"/>
      <c r="R38" s="6" t="s">
        <v>51</v>
      </c>
      <c r="S38" s="6" t="s">
        <v>51</v>
      </c>
      <c r="T38" s="6" t="s">
        <v>51</v>
      </c>
      <c r="U38" s="6" t="s">
        <v>51</v>
      </c>
      <c r="V38" s="6" t="s">
        <v>51</v>
      </c>
      <c r="W38" s="21" t="s">
        <v>51</v>
      </c>
      <c r="X38" s="6" t="s">
        <v>51</v>
      </c>
      <c r="Y38" s="6" t="s">
        <v>51</v>
      </c>
      <c r="Z38" s="6" t="s">
        <v>51</v>
      </c>
      <c r="AA38" s="6" t="s">
        <v>51</v>
      </c>
      <c r="AB38" s="6" t="s">
        <v>51</v>
      </c>
      <c r="AC38" s="6" t="s">
        <v>51</v>
      </c>
      <c r="AD38" s="6" t="s">
        <v>51</v>
      </c>
      <c r="AE38" s="6" t="s">
        <v>51</v>
      </c>
      <c r="AF38" s="6" t="s">
        <v>51</v>
      </c>
      <c r="AG38" s="6" t="s">
        <v>51</v>
      </c>
      <c r="AH38" s="6" t="s">
        <v>51</v>
      </c>
      <c r="AI38" s="6" t="s">
        <v>51</v>
      </c>
      <c r="AJ38" s="6" t="s">
        <v>51</v>
      </c>
      <c r="AK38" s="6" t="s">
        <v>51</v>
      </c>
      <c r="AL38" s="6" t="s">
        <v>51</v>
      </c>
      <c r="AM38" s="6" t="s">
        <v>51</v>
      </c>
      <c r="AN38" s="6" t="s">
        <v>51</v>
      </c>
      <c r="AO38" s="6" t="s">
        <v>51</v>
      </c>
      <c r="AP38" s="6" t="s">
        <v>51</v>
      </c>
      <c r="AQ38" s="6" t="s">
        <v>51</v>
      </c>
      <c r="AR38" s="6" t="s">
        <v>51</v>
      </c>
      <c r="AS38" s="6" t="s">
        <v>51</v>
      </c>
      <c r="AT38" s="6" t="s">
        <v>51</v>
      </c>
      <c r="AU38" s="6" t="s">
        <v>51</v>
      </c>
      <c r="AV38" s="6" t="s">
        <v>51</v>
      </c>
      <c r="AW38" s="6" t="s">
        <v>51</v>
      </c>
      <c r="AX38" s="6" t="s">
        <v>51</v>
      </c>
      <c r="AY38" s="6" t="s">
        <v>51</v>
      </c>
      <c r="AZ38" s="17" t="s">
        <v>51</v>
      </c>
      <c r="BA38" s="17" t="s">
        <v>51</v>
      </c>
      <c r="BB38" s="17" t="s">
        <v>51</v>
      </c>
      <c r="BC38" s="15">
        <f t="shared" si="5"/>
        <v>0</v>
      </c>
      <c r="BD38" s="15">
        <f t="shared" si="6"/>
        <v>0</v>
      </c>
      <c r="BE38" s="15">
        <f t="shared" si="7"/>
        <v>0</v>
      </c>
      <c r="BF38" s="15">
        <f t="shared" si="8"/>
        <v>0</v>
      </c>
      <c r="BG38" s="16"/>
    </row>
    <row r="39" spans="1:59" ht="15.75" customHeight="1" x14ac:dyDescent="0.2">
      <c r="A39" s="29">
        <f t="shared" si="4"/>
        <v>12000038</v>
      </c>
      <c r="B39" s="29" t="s">
        <v>128</v>
      </c>
      <c r="C39" s="6" t="s">
        <v>84</v>
      </c>
      <c r="D39" s="12">
        <v>62027</v>
      </c>
      <c r="E39" s="12" t="s">
        <v>59</v>
      </c>
      <c r="F39" s="13">
        <v>44722</v>
      </c>
      <c r="G39" s="13">
        <v>45685</v>
      </c>
      <c r="H39" s="13">
        <v>31037</v>
      </c>
      <c r="I39" s="12" t="s">
        <v>46</v>
      </c>
      <c r="J39" s="12" t="s">
        <v>85</v>
      </c>
      <c r="K39" s="12" t="s">
        <v>55</v>
      </c>
      <c r="L39" s="6" t="s">
        <v>56</v>
      </c>
      <c r="M39" s="6" t="s">
        <v>4</v>
      </c>
      <c r="N39" s="29" t="s">
        <v>90</v>
      </c>
      <c r="O39" s="6" t="s">
        <v>50</v>
      </c>
      <c r="P39" s="6" t="s">
        <v>73</v>
      </c>
      <c r="Q39" s="6"/>
      <c r="R39" s="6" t="s">
        <v>51</v>
      </c>
      <c r="S39" s="6" t="s">
        <v>51</v>
      </c>
      <c r="T39" s="6" t="s">
        <v>51</v>
      </c>
      <c r="U39" s="6" t="s">
        <v>51</v>
      </c>
      <c r="V39" s="6" t="s">
        <v>40</v>
      </c>
      <c r="W39" s="6" t="s">
        <v>40</v>
      </c>
      <c r="X39" s="6" t="s">
        <v>40</v>
      </c>
      <c r="Y39" s="6" t="s">
        <v>40</v>
      </c>
      <c r="Z39" s="6" t="s">
        <v>40</v>
      </c>
      <c r="AA39" s="6" t="s">
        <v>40</v>
      </c>
      <c r="AB39" s="6" t="s">
        <v>40</v>
      </c>
      <c r="AC39" s="6" t="s">
        <v>40</v>
      </c>
      <c r="AD39" s="6" t="s">
        <v>40</v>
      </c>
      <c r="AE39" s="6" t="s">
        <v>40</v>
      </c>
      <c r="AF39" s="6" t="s">
        <v>51</v>
      </c>
      <c r="AG39" s="6" t="s">
        <v>51</v>
      </c>
      <c r="AH39" s="6" t="s">
        <v>51</v>
      </c>
      <c r="AI39" s="6" t="s">
        <v>51</v>
      </c>
      <c r="AJ39" s="6" t="s">
        <v>51</v>
      </c>
      <c r="AK39" s="6" t="s">
        <v>51</v>
      </c>
      <c r="AL39" s="6" t="s">
        <v>51</v>
      </c>
      <c r="AM39" s="6" t="s">
        <v>51</v>
      </c>
      <c r="AN39" s="6" t="s">
        <v>51</v>
      </c>
      <c r="AO39" s="6" t="s">
        <v>51</v>
      </c>
      <c r="AP39" s="6" t="s">
        <v>41</v>
      </c>
      <c r="AQ39" s="6" t="s">
        <v>41</v>
      </c>
      <c r="AR39" s="6" t="s">
        <v>41</v>
      </c>
      <c r="AS39" s="6" t="s">
        <v>41</v>
      </c>
      <c r="AT39" s="6" t="s">
        <v>41</v>
      </c>
      <c r="AU39" s="6" t="s">
        <v>41</v>
      </c>
      <c r="AV39" s="6" t="s">
        <v>41</v>
      </c>
      <c r="AW39" s="6" t="s">
        <v>41</v>
      </c>
      <c r="AX39" s="6" t="s">
        <v>41</v>
      </c>
      <c r="AY39" s="6" t="s">
        <v>41</v>
      </c>
      <c r="AZ39" s="17" t="s">
        <v>51</v>
      </c>
      <c r="BA39" s="17" t="s">
        <v>51</v>
      </c>
      <c r="BB39" s="17" t="s">
        <v>51</v>
      </c>
      <c r="BC39" s="15">
        <f t="shared" si="5"/>
        <v>10</v>
      </c>
      <c r="BD39" s="15">
        <f t="shared" si="6"/>
        <v>10</v>
      </c>
      <c r="BE39" s="15">
        <f t="shared" si="7"/>
        <v>20</v>
      </c>
      <c r="BF39" s="15">
        <f t="shared" si="8"/>
        <v>240</v>
      </c>
      <c r="BG39" s="16"/>
    </row>
    <row r="40" spans="1:59" ht="15.75" customHeight="1" x14ac:dyDescent="0.2">
      <c r="A40" s="29">
        <f t="shared" si="4"/>
        <v>12000039</v>
      </c>
      <c r="B40" s="31" t="s">
        <v>129</v>
      </c>
      <c r="C40" s="6" t="s">
        <v>78</v>
      </c>
      <c r="D40" s="12">
        <v>62030</v>
      </c>
      <c r="E40" s="12" t="s">
        <v>79</v>
      </c>
      <c r="F40" s="13">
        <v>45492</v>
      </c>
      <c r="G40" s="13">
        <v>45685</v>
      </c>
      <c r="H40" s="13">
        <v>38434</v>
      </c>
      <c r="I40" s="12" t="s">
        <v>60</v>
      </c>
      <c r="J40" s="12" t="s">
        <v>66</v>
      </c>
      <c r="K40" s="12" t="s">
        <v>48</v>
      </c>
      <c r="L40" s="6" t="s">
        <v>56</v>
      </c>
      <c r="M40" s="6" t="s">
        <v>4</v>
      </c>
      <c r="N40" s="29" t="s">
        <v>90</v>
      </c>
      <c r="O40" s="6" t="s">
        <v>50</v>
      </c>
      <c r="P40" s="6" t="s">
        <v>83</v>
      </c>
      <c r="Q40" s="6"/>
      <c r="R40" s="6" t="s">
        <v>51</v>
      </c>
      <c r="S40" s="6" t="s">
        <v>51</v>
      </c>
      <c r="T40" s="6" t="s">
        <v>51</v>
      </c>
      <c r="U40" s="6" t="s">
        <v>51</v>
      </c>
      <c r="V40" s="6" t="s">
        <v>52</v>
      </c>
      <c r="W40" s="6" t="s">
        <v>52</v>
      </c>
      <c r="X40" s="6" t="s">
        <v>52</v>
      </c>
      <c r="Y40" s="6" t="s">
        <v>52</v>
      </c>
      <c r="Z40" s="6" t="s">
        <v>52</v>
      </c>
      <c r="AA40" s="6" t="s">
        <v>52</v>
      </c>
      <c r="AB40" s="6" t="s">
        <v>52</v>
      </c>
      <c r="AC40" s="6" t="s">
        <v>52</v>
      </c>
      <c r="AD40" s="6" t="s">
        <v>52</v>
      </c>
      <c r="AE40" s="6" t="s">
        <v>52</v>
      </c>
      <c r="AF40" s="6" t="s">
        <v>52</v>
      </c>
      <c r="AG40" s="6" t="s">
        <v>52</v>
      </c>
      <c r="AH40" s="6" t="s">
        <v>52</v>
      </c>
      <c r="AI40" s="6" t="s">
        <v>52</v>
      </c>
      <c r="AJ40" s="6" t="s">
        <v>51</v>
      </c>
      <c r="AK40" s="6" t="s">
        <v>51</v>
      </c>
      <c r="AL40" s="6" t="s">
        <v>51</v>
      </c>
      <c r="AM40" s="6" t="s">
        <v>51</v>
      </c>
      <c r="AN40" s="6" t="s">
        <v>51</v>
      </c>
      <c r="AO40" s="6" t="s">
        <v>51</v>
      </c>
      <c r="AP40" s="6" t="s">
        <v>52</v>
      </c>
      <c r="AQ40" s="6" t="s">
        <v>52</v>
      </c>
      <c r="AR40" s="6" t="s">
        <v>52</v>
      </c>
      <c r="AS40" s="6" t="s">
        <v>52</v>
      </c>
      <c r="AT40" s="6" t="s">
        <v>52</v>
      </c>
      <c r="AU40" s="6" t="s">
        <v>52</v>
      </c>
      <c r="AV40" s="6" t="s">
        <v>52</v>
      </c>
      <c r="AW40" s="6" t="s">
        <v>52</v>
      </c>
      <c r="AX40" s="6" t="s">
        <v>52</v>
      </c>
      <c r="AY40" s="6" t="s">
        <v>52</v>
      </c>
      <c r="AZ40" s="17" t="s">
        <v>52</v>
      </c>
      <c r="BA40" s="17" t="s">
        <v>52</v>
      </c>
      <c r="BB40" s="17" t="s">
        <v>52</v>
      </c>
      <c r="BC40" s="15">
        <f t="shared" si="5"/>
        <v>0</v>
      </c>
      <c r="BD40" s="15">
        <f t="shared" si="6"/>
        <v>0</v>
      </c>
      <c r="BE40" s="15">
        <f t="shared" si="7"/>
        <v>0</v>
      </c>
      <c r="BF40" s="15">
        <f t="shared" si="8"/>
        <v>0</v>
      </c>
      <c r="BG40" s="16"/>
    </row>
    <row r="41" spans="1:59" ht="15.75" customHeight="1" x14ac:dyDescent="0.2">
      <c r="A41" s="29">
        <f t="shared" si="4"/>
        <v>12000040</v>
      </c>
      <c r="B41" s="29" t="s">
        <v>130</v>
      </c>
      <c r="C41" s="6" t="s">
        <v>63</v>
      </c>
      <c r="D41" s="12">
        <v>62027</v>
      </c>
      <c r="E41" s="12" t="s">
        <v>59</v>
      </c>
      <c r="F41" s="13">
        <v>45042</v>
      </c>
      <c r="G41" s="13">
        <v>45685</v>
      </c>
      <c r="H41" s="13">
        <v>32616</v>
      </c>
      <c r="I41" s="12" t="s">
        <v>46</v>
      </c>
      <c r="J41" s="12" t="s">
        <v>61</v>
      </c>
      <c r="K41" s="12" t="s">
        <v>48</v>
      </c>
      <c r="L41" s="6" t="s">
        <v>49</v>
      </c>
      <c r="M41" s="6" t="s">
        <v>4</v>
      </c>
      <c r="N41" s="29" t="s">
        <v>90</v>
      </c>
      <c r="O41" s="6" t="s">
        <v>50</v>
      </c>
      <c r="P41" s="14">
        <v>46425</v>
      </c>
      <c r="Q41" s="6"/>
      <c r="R41" s="6" t="s">
        <v>40</v>
      </c>
      <c r="S41" s="6" t="s">
        <v>40</v>
      </c>
      <c r="T41" s="6" t="s">
        <v>40</v>
      </c>
      <c r="U41" s="6" t="s">
        <v>40</v>
      </c>
      <c r="V41" s="6" t="s">
        <v>51</v>
      </c>
      <c r="W41" s="6" t="s">
        <v>51</v>
      </c>
      <c r="X41" s="6" t="s">
        <v>51</v>
      </c>
      <c r="Y41" s="6" t="s">
        <v>51</v>
      </c>
      <c r="Z41" s="6" t="s">
        <v>51</v>
      </c>
      <c r="AA41" s="6" t="s">
        <v>51</v>
      </c>
      <c r="AB41" s="6" t="s">
        <v>51</v>
      </c>
      <c r="AC41" s="6" t="s">
        <v>51</v>
      </c>
      <c r="AD41" s="6" t="s">
        <v>51</v>
      </c>
      <c r="AE41" s="6" t="s">
        <v>51</v>
      </c>
      <c r="AF41" s="6" t="s">
        <v>40</v>
      </c>
      <c r="AG41" s="6" t="s">
        <v>40</v>
      </c>
      <c r="AH41" s="6" t="s">
        <v>40</v>
      </c>
      <c r="AI41" s="6" t="s">
        <v>40</v>
      </c>
      <c r="AJ41" s="6" t="s">
        <v>40</v>
      </c>
      <c r="AK41" s="6" t="s">
        <v>40</v>
      </c>
      <c r="AL41" s="6" t="s">
        <v>40</v>
      </c>
      <c r="AM41" s="6" t="s">
        <v>40</v>
      </c>
      <c r="AN41" s="6" t="s">
        <v>40</v>
      </c>
      <c r="AO41" s="6" t="s">
        <v>40</v>
      </c>
      <c r="AP41" s="6" t="s">
        <v>51</v>
      </c>
      <c r="AQ41" s="6" t="s">
        <v>51</v>
      </c>
      <c r="AR41" s="6" t="s">
        <v>51</v>
      </c>
      <c r="AS41" s="6" t="s">
        <v>51</v>
      </c>
      <c r="AT41" s="6" t="s">
        <v>51</v>
      </c>
      <c r="AU41" s="6" t="s">
        <v>51</v>
      </c>
      <c r="AV41" s="6" t="s">
        <v>51</v>
      </c>
      <c r="AW41" s="6" t="s">
        <v>51</v>
      </c>
      <c r="AX41" s="6" t="s">
        <v>51</v>
      </c>
      <c r="AY41" s="6" t="s">
        <v>51</v>
      </c>
      <c r="AZ41" s="17" t="s">
        <v>40</v>
      </c>
      <c r="BA41" s="17" t="s">
        <v>40</v>
      </c>
      <c r="BB41" s="17" t="s">
        <v>40</v>
      </c>
      <c r="BC41" s="15">
        <f t="shared" si="5"/>
        <v>17</v>
      </c>
      <c r="BD41" s="15">
        <f t="shared" si="6"/>
        <v>0</v>
      </c>
      <c r="BE41" s="15">
        <f t="shared" si="7"/>
        <v>17</v>
      </c>
      <c r="BF41" s="15">
        <f t="shared" si="8"/>
        <v>204</v>
      </c>
      <c r="BG41" s="16"/>
    </row>
    <row r="42" spans="1:59" ht="15.75" customHeight="1" x14ac:dyDescent="0.2">
      <c r="A42" s="29">
        <f t="shared" si="4"/>
        <v>12000041</v>
      </c>
      <c r="B42" s="29" t="s">
        <v>131</v>
      </c>
      <c r="C42" s="6" t="s">
        <v>86</v>
      </c>
      <c r="D42" s="12">
        <v>62027</v>
      </c>
      <c r="E42" s="12" t="s">
        <v>59</v>
      </c>
      <c r="F42" s="13">
        <v>45324</v>
      </c>
      <c r="G42" s="13">
        <v>45694</v>
      </c>
      <c r="H42" s="13">
        <v>32801</v>
      </c>
      <c r="I42" s="12" t="s">
        <v>46</v>
      </c>
      <c r="J42" s="12" t="s">
        <v>64</v>
      </c>
      <c r="K42" s="12" t="s">
        <v>55</v>
      </c>
      <c r="L42" s="6" t="s">
        <v>56</v>
      </c>
      <c r="M42" s="6" t="s">
        <v>3</v>
      </c>
      <c r="N42" s="29" t="s">
        <v>90</v>
      </c>
      <c r="O42" s="6" t="s">
        <v>50</v>
      </c>
      <c r="P42" s="14">
        <v>46775</v>
      </c>
      <c r="Q42" s="6"/>
      <c r="R42" s="6" t="s">
        <v>51</v>
      </c>
      <c r="S42" s="6" t="s">
        <v>51</v>
      </c>
      <c r="T42" s="6" t="s">
        <v>51</v>
      </c>
      <c r="U42" s="6" t="s">
        <v>51</v>
      </c>
      <c r="V42" s="6" t="s">
        <v>40</v>
      </c>
      <c r="W42" s="6" t="s">
        <v>40</v>
      </c>
      <c r="X42" s="6" t="s">
        <v>40</v>
      </c>
      <c r="Y42" s="6" t="s">
        <v>40</v>
      </c>
      <c r="Z42" s="6" t="s">
        <v>40</v>
      </c>
      <c r="AA42" s="6" t="s">
        <v>40</v>
      </c>
      <c r="AB42" s="6" t="s">
        <v>40</v>
      </c>
      <c r="AC42" s="6" t="s">
        <v>40</v>
      </c>
      <c r="AD42" s="6" t="s">
        <v>40</v>
      </c>
      <c r="AE42" s="6" t="s">
        <v>40</v>
      </c>
      <c r="AF42" s="6" t="s">
        <v>51</v>
      </c>
      <c r="AG42" s="6" t="s">
        <v>51</v>
      </c>
      <c r="AH42" s="6" t="s">
        <v>51</v>
      </c>
      <c r="AI42" s="6" t="s">
        <v>51</v>
      </c>
      <c r="AJ42" s="6" t="s">
        <v>51</v>
      </c>
      <c r="AK42" s="6" t="s">
        <v>51</v>
      </c>
      <c r="AL42" s="6" t="s">
        <v>51</v>
      </c>
      <c r="AM42" s="6" t="s">
        <v>51</v>
      </c>
      <c r="AN42" s="6" t="s">
        <v>51</v>
      </c>
      <c r="AO42" s="6" t="s">
        <v>51</v>
      </c>
      <c r="AP42" s="6" t="s">
        <v>40</v>
      </c>
      <c r="AQ42" s="6" t="s">
        <v>40</v>
      </c>
      <c r="AR42" s="6" t="s">
        <v>40</v>
      </c>
      <c r="AS42" s="6" t="s">
        <v>40</v>
      </c>
      <c r="AT42" s="6" t="s">
        <v>40</v>
      </c>
      <c r="AU42" s="6" t="s">
        <v>40</v>
      </c>
      <c r="AV42" s="6" t="s">
        <v>40</v>
      </c>
      <c r="AW42" s="6" t="s">
        <v>40</v>
      </c>
      <c r="AX42" s="6" t="s">
        <v>40</v>
      </c>
      <c r="AY42" s="6" t="s">
        <v>40</v>
      </c>
      <c r="AZ42" s="17" t="s">
        <v>51</v>
      </c>
      <c r="BA42" s="17" t="s">
        <v>51</v>
      </c>
      <c r="BB42" s="17" t="s">
        <v>51</v>
      </c>
      <c r="BC42" s="15">
        <f t="shared" si="5"/>
        <v>20</v>
      </c>
      <c r="BD42" s="15">
        <f t="shared" si="6"/>
        <v>0</v>
      </c>
      <c r="BE42" s="15">
        <f t="shared" si="7"/>
        <v>20</v>
      </c>
      <c r="BF42" s="15">
        <f t="shared" si="8"/>
        <v>240</v>
      </c>
      <c r="BG42" s="16"/>
    </row>
    <row r="43" spans="1:59" ht="15.75" customHeight="1" x14ac:dyDescent="0.2">
      <c r="A43" s="29">
        <f t="shared" si="4"/>
        <v>12000042</v>
      </c>
      <c r="B43" s="29" t="s">
        <v>132</v>
      </c>
      <c r="C43" s="6" t="s">
        <v>20</v>
      </c>
      <c r="D43" s="12">
        <v>84832</v>
      </c>
      <c r="E43" s="12" t="s">
        <v>45</v>
      </c>
      <c r="F43" s="13">
        <v>44258</v>
      </c>
      <c r="G43" s="13">
        <v>45686</v>
      </c>
      <c r="H43" s="13">
        <v>22905</v>
      </c>
      <c r="I43" s="12" t="s">
        <v>46</v>
      </c>
      <c r="J43" s="12" t="s">
        <v>87</v>
      </c>
      <c r="K43" s="12" t="s">
        <v>55</v>
      </c>
      <c r="L43" s="6" t="s">
        <v>49</v>
      </c>
      <c r="M43" s="6" t="s">
        <v>5</v>
      </c>
      <c r="N43" s="29" t="s">
        <v>90</v>
      </c>
      <c r="O43" s="6" t="s">
        <v>50</v>
      </c>
      <c r="P43" s="14">
        <v>45993</v>
      </c>
      <c r="Q43" s="6"/>
      <c r="R43" s="6" t="s">
        <v>52</v>
      </c>
      <c r="S43" s="6" t="s">
        <v>52</v>
      </c>
      <c r="T43" s="6" t="s">
        <v>52</v>
      </c>
      <c r="U43" s="6" t="s">
        <v>52</v>
      </c>
      <c r="V43" s="6" t="s">
        <v>51</v>
      </c>
      <c r="W43" s="6" t="s">
        <v>51</v>
      </c>
      <c r="X43" s="6" t="s">
        <v>51</v>
      </c>
      <c r="Y43" s="6" t="s">
        <v>51</v>
      </c>
      <c r="Z43" s="6" t="s">
        <v>51</v>
      </c>
      <c r="AA43" s="6" t="s">
        <v>51</v>
      </c>
      <c r="AB43" s="6" t="s">
        <v>51</v>
      </c>
      <c r="AC43" s="6" t="s">
        <v>51</v>
      </c>
      <c r="AD43" s="6" t="s">
        <v>51</v>
      </c>
      <c r="AE43" s="6" t="s">
        <v>51</v>
      </c>
      <c r="AF43" s="6" t="s">
        <v>40</v>
      </c>
      <c r="AG43" s="6" t="s">
        <v>40</v>
      </c>
      <c r="AH43" s="6" t="s">
        <v>40</v>
      </c>
      <c r="AI43" s="6" t="s">
        <v>40</v>
      </c>
      <c r="AJ43" s="6" t="s">
        <v>40</v>
      </c>
      <c r="AK43" s="6" t="s">
        <v>40</v>
      </c>
      <c r="AL43" s="6" t="s">
        <v>40</v>
      </c>
      <c r="AM43" s="6" t="s">
        <v>40</v>
      </c>
      <c r="AN43" s="6" t="s">
        <v>40</v>
      </c>
      <c r="AO43" s="6" t="s">
        <v>40</v>
      </c>
      <c r="AP43" s="6" t="s">
        <v>51</v>
      </c>
      <c r="AQ43" s="6" t="s">
        <v>51</v>
      </c>
      <c r="AR43" s="6" t="s">
        <v>51</v>
      </c>
      <c r="AS43" s="6" t="s">
        <v>51</v>
      </c>
      <c r="AT43" s="6" t="s">
        <v>51</v>
      </c>
      <c r="AU43" s="6" t="s">
        <v>51</v>
      </c>
      <c r="AV43" s="6" t="s">
        <v>51</v>
      </c>
      <c r="AW43" s="6" t="s">
        <v>51</v>
      </c>
      <c r="AX43" s="6" t="s">
        <v>51</v>
      </c>
      <c r="AY43" s="6" t="s">
        <v>51</v>
      </c>
      <c r="AZ43" s="17" t="s">
        <v>41</v>
      </c>
      <c r="BA43" s="17" t="s">
        <v>41</v>
      </c>
      <c r="BB43" s="17" t="s">
        <v>41</v>
      </c>
      <c r="BC43" s="15">
        <f t="shared" si="5"/>
        <v>10</v>
      </c>
      <c r="BD43" s="15">
        <f t="shared" si="6"/>
        <v>3</v>
      </c>
      <c r="BE43" s="15">
        <f t="shared" si="7"/>
        <v>13</v>
      </c>
      <c r="BF43" s="15">
        <f t="shared" si="8"/>
        <v>156</v>
      </c>
      <c r="BG43" s="16"/>
    </row>
    <row r="44" spans="1:59" ht="15.75" customHeight="1" x14ac:dyDescent="0.2">
      <c r="A44" s="29">
        <f t="shared" si="4"/>
        <v>12000043</v>
      </c>
      <c r="B44" s="29" t="s">
        <v>134</v>
      </c>
      <c r="C44" s="6" t="s">
        <v>78</v>
      </c>
      <c r="D44" s="12">
        <v>62030</v>
      </c>
      <c r="E44" s="12" t="s">
        <v>79</v>
      </c>
      <c r="F44" s="13">
        <v>44701</v>
      </c>
      <c r="G44" s="13">
        <v>45686</v>
      </c>
      <c r="H44" s="13">
        <v>34936</v>
      </c>
      <c r="I44" s="12" t="s">
        <v>60</v>
      </c>
      <c r="J44" s="12" t="s">
        <v>66</v>
      </c>
      <c r="K44" s="12" t="s">
        <v>48</v>
      </c>
      <c r="L44" s="6" t="s">
        <v>56</v>
      </c>
      <c r="M44" s="6" t="s">
        <v>4</v>
      </c>
      <c r="N44" s="29" t="s">
        <v>90</v>
      </c>
      <c r="O44" s="6" t="s">
        <v>50</v>
      </c>
      <c r="P44" s="14">
        <v>46132</v>
      </c>
      <c r="Q44" s="6"/>
      <c r="R44" s="6" t="s">
        <v>51</v>
      </c>
      <c r="S44" s="6" t="s">
        <v>51</v>
      </c>
      <c r="T44" s="6" t="s">
        <v>51</v>
      </c>
      <c r="U44" s="6" t="s">
        <v>51</v>
      </c>
      <c r="V44" s="6" t="s">
        <v>40</v>
      </c>
      <c r="W44" s="6" t="s">
        <v>40</v>
      </c>
      <c r="X44" s="6" t="s">
        <v>40</v>
      </c>
      <c r="Y44" s="6" t="s">
        <v>40</v>
      </c>
      <c r="Z44" s="6" t="s">
        <v>40</v>
      </c>
      <c r="AA44" s="6" t="s">
        <v>40</v>
      </c>
      <c r="AB44" s="6" t="s">
        <v>40</v>
      </c>
      <c r="AC44" s="6" t="s">
        <v>40</v>
      </c>
      <c r="AD44" s="6" t="s">
        <v>40</v>
      </c>
      <c r="AE44" s="6" t="s">
        <v>40</v>
      </c>
      <c r="AF44" s="6" t="s">
        <v>51</v>
      </c>
      <c r="AG44" s="6" t="s">
        <v>51</v>
      </c>
      <c r="AH44" s="6" t="s">
        <v>51</v>
      </c>
      <c r="AI44" s="6" t="s">
        <v>51</v>
      </c>
      <c r="AJ44" s="6" t="s">
        <v>51</v>
      </c>
      <c r="AK44" s="6" t="s">
        <v>51</v>
      </c>
      <c r="AL44" s="6" t="s">
        <v>51</v>
      </c>
      <c r="AM44" s="6" t="s">
        <v>51</v>
      </c>
      <c r="AN44" s="6" t="s">
        <v>51</v>
      </c>
      <c r="AO44" s="6" t="s">
        <v>51</v>
      </c>
      <c r="AP44" s="6" t="s">
        <v>62</v>
      </c>
      <c r="AQ44" s="6" t="s">
        <v>62</v>
      </c>
      <c r="AR44" s="6" t="s">
        <v>62</v>
      </c>
      <c r="AS44" s="6" t="s">
        <v>62</v>
      </c>
      <c r="AT44" s="6" t="s">
        <v>62</v>
      </c>
      <c r="AU44" s="6" t="s">
        <v>62</v>
      </c>
      <c r="AV44" s="6" t="s">
        <v>22</v>
      </c>
      <c r="AW44" s="6" t="s">
        <v>22</v>
      </c>
      <c r="AX44" s="6" t="s">
        <v>22</v>
      </c>
      <c r="AY44" s="6" t="s">
        <v>22</v>
      </c>
      <c r="AZ44" s="17" t="s">
        <v>22</v>
      </c>
      <c r="BA44" s="17" t="s">
        <v>22</v>
      </c>
      <c r="BB44" s="17" t="s">
        <v>22</v>
      </c>
      <c r="BC44" s="15">
        <f t="shared" si="5"/>
        <v>10</v>
      </c>
      <c r="BD44" s="15">
        <f t="shared" si="6"/>
        <v>0</v>
      </c>
      <c r="BE44" s="15">
        <f t="shared" si="7"/>
        <v>10</v>
      </c>
      <c r="BF44" s="15">
        <f t="shared" si="8"/>
        <v>120</v>
      </c>
      <c r="BG44" s="16"/>
    </row>
    <row r="45" spans="1:59" ht="15.75" customHeight="1" x14ac:dyDescent="0.2">
      <c r="A45" s="29">
        <f t="shared" si="4"/>
        <v>12000044</v>
      </c>
      <c r="B45" s="29" t="s">
        <v>133</v>
      </c>
      <c r="C45" s="6" t="s">
        <v>21</v>
      </c>
      <c r="D45" s="12">
        <v>84831</v>
      </c>
      <c r="E45" s="12" t="s">
        <v>54</v>
      </c>
      <c r="F45" s="13">
        <v>44449</v>
      </c>
      <c r="G45" s="13">
        <v>45685</v>
      </c>
      <c r="H45" s="13">
        <v>33849</v>
      </c>
      <c r="I45" s="12" t="s">
        <v>46</v>
      </c>
      <c r="J45" s="12" t="s">
        <v>47</v>
      </c>
      <c r="K45" s="12" t="s">
        <v>48</v>
      </c>
      <c r="L45" s="6" t="s">
        <v>49</v>
      </c>
      <c r="M45" s="6" t="s">
        <v>3</v>
      </c>
      <c r="N45" s="29" t="s">
        <v>90</v>
      </c>
      <c r="O45" s="6" t="s">
        <v>50</v>
      </c>
      <c r="P45" s="14">
        <v>45888</v>
      </c>
      <c r="Q45" s="6"/>
      <c r="R45" s="6" t="s">
        <v>72</v>
      </c>
      <c r="S45" s="6" t="s">
        <v>72</v>
      </c>
      <c r="T45" s="6" t="s">
        <v>72</v>
      </c>
      <c r="U45" s="6" t="s">
        <v>72</v>
      </c>
      <c r="V45" s="6" t="s">
        <v>51</v>
      </c>
      <c r="W45" s="6" t="s">
        <v>51</v>
      </c>
      <c r="X45" s="6" t="s">
        <v>51</v>
      </c>
      <c r="Y45" s="6" t="s">
        <v>51</v>
      </c>
      <c r="Z45" s="6" t="s">
        <v>51</v>
      </c>
      <c r="AA45" s="6" t="s">
        <v>51</v>
      </c>
      <c r="AB45" s="6" t="s">
        <v>51</v>
      </c>
      <c r="AC45" s="6" t="s">
        <v>51</v>
      </c>
      <c r="AD45" s="6" t="s">
        <v>51</v>
      </c>
      <c r="AE45" s="6" t="s">
        <v>51</v>
      </c>
      <c r="AF45" s="6" t="s">
        <v>40</v>
      </c>
      <c r="AG45" s="6" t="s">
        <v>40</v>
      </c>
      <c r="AH45" s="6" t="s">
        <v>40</v>
      </c>
      <c r="AI45" s="6" t="s">
        <v>40</v>
      </c>
      <c r="AJ45" s="6" t="s">
        <v>40</v>
      </c>
      <c r="AK45" s="6" t="s">
        <v>40</v>
      </c>
      <c r="AL45" s="6" t="s">
        <v>40</v>
      </c>
      <c r="AM45" s="6" t="s">
        <v>40</v>
      </c>
      <c r="AN45" s="6" t="s">
        <v>40</v>
      </c>
      <c r="AO45" s="6" t="s">
        <v>40</v>
      </c>
      <c r="AP45" s="6" t="s">
        <v>51</v>
      </c>
      <c r="AQ45" s="6" t="s">
        <v>51</v>
      </c>
      <c r="AR45" s="6" t="s">
        <v>51</v>
      </c>
      <c r="AS45" s="6" t="s">
        <v>51</v>
      </c>
      <c r="AT45" s="6" t="s">
        <v>51</v>
      </c>
      <c r="AU45" s="6" t="s">
        <v>51</v>
      </c>
      <c r="AV45" s="6" t="s">
        <v>51</v>
      </c>
      <c r="AW45" s="6" t="s">
        <v>51</v>
      </c>
      <c r="AX45" s="6" t="s">
        <v>51</v>
      </c>
      <c r="AY45" s="6" t="s">
        <v>51</v>
      </c>
      <c r="AZ45" s="17" t="s">
        <v>40</v>
      </c>
      <c r="BA45" s="17" t="s">
        <v>40</v>
      </c>
      <c r="BB45" s="17" t="s">
        <v>40</v>
      </c>
      <c r="BC45" s="15">
        <f t="shared" si="5"/>
        <v>13</v>
      </c>
      <c r="BD45" s="15">
        <f t="shared" si="6"/>
        <v>0</v>
      </c>
      <c r="BE45" s="15">
        <f t="shared" si="7"/>
        <v>13</v>
      </c>
      <c r="BF45" s="15">
        <f t="shared" si="8"/>
        <v>156</v>
      </c>
      <c r="BG45" s="16"/>
    </row>
    <row r="46" spans="1:59" ht="15.75" customHeight="1" x14ac:dyDescent="0.2">
      <c r="A46" s="29">
        <f t="shared" si="4"/>
        <v>12000045</v>
      </c>
      <c r="B46" s="29" t="s">
        <v>135</v>
      </c>
      <c r="C46" s="6" t="s">
        <v>19</v>
      </c>
      <c r="D46" s="12">
        <v>62027</v>
      </c>
      <c r="E46" s="12" t="s">
        <v>59</v>
      </c>
      <c r="F46" s="13">
        <v>44210</v>
      </c>
      <c r="G46" s="13">
        <v>45685</v>
      </c>
      <c r="H46" s="13">
        <v>35349</v>
      </c>
      <c r="I46" s="12" t="s">
        <v>60</v>
      </c>
      <c r="J46" s="12" t="s">
        <v>70</v>
      </c>
      <c r="K46" s="12" t="s">
        <v>48</v>
      </c>
      <c r="L46" s="6" t="s">
        <v>49</v>
      </c>
      <c r="M46" s="6" t="s">
        <v>4</v>
      </c>
      <c r="N46" s="29" t="s">
        <v>90</v>
      </c>
      <c r="O46" s="6" t="s">
        <v>50</v>
      </c>
      <c r="P46" s="14">
        <v>45646</v>
      </c>
      <c r="Q46" s="6" t="s">
        <v>83</v>
      </c>
      <c r="R46" s="6" t="s">
        <v>52</v>
      </c>
      <c r="S46" s="6" t="s">
        <v>52</v>
      </c>
      <c r="T46" s="6" t="s">
        <v>52</v>
      </c>
      <c r="U46" s="6" t="s">
        <v>52</v>
      </c>
      <c r="V46" s="6" t="s">
        <v>52</v>
      </c>
      <c r="W46" s="6" t="s">
        <v>52</v>
      </c>
      <c r="X46" s="6" t="s">
        <v>52</v>
      </c>
      <c r="Y46" s="6" t="s">
        <v>52</v>
      </c>
      <c r="Z46" s="6" t="s">
        <v>52</v>
      </c>
      <c r="AA46" s="6" t="s">
        <v>52</v>
      </c>
      <c r="AB46" s="6" t="s">
        <v>52</v>
      </c>
      <c r="AC46" s="6" t="s">
        <v>52</v>
      </c>
      <c r="AD46" s="6" t="s">
        <v>52</v>
      </c>
      <c r="AE46" s="6" t="s">
        <v>52</v>
      </c>
      <c r="AF46" s="6" t="s">
        <v>52</v>
      </c>
      <c r="AG46" s="6" t="s">
        <v>52</v>
      </c>
      <c r="AH46" s="6" t="s">
        <v>52</v>
      </c>
      <c r="AI46" s="6" t="s">
        <v>52</v>
      </c>
      <c r="AJ46" s="6" t="s">
        <v>52</v>
      </c>
      <c r="AK46" s="6" t="s">
        <v>52</v>
      </c>
      <c r="AL46" s="6" t="s">
        <v>52</v>
      </c>
      <c r="AM46" s="6" t="s">
        <v>52</v>
      </c>
      <c r="AN46" s="6" t="s">
        <v>52</v>
      </c>
      <c r="AO46" s="6" t="s">
        <v>52</v>
      </c>
      <c r="AP46" s="6" t="s">
        <v>52</v>
      </c>
      <c r="AQ46" s="6" t="s">
        <v>52</v>
      </c>
      <c r="AR46" s="6" t="s">
        <v>52</v>
      </c>
      <c r="AS46" s="6" t="s">
        <v>51</v>
      </c>
      <c r="AT46" s="6" t="s">
        <v>51</v>
      </c>
      <c r="AU46" s="6" t="s">
        <v>52</v>
      </c>
      <c r="AV46" s="6" t="s">
        <v>52</v>
      </c>
      <c r="AW46" s="6" t="s">
        <v>52</v>
      </c>
      <c r="AX46" s="6" t="s">
        <v>52</v>
      </c>
      <c r="AY46" s="6" t="s">
        <v>52</v>
      </c>
      <c r="AZ46" s="17" t="s">
        <v>52</v>
      </c>
      <c r="BA46" s="17" t="s">
        <v>52</v>
      </c>
      <c r="BB46" s="17" t="s">
        <v>52</v>
      </c>
      <c r="BC46" s="15">
        <f t="shared" si="5"/>
        <v>0</v>
      </c>
      <c r="BD46" s="15">
        <f t="shared" si="6"/>
        <v>0</v>
      </c>
      <c r="BE46" s="15">
        <f t="shared" si="7"/>
        <v>0</v>
      </c>
      <c r="BF46" s="15">
        <f t="shared" si="8"/>
        <v>0</v>
      </c>
      <c r="BG46" s="16"/>
    </row>
    <row r="47" spans="1:59" ht="15.75" customHeight="1" x14ac:dyDescent="0.2">
      <c r="A47" s="29">
        <f t="shared" si="4"/>
        <v>12000046</v>
      </c>
      <c r="B47" s="29" t="s">
        <v>136</v>
      </c>
      <c r="C47" s="6" t="s">
        <v>21</v>
      </c>
      <c r="D47" s="12">
        <v>84831</v>
      </c>
      <c r="E47" s="12" t="s">
        <v>54</v>
      </c>
      <c r="F47" s="13">
        <v>44463</v>
      </c>
      <c r="G47" s="13">
        <v>45685</v>
      </c>
      <c r="H47" s="13">
        <v>33850</v>
      </c>
      <c r="I47" s="12" t="s">
        <v>46</v>
      </c>
      <c r="J47" s="12" t="s">
        <v>61</v>
      </c>
      <c r="K47" s="12" t="s">
        <v>48</v>
      </c>
      <c r="L47" s="6" t="s">
        <v>56</v>
      </c>
      <c r="M47" s="6" t="s">
        <v>3</v>
      </c>
      <c r="N47" s="29" t="s">
        <v>90</v>
      </c>
      <c r="O47" s="6" t="s">
        <v>50</v>
      </c>
      <c r="P47" s="14">
        <v>46234</v>
      </c>
      <c r="Q47" s="6"/>
      <c r="R47" s="6" t="s">
        <v>51</v>
      </c>
      <c r="S47" s="6" t="s">
        <v>51</v>
      </c>
      <c r="T47" s="6" t="s">
        <v>51</v>
      </c>
      <c r="U47" s="6" t="s">
        <v>51</v>
      </c>
      <c r="V47" s="6" t="s">
        <v>40</v>
      </c>
      <c r="W47" s="6" t="s">
        <v>40</v>
      </c>
      <c r="X47" s="6" t="s">
        <v>40</v>
      </c>
      <c r="Y47" s="6" t="s">
        <v>40</v>
      </c>
      <c r="Z47" s="6" t="s">
        <v>40</v>
      </c>
      <c r="AA47" s="6" t="s">
        <v>40</v>
      </c>
      <c r="AB47" s="6" t="s">
        <v>40</v>
      </c>
      <c r="AC47" s="6" t="s">
        <v>40</v>
      </c>
      <c r="AD47" s="6" t="s">
        <v>40</v>
      </c>
      <c r="AE47" s="6" t="s">
        <v>40</v>
      </c>
      <c r="AF47" s="6" t="s">
        <v>51</v>
      </c>
      <c r="AG47" s="6" t="s">
        <v>51</v>
      </c>
      <c r="AH47" s="6" t="s">
        <v>51</v>
      </c>
      <c r="AI47" s="6" t="s">
        <v>51</v>
      </c>
      <c r="AJ47" s="6" t="s">
        <v>51</v>
      </c>
      <c r="AK47" s="6" t="s">
        <v>51</v>
      </c>
      <c r="AL47" s="6" t="s">
        <v>51</v>
      </c>
      <c r="AM47" s="6" t="s">
        <v>51</v>
      </c>
      <c r="AN47" s="6" t="s">
        <v>51</v>
      </c>
      <c r="AO47" s="6" t="s">
        <v>51</v>
      </c>
      <c r="AP47" s="6" t="s">
        <v>52</v>
      </c>
      <c r="AQ47" s="6" t="s">
        <v>52</v>
      </c>
      <c r="AR47" s="6" t="s">
        <v>52</v>
      </c>
      <c r="AS47" s="6" t="s">
        <v>52</v>
      </c>
      <c r="AT47" s="6" t="s">
        <v>52</v>
      </c>
      <c r="AU47" s="6" t="s">
        <v>52</v>
      </c>
      <c r="AV47" s="6" t="s">
        <v>52</v>
      </c>
      <c r="AW47" s="6" t="s">
        <v>52</v>
      </c>
      <c r="AX47" s="6" t="s">
        <v>52</v>
      </c>
      <c r="AY47" s="6" t="s">
        <v>52</v>
      </c>
      <c r="AZ47" s="17" t="s">
        <v>52</v>
      </c>
      <c r="BA47" s="17" t="s">
        <v>52</v>
      </c>
      <c r="BB47" s="17" t="s">
        <v>52</v>
      </c>
      <c r="BC47" s="15">
        <f t="shared" si="5"/>
        <v>10</v>
      </c>
      <c r="BD47" s="15">
        <f t="shared" si="6"/>
        <v>0</v>
      </c>
      <c r="BE47" s="15">
        <f t="shared" si="7"/>
        <v>10</v>
      </c>
      <c r="BF47" s="15">
        <f t="shared" si="8"/>
        <v>120</v>
      </c>
      <c r="BG47" s="16"/>
    </row>
    <row r="48" spans="1:59" ht="15.75" customHeight="1" x14ac:dyDescent="0.2">
      <c r="A48" s="29">
        <f t="shared" si="4"/>
        <v>12000047</v>
      </c>
      <c r="B48" s="29" t="s">
        <v>137</v>
      </c>
      <c r="C48" s="6" t="s">
        <v>25</v>
      </c>
      <c r="D48" s="12">
        <v>62027</v>
      </c>
      <c r="E48" s="12" t="s">
        <v>59</v>
      </c>
      <c r="F48" s="13">
        <v>44914</v>
      </c>
      <c r="G48" s="13">
        <v>45685</v>
      </c>
      <c r="H48" s="13">
        <v>37165</v>
      </c>
      <c r="I48" s="12" t="s">
        <v>60</v>
      </c>
      <c r="J48" s="12" t="s">
        <v>61</v>
      </c>
      <c r="K48" s="12" t="s">
        <v>48</v>
      </c>
      <c r="L48" s="6" t="s">
        <v>49</v>
      </c>
      <c r="M48" s="6" t="s">
        <v>4</v>
      </c>
      <c r="N48" s="29" t="s">
        <v>90</v>
      </c>
      <c r="O48" s="6" t="s">
        <v>50</v>
      </c>
      <c r="P48" s="14">
        <v>46325</v>
      </c>
      <c r="Q48" s="6"/>
      <c r="R48" s="6" t="s">
        <v>40</v>
      </c>
      <c r="S48" s="6" t="s">
        <v>40</v>
      </c>
      <c r="T48" s="6" t="s">
        <v>40</v>
      </c>
      <c r="U48" s="6" t="s">
        <v>40</v>
      </c>
      <c r="V48" s="6" t="s">
        <v>51</v>
      </c>
      <c r="W48" s="6" t="s">
        <v>51</v>
      </c>
      <c r="X48" s="6" t="s">
        <v>51</v>
      </c>
      <c r="Y48" s="6" t="s">
        <v>51</v>
      </c>
      <c r="Z48" s="6" t="s">
        <v>51</v>
      </c>
      <c r="AA48" s="6" t="s">
        <v>51</v>
      </c>
      <c r="AB48" s="6" t="s">
        <v>51</v>
      </c>
      <c r="AC48" s="6" t="s">
        <v>51</v>
      </c>
      <c r="AD48" s="6" t="s">
        <v>51</v>
      </c>
      <c r="AE48" s="6" t="s">
        <v>51</v>
      </c>
      <c r="AF48" s="6" t="s">
        <v>40</v>
      </c>
      <c r="AG48" s="6" t="s">
        <v>40</v>
      </c>
      <c r="AH48" s="6" t="s">
        <v>40</v>
      </c>
      <c r="AI48" s="6" t="s">
        <v>40</v>
      </c>
      <c r="AJ48" s="6" t="s">
        <v>40</v>
      </c>
      <c r="AK48" s="6" t="s">
        <v>40</v>
      </c>
      <c r="AL48" s="6" t="s">
        <v>40</v>
      </c>
      <c r="AM48" s="6" t="s">
        <v>40</v>
      </c>
      <c r="AN48" s="6" t="s">
        <v>40</v>
      </c>
      <c r="AO48" s="6" t="s">
        <v>40</v>
      </c>
      <c r="AP48" s="6" t="s">
        <v>51</v>
      </c>
      <c r="AQ48" s="6" t="s">
        <v>51</v>
      </c>
      <c r="AR48" s="6" t="s">
        <v>51</v>
      </c>
      <c r="AS48" s="6" t="s">
        <v>51</v>
      </c>
      <c r="AT48" s="6" t="s">
        <v>51</v>
      </c>
      <c r="AU48" s="6" t="s">
        <v>51</v>
      </c>
      <c r="AV48" s="6" t="s">
        <v>51</v>
      </c>
      <c r="AW48" s="6" t="s">
        <v>51</v>
      </c>
      <c r="AX48" s="6" t="s">
        <v>51</v>
      </c>
      <c r="AY48" s="6" t="s">
        <v>51</v>
      </c>
      <c r="AZ48" s="17" t="s">
        <v>40</v>
      </c>
      <c r="BA48" s="17" t="s">
        <v>40</v>
      </c>
      <c r="BB48" s="17" t="s">
        <v>40</v>
      </c>
      <c r="BC48" s="15">
        <f t="shared" si="5"/>
        <v>17</v>
      </c>
      <c r="BD48" s="15">
        <f t="shared" si="6"/>
        <v>0</v>
      </c>
      <c r="BE48" s="15">
        <f t="shared" si="7"/>
        <v>17</v>
      </c>
      <c r="BF48" s="15">
        <f t="shared" si="8"/>
        <v>204</v>
      </c>
      <c r="BG48" s="16"/>
    </row>
    <row r="49" spans="1:59" ht="15.75" customHeight="1" x14ac:dyDescent="0.2">
      <c r="A49" s="29">
        <f t="shared" si="4"/>
        <v>12000048</v>
      </c>
      <c r="B49" s="29" t="s">
        <v>138</v>
      </c>
      <c r="C49" s="6" t="s">
        <v>53</v>
      </c>
      <c r="D49" s="12">
        <v>84832</v>
      </c>
      <c r="E49" s="12" t="s">
        <v>45</v>
      </c>
      <c r="F49" s="13">
        <v>45293</v>
      </c>
      <c r="G49" s="13">
        <v>45685</v>
      </c>
      <c r="H49" s="13">
        <v>33666</v>
      </c>
      <c r="I49" s="12" t="s">
        <v>46</v>
      </c>
      <c r="J49" s="12" t="s">
        <v>66</v>
      </c>
      <c r="K49" s="12" t="s">
        <v>48</v>
      </c>
      <c r="L49" s="6" t="s">
        <v>56</v>
      </c>
      <c r="M49" s="6" t="s">
        <v>5</v>
      </c>
      <c r="N49" s="29" t="s">
        <v>90</v>
      </c>
      <c r="O49" s="6" t="s">
        <v>50</v>
      </c>
      <c r="P49" s="14">
        <v>46732</v>
      </c>
      <c r="Q49" s="6"/>
      <c r="R49" s="6" t="s">
        <v>51</v>
      </c>
      <c r="S49" s="6" t="s">
        <v>51</v>
      </c>
      <c r="T49" s="6" t="s">
        <v>51</v>
      </c>
      <c r="U49" s="6" t="s">
        <v>51</v>
      </c>
      <c r="V49" s="6" t="s">
        <v>40</v>
      </c>
      <c r="W49" s="21" t="s">
        <v>40</v>
      </c>
      <c r="X49" s="6" t="s">
        <v>40</v>
      </c>
      <c r="Y49" s="6" t="s">
        <v>40</v>
      </c>
      <c r="Z49" s="6" t="s">
        <v>40</v>
      </c>
      <c r="AA49" s="6" t="s">
        <v>40</v>
      </c>
      <c r="AB49" s="6" t="s">
        <v>40</v>
      </c>
      <c r="AC49" s="6" t="s">
        <v>40</v>
      </c>
      <c r="AD49" s="6" t="s">
        <v>40</v>
      </c>
      <c r="AE49" s="6" t="s">
        <v>40</v>
      </c>
      <c r="AF49" s="6" t="s">
        <v>51</v>
      </c>
      <c r="AG49" s="6" t="s">
        <v>51</v>
      </c>
      <c r="AH49" s="6" t="s">
        <v>51</v>
      </c>
      <c r="AI49" s="6" t="s">
        <v>51</v>
      </c>
      <c r="AJ49" s="6" t="s">
        <v>51</v>
      </c>
      <c r="AK49" s="6" t="s">
        <v>51</v>
      </c>
      <c r="AL49" s="6" t="s">
        <v>51</v>
      </c>
      <c r="AM49" s="6" t="s">
        <v>51</v>
      </c>
      <c r="AN49" s="6" t="s">
        <v>51</v>
      </c>
      <c r="AO49" s="6" t="s">
        <v>51</v>
      </c>
      <c r="AP49" s="6" t="s">
        <v>40</v>
      </c>
      <c r="AQ49" s="6" t="s">
        <v>40</v>
      </c>
      <c r="AR49" s="6" t="s">
        <v>40</v>
      </c>
      <c r="AS49" s="6" t="s">
        <v>40</v>
      </c>
      <c r="AT49" s="6" t="s">
        <v>40</v>
      </c>
      <c r="AU49" s="6" t="s">
        <v>40</v>
      </c>
      <c r="AV49" s="6" t="s">
        <v>40</v>
      </c>
      <c r="AW49" s="6" t="s">
        <v>40</v>
      </c>
      <c r="AX49" s="6" t="s">
        <v>40</v>
      </c>
      <c r="AY49" s="6" t="s">
        <v>40</v>
      </c>
      <c r="AZ49" s="17" t="s">
        <v>51</v>
      </c>
      <c r="BA49" s="17" t="s">
        <v>51</v>
      </c>
      <c r="BB49" s="17" t="s">
        <v>51</v>
      </c>
      <c r="BC49" s="15">
        <f t="shared" si="5"/>
        <v>20</v>
      </c>
      <c r="BD49" s="15">
        <f t="shared" si="6"/>
        <v>0</v>
      </c>
      <c r="BE49" s="15">
        <f t="shared" si="7"/>
        <v>20</v>
      </c>
      <c r="BF49" s="15">
        <f t="shared" si="8"/>
        <v>240</v>
      </c>
      <c r="BG49" s="16"/>
    </row>
    <row r="50" spans="1:59" ht="15.75" customHeight="1" x14ac:dyDescent="0.2">
      <c r="A50" s="29">
        <f t="shared" si="4"/>
        <v>12000049</v>
      </c>
      <c r="B50" s="30" t="s">
        <v>139</v>
      </c>
      <c r="C50" s="7" t="s">
        <v>25</v>
      </c>
      <c r="D50" s="7">
        <v>62027</v>
      </c>
      <c r="E50" s="7" t="s">
        <v>59</v>
      </c>
      <c r="F50" s="19">
        <v>44903</v>
      </c>
      <c r="G50" s="19">
        <v>45685</v>
      </c>
      <c r="H50" s="19">
        <v>30904</v>
      </c>
      <c r="I50" s="7" t="s">
        <v>46</v>
      </c>
      <c r="J50" s="7" t="s">
        <v>88</v>
      </c>
      <c r="K50" s="7" t="s">
        <v>55</v>
      </c>
      <c r="L50" s="7" t="s">
        <v>56</v>
      </c>
      <c r="M50" s="7" t="s">
        <v>4</v>
      </c>
      <c r="N50" s="29" t="s">
        <v>90</v>
      </c>
      <c r="O50" s="7" t="s">
        <v>50</v>
      </c>
      <c r="P50" s="7" t="s">
        <v>65</v>
      </c>
      <c r="Q50" s="7"/>
      <c r="R50" s="7" t="s">
        <v>65</v>
      </c>
      <c r="S50" s="7" t="s">
        <v>65</v>
      </c>
      <c r="T50" s="7" t="s">
        <v>65</v>
      </c>
      <c r="U50" s="7" t="s">
        <v>65</v>
      </c>
      <c r="V50" s="7" t="s">
        <v>65</v>
      </c>
      <c r="W50" s="7" t="s">
        <v>65</v>
      </c>
      <c r="X50" s="7" t="s">
        <v>65</v>
      </c>
      <c r="Y50" s="7" t="s">
        <v>65</v>
      </c>
      <c r="Z50" s="7" t="s">
        <v>65</v>
      </c>
      <c r="AA50" s="7" t="s">
        <v>65</v>
      </c>
      <c r="AB50" s="7" t="s">
        <v>65</v>
      </c>
      <c r="AC50" s="7" t="s">
        <v>65</v>
      </c>
      <c r="AD50" s="7" t="s">
        <v>65</v>
      </c>
      <c r="AE50" s="7" t="s">
        <v>65</v>
      </c>
      <c r="AF50" s="7" t="s">
        <v>65</v>
      </c>
      <c r="AG50" s="7" t="s">
        <v>65</v>
      </c>
      <c r="AH50" s="7" t="s">
        <v>65</v>
      </c>
      <c r="AI50" s="7" t="s">
        <v>65</v>
      </c>
      <c r="AJ50" s="7" t="s">
        <v>65</v>
      </c>
      <c r="AK50" s="7" t="s">
        <v>65</v>
      </c>
      <c r="AL50" s="7" t="s">
        <v>65</v>
      </c>
      <c r="AM50" s="7" t="s">
        <v>65</v>
      </c>
      <c r="AN50" s="7" t="s">
        <v>65</v>
      </c>
      <c r="AO50" s="7" t="s">
        <v>65</v>
      </c>
      <c r="AP50" s="7" t="s">
        <v>65</v>
      </c>
      <c r="AQ50" s="7" t="s">
        <v>65</v>
      </c>
      <c r="AR50" s="7" t="s">
        <v>65</v>
      </c>
      <c r="AS50" s="7" t="s">
        <v>65</v>
      </c>
      <c r="AT50" s="7" t="s">
        <v>65</v>
      </c>
      <c r="AU50" s="7" t="s">
        <v>65</v>
      </c>
      <c r="AV50" s="7" t="s">
        <v>65</v>
      </c>
      <c r="AW50" s="7" t="s">
        <v>65</v>
      </c>
      <c r="AX50" s="7" t="s">
        <v>65</v>
      </c>
      <c r="AY50" s="7" t="s">
        <v>65</v>
      </c>
      <c r="AZ50" s="7" t="s">
        <v>65</v>
      </c>
      <c r="BA50" s="7" t="s">
        <v>65</v>
      </c>
      <c r="BB50" s="7" t="s">
        <v>65</v>
      </c>
      <c r="BC50" s="15">
        <f t="shared" si="5"/>
        <v>0</v>
      </c>
      <c r="BD50" s="15">
        <f t="shared" si="6"/>
        <v>0</v>
      </c>
      <c r="BE50" s="15">
        <f t="shared" si="7"/>
        <v>0</v>
      </c>
      <c r="BF50" s="15">
        <f t="shared" si="8"/>
        <v>0</v>
      </c>
      <c r="BG50" s="20"/>
    </row>
  </sheetData>
  <sortState xmlns:xlrd2="http://schemas.microsoft.com/office/spreadsheetml/2017/richdata2" ref="A2:BG50">
    <sortCondition ref="N1:N50"/>
  </sortState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PLANILLA</vt:lpstr>
      <vt:lpstr>COMPANYX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Muñoz</dc:creator>
  <cp:lastModifiedBy>Carlos José Jouanne Guzmán</cp:lastModifiedBy>
  <dcterms:created xsi:type="dcterms:W3CDTF">2025-03-30T01:15:29Z</dcterms:created>
  <dcterms:modified xsi:type="dcterms:W3CDTF">2025-07-07T22:11:01Z</dcterms:modified>
</cp:coreProperties>
</file>