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3.xml" ContentType="application/vnd.openxmlformats-officedocument.spreadsheetml.pivotTable+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omments1.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workbookPr defaultThemeVersion="124226"/>
  <mc:AlternateContent xmlns:mc="http://schemas.openxmlformats.org/markup-compatibility/2006">
    <mc:Choice Requires="x15">
      <x15ac:absPath xmlns:x15ac="http://schemas.microsoft.com/office/spreadsheetml/2010/11/ac" url="/Users/carlosjouanne/Downloads/"/>
    </mc:Choice>
  </mc:AlternateContent>
  <xr:revisionPtr revIDLastSave="0" documentId="13_ncr:1_{1C7FEDD9-379F-E441-8F6A-9472C8D85B52}" xr6:coauthVersionLast="47" xr6:coauthVersionMax="47" xr10:uidLastSave="{00000000-0000-0000-0000-000000000000}"/>
  <bookViews>
    <workbookView xWindow="0" yWindow="760" windowWidth="28800" windowHeight="15840" tabRatio="797" activeTab="3" xr2:uid="{00000000-000D-0000-FFFF-FFFF00000000}"/>
  </bookViews>
  <sheets>
    <sheet name="Dinamico Inc." sheetId="23" state="hidden" r:id="rId1"/>
    <sheet name="Hoja1" sheetId="38" state="hidden" r:id="rId2"/>
    <sheet name="Hoja5" sheetId="42" r:id="rId3"/>
    <sheet name="Resumen 1" sheetId="1" r:id="rId4"/>
    <sheet name="Hoja3" sheetId="25" state="hidden" r:id="rId5"/>
    <sheet name="Hoja4" sheetId="4" state="hidden" r:id="rId6"/>
    <sheet name="Dinamico Hallazgo" sheetId="24" state="hidden" r:id="rId7"/>
    <sheet name="HALLAZGOS" sheetId="18" state="hidden" r:id="rId8"/>
    <sheet name="RESUMEN ESTADISTICO" sheetId="3" state="hidden" r:id="rId9"/>
  </sheets>
  <definedNames>
    <definedName name="_xlnm._FilterDatabase" localSheetId="7" hidden="1">HALLAZGOS!$A$2:$AD$41</definedName>
    <definedName name="_xlnm._FilterDatabase" localSheetId="3" hidden="1">'Resumen 1'!$A$11:$BB$668</definedName>
    <definedName name="_xlcn.WorksheetConnection_HALLAZGOSA2O1071" hidden="1">HALLAZGOS!$C$28:$Q$132</definedName>
    <definedName name="_xleta.IF" hidden="1" xlm="1">#NAME?</definedName>
    <definedName name="_xleta.NOT" hidden="1" xlm="1">#NAME?</definedName>
  </definedNames>
  <calcPr calcId="191028"/>
  <pivotCaches>
    <pivotCache cacheId="22" r:id="rId10"/>
    <pivotCache cacheId="23" r:id="rId11"/>
    <pivotCache cacheId="24" r:id="rId12"/>
    <pivotCache cacheId="26" r:id="rId13"/>
    <pivotCache cacheId="29" r:id="rId14"/>
  </pivotCaches>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ango-c705d82b-40eb-454d-9d57-a5f94a6afbbe" name="Rango" connection="WorksheetConnection_HALLAZGOS!$A$2:$O$107"/>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4" i="1" l="1"/>
  <c r="J3" i="1"/>
  <c r="J7" i="1"/>
  <c r="H2" i="1"/>
  <c r="F2" i="1"/>
  <c r="F6" i="1"/>
  <c r="F5" i="1"/>
  <c r="F4" i="1"/>
  <c r="F3" i="1"/>
  <c r="J2" i="1" l="1"/>
  <c r="G7" i="1"/>
  <c r="AC1" i="1"/>
  <c r="C12" i="3"/>
  <c r="D12" i="3"/>
  <c r="E12" i="3"/>
  <c r="F12" i="3"/>
  <c r="G12" i="3"/>
  <c r="C13" i="3"/>
  <c r="D13" i="3"/>
  <c r="E13" i="3"/>
  <c r="F13" i="3"/>
  <c r="G13" i="3"/>
  <c r="C14" i="3"/>
  <c r="D14" i="3"/>
  <c r="E14" i="3"/>
  <c r="F14" i="3"/>
  <c r="G14" i="3"/>
  <c r="C15" i="3"/>
  <c r="D15" i="3"/>
  <c r="E15" i="3"/>
  <c r="F15" i="3"/>
  <c r="G15" i="3"/>
  <c r="C16" i="3"/>
  <c r="D16" i="3"/>
  <c r="E16" i="3"/>
  <c r="F16" i="3"/>
  <c r="G16" i="3"/>
  <c r="C17" i="3"/>
  <c r="D17" i="3"/>
  <c r="E17" i="3"/>
  <c r="F17" i="3"/>
  <c r="G17" i="3"/>
  <c r="C18" i="3"/>
  <c r="D18" i="3"/>
  <c r="E18" i="3"/>
  <c r="F18" i="3"/>
  <c r="G18" i="3"/>
  <c r="C19" i="3"/>
  <c r="D19" i="3"/>
  <c r="E19" i="3"/>
  <c r="F19" i="3"/>
  <c r="G19" i="3"/>
  <c r="C20" i="3"/>
  <c r="D20" i="3"/>
  <c r="E20" i="3"/>
  <c r="F20" i="3"/>
  <c r="G20" i="3"/>
  <c r="C21" i="3"/>
  <c r="D21" i="3"/>
  <c r="E21" i="3"/>
  <c r="F21" i="3"/>
  <c r="G21" i="3"/>
  <c r="C22" i="3"/>
  <c r="D22" i="3"/>
  <c r="E22" i="3"/>
  <c r="F22" i="3"/>
  <c r="G22" i="3"/>
  <c r="G11" i="3"/>
  <c r="F11" i="3"/>
  <c r="E11" i="3"/>
  <c r="D11" i="3"/>
  <c r="C11" i="3"/>
  <c r="C5" i="3"/>
  <c r="H16" i="3" l="1"/>
  <c r="H19" i="3"/>
  <c r="F23" i="3"/>
  <c r="G23" i="3"/>
  <c r="H13" i="3"/>
  <c r="H21" i="3"/>
  <c r="H11" i="3"/>
  <c r="H22" i="3"/>
  <c r="H20" i="3"/>
  <c r="H18" i="3"/>
  <c r="H17" i="3"/>
  <c r="H15" i="3"/>
  <c r="H14" i="3"/>
  <c r="E23" i="3"/>
  <c r="C23" i="3"/>
  <c r="D23" i="3"/>
  <c r="H12" i="3"/>
  <c r="H23"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Marcela Valenzuela (ARI UPOR)</author>
    <author>Katherine Castillo (ARI UPOR)</author>
  </authors>
  <commentList>
    <comment ref="AL10" authorId="0" shapeId="0" xr:uid="{0328A1C4-61C6-421D-A3A8-686D96DB70B2}">
      <text>
        <r>
          <rPr>
            <sz val="11"/>
            <color theme="1"/>
            <rFont val="Calibri"/>
            <family val="2"/>
            <scheme val="minor"/>
          </rPr>
          <t>Marcela Valenzuela (ARI UPOR):
Específicamente en Hora, día y turno al momento del evento</t>
        </r>
      </text>
    </comment>
    <comment ref="AE17" authorId="0" shapeId="0" xr:uid="{66491BBA-0749-487B-8233-FA9DDA8730BE}">
      <text>
        <r>
          <rPr>
            <b/>
            <sz val="9"/>
            <color indexed="81"/>
            <rFont val="Tahoma"/>
            <family val="2"/>
          </rPr>
          <t>Marcela Valenzuela (ARI UPOR):</t>
        </r>
        <r>
          <rPr>
            <sz val="9"/>
            <color indexed="81"/>
            <rFont val="Tahoma"/>
            <family val="2"/>
          </rPr>
          <t xml:space="preserve">
informació no se encuentra en el Flash</t>
        </r>
      </text>
    </comment>
    <comment ref="AE18" authorId="0" shapeId="0" xr:uid="{A2CA2AFE-4928-4A8A-B884-B8E505CCB069}">
      <text>
        <r>
          <rPr>
            <b/>
            <sz val="9"/>
            <color indexed="81"/>
            <rFont val="Tahoma"/>
            <family val="2"/>
          </rPr>
          <t>Marcela Valenzuela (ARI UPOR):</t>
        </r>
        <r>
          <rPr>
            <sz val="9"/>
            <color indexed="81"/>
            <rFont val="Tahoma"/>
            <family val="2"/>
          </rPr>
          <t xml:space="preserve">
Información no se encuentra en el Flash</t>
        </r>
      </text>
    </comment>
    <comment ref="I19" authorId="0" shapeId="0" xr:uid="{BFC0C5E6-5D16-44F1-AFF6-91BDE7333E6B}">
      <text>
        <r>
          <rPr>
            <b/>
            <sz val="9"/>
            <color indexed="81"/>
            <rFont val="Tahoma"/>
            <family val="2"/>
          </rPr>
          <t>Marcela Valenzuela (ARI UPOR):</t>
        </r>
        <r>
          <rPr>
            <sz val="9"/>
            <color indexed="81"/>
            <rFont val="Tahoma"/>
            <family val="2"/>
          </rPr>
          <t xml:space="preserve">
Falta Flash</t>
        </r>
      </text>
    </comment>
    <comment ref="AE21" authorId="0" shapeId="0" xr:uid="{EAFB79AA-3CB9-4E71-93CE-B57AE742BB14}">
      <text>
        <r>
          <rPr>
            <b/>
            <sz val="9"/>
            <color indexed="81"/>
            <rFont val="Tahoma"/>
            <family val="2"/>
          </rPr>
          <t>Marcela Valenzuela (ARI UPOR):</t>
        </r>
        <r>
          <rPr>
            <sz val="9"/>
            <color indexed="81"/>
            <rFont val="Tahoma"/>
            <family val="2"/>
          </rPr>
          <t xml:space="preserve">
Información no se encuentra en el Flash</t>
        </r>
      </text>
    </comment>
    <comment ref="AE52" authorId="0" shapeId="0" xr:uid="{B382427E-8E04-406E-92A2-4655E7B0342D}">
      <text>
        <r>
          <rPr>
            <b/>
            <sz val="9"/>
            <color indexed="81"/>
            <rFont val="Tahoma"/>
            <family val="2"/>
          </rPr>
          <t>Marcela Valenzuela (ARI UPOR):</t>
        </r>
        <r>
          <rPr>
            <sz val="9"/>
            <color indexed="81"/>
            <rFont val="Tahoma"/>
            <family val="2"/>
          </rPr>
          <t xml:space="preserve">
informació no se encuentra en el Flash</t>
        </r>
      </text>
    </comment>
    <comment ref="B178" authorId="1" shapeId="0" xr:uid="{1CECE43A-179E-4DE4-BED9-103E26EC9380}">
      <text>
        <r>
          <rPr>
            <sz val="11"/>
            <color theme="1"/>
            <rFont val="Calibri"/>
            <family val="2"/>
            <scheme val="minor"/>
          </rPr>
          <t>Katherine Castillo (ARI UPOR):
No esta en planilla ADN</t>
        </r>
      </text>
    </comment>
    <comment ref="B196" authorId="1" shapeId="0" xr:uid="{6B17C1DC-74EF-4E66-A75B-E60909F6099E}">
      <text>
        <r>
          <rPr>
            <sz val="11"/>
            <color theme="1"/>
            <rFont val="Calibri"/>
            <family val="2"/>
            <scheme val="minor"/>
          </rPr>
          <t>Katherine Castillo (ARI UPOR):
No esta en planilla ADN</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Modelo de datos"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HALLAZGOS!$A$2:$O$107" type="102" refreshedVersion="8" minRefreshableVersion="5">
    <extLst>
      <ext xmlns:x15="http://schemas.microsoft.com/office/spreadsheetml/2010/11/main" uri="{DE250136-89BD-433C-8126-D09CA5730AF9}">
        <x15:connection id="Rango-c705d82b-40eb-454d-9d57-a5f94a6afbbe" autoDelete="1">
          <x15:rangePr sourceName="_xlcn.WorksheetConnection_HALLAZGOSA2O1071"/>
        </x15:connection>
      </ext>
    </extLst>
  </connection>
</connections>
</file>

<file path=xl/sharedStrings.xml><?xml version="1.0" encoding="utf-8"?>
<sst xmlns="http://schemas.openxmlformats.org/spreadsheetml/2006/main" count="3325" uniqueCount="975">
  <si>
    <t>FECHA</t>
  </si>
  <si>
    <t>(Varios elementos)</t>
  </si>
  <si>
    <t>Etiquetas de fila</t>
  </si>
  <si>
    <t>Cuenta de TIPO ACC</t>
  </si>
  <si>
    <t>Total general</t>
  </si>
  <si>
    <t>Actividad</t>
  </si>
  <si>
    <t>Cuenta de NOMBRE</t>
  </si>
  <si>
    <t>Etiquetas de columna</t>
  </si>
  <si>
    <t>CTP</t>
  </si>
  <si>
    <t>CUASI INCIDENTE</t>
  </si>
  <si>
    <t>MEDIO AMBIENTE</t>
  </si>
  <si>
    <t>STP</t>
  </si>
  <si>
    <t>ene</t>
  </si>
  <si>
    <t>feb</t>
  </si>
  <si>
    <t>mar</t>
  </si>
  <si>
    <t>abr</t>
  </si>
  <si>
    <t>may</t>
  </si>
  <si>
    <t>jun</t>
  </si>
  <si>
    <t>jul</t>
  </si>
  <si>
    <t>ago</t>
  </si>
  <si>
    <t>oct</t>
  </si>
  <si>
    <t>nov</t>
  </si>
  <si>
    <t>1°</t>
  </si>
  <si>
    <t>2°</t>
  </si>
  <si>
    <t>3°</t>
  </si>
  <si>
    <t>Conducta Insegura</t>
  </si>
  <si>
    <t>Cuasi Accidente</t>
  </si>
  <si>
    <t>Entre 1 y 3 años</t>
  </si>
  <si>
    <t>Mayor a 3 años</t>
  </si>
  <si>
    <t>Práctica validación MC</t>
  </si>
  <si>
    <t>Masculino</t>
  </si>
  <si>
    <t>N° Cuasi Accidente</t>
  </si>
  <si>
    <t>N° Conductas Inseguras</t>
  </si>
  <si>
    <t>N° Incidentes esperables en Zyght</t>
  </si>
  <si>
    <t>N° STP</t>
  </si>
  <si>
    <t>N° Incidentes en Zyght</t>
  </si>
  <si>
    <t>Resumen estadístico Incidentes Arica</t>
  </si>
  <si>
    <t>N° CTP</t>
  </si>
  <si>
    <t>N° Incidentes cerrados en Zyght</t>
  </si>
  <si>
    <t xml:space="preserve">ARI-R-119 </t>
  </si>
  <si>
    <t>N° Accidentes de Trayecto</t>
  </si>
  <si>
    <t>Fecha de Actualización:</t>
  </si>
  <si>
    <t>N° Incidentes Ambientales</t>
  </si>
  <si>
    <t>TOTAL</t>
  </si>
  <si>
    <t>RESUMEN ACCIDENTES ULTRAPORT</t>
  </si>
  <si>
    <t>SEGUIMIENTO</t>
  </si>
  <si>
    <t>SUPERVISOR DE TURNO</t>
  </si>
  <si>
    <t xml:space="preserve">CAPATAZ/SUPERVISOR </t>
  </si>
  <si>
    <t>N°</t>
  </si>
  <si>
    <t>NOMBRE</t>
  </si>
  <si>
    <t>RUT</t>
  </si>
  <si>
    <t>Puesto de trabajo</t>
  </si>
  <si>
    <t>Antigüedad en la función Siniestrada</t>
  </si>
  <si>
    <t>Género</t>
  </si>
  <si>
    <t>Edad</t>
  </si>
  <si>
    <t>Código</t>
  </si>
  <si>
    <t>Descripción breve del evento</t>
  </si>
  <si>
    <t>HORA EN QUE OCURRIO</t>
  </si>
  <si>
    <t>¿Por qué Ocurrió?</t>
  </si>
  <si>
    <t>TIPO ACC</t>
  </si>
  <si>
    <t>Gravedad</t>
  </si>
  <si>
    <t>Potencialidad</t>
  </si>
  <si>
    <t>Riesgo Critico Asociado</t>
  </si>
  <si>
    <t>PARTE AFECTADA</t>
  </si>
  <si>
    <t>EMPRESA</t>
  </si>
  <si>
    <t>TIPO DE CONTRATO</t>
  </si>
  <si>
    <t>Resultado de A&amp;D</t>
  </si>
  <si>
    <t>Motivo (Solo si no hubo exámenes)</t>
  </si>
  <si>
    <t>ÁREA DONDE OCURRE EL ACC.</t>
  </si>
  <si>
    <t>Proceso</t>
  </si>
  <si>
    <t>Tarea</t>
  </si>
  <si>
    <t>DIA</t>
  </si>
  <si>
    <t>TURNO</t>
  </si>
  <si>
    <t>D.P.</t>
  </si>
  <si>
    <t>Tiempo de detención (horas)</t>
  </si>
  <si>
    <t>Litros o kg derramados</t>
  </si>
  <si>
    <t>Para incidentes de Equipos</t>
  </si>
  <si>
    <t>INCIDENTE DECLARADO (ADN)</t>
  </si>
  <si>
    <t>Protocolo Reactivo
SI / NO</t>
  </si>
  <si>
    <t>ZYGHT</t>
  </si>
  <si>
    <t>ID Zyght</t>
  </si>
  <si>
    <t>Investigación (Zyght)</t>
  </si>
  <si>
    <t>Prescripción de medidas</t>
  </si>
  <si>
    <t>Código SAP 
(SOLO MA)</t>
  </si>
  <si>
    <t>Kevin Fica Gaete</t>
  </si>
  <si>
    <t>17.264.198-9</t>
  </si>
  <si>
    <t>Operador GH</t>
  </si>
  <si>
    <t>El día 03/01 a las 19:10 en sector norte, operador de GH de 34 años, luego de cargar pallet sobre camión a dos de alto, el conductor de este solicita movilizar carga, operador al mover nuevamente pallet, este  se desarma sobre el camión provocando ruptura de una caja.</t>
  </si>
  <si>
    <t>Maniobra inadecuada</t>
  </si>
  <si>
    <t>No Aplica</t>
  </si>
  <si>
    <t>Bajo</t>
  </si>
  <si>
    <t>Sin Lesión</t>
  </si>
  <si>
    <t>Ultraport</t>
  </si>
  <si>
    <t>Bono turno</t>
  </si>
  <si>
    <t>Negativo</t>
  </si>
  <si>
    <t>Condición pallet</t>
  </si>
  <si>
    <t>Sector Norte</t>
  </si>
  <si>
    <t>Desconsolidado</t>
  </si>
  <si>
    <t>Estiba de carga</t>
  </si>
  <si>
    <t>Traslado con grúa horquill</t>
  </si>
  <si>
    <t>Viernes</t>
  </si>
  <si>
    <t>N/A</t>
  </si>
  <si>
    <t>Factor Externo</t>
  </si>
  <si>
    <t>SI</t>
  </si>
  <si>
    <t>NO</t>
  </si>
  <si>
    <t>Oscar Muñoz</t>
  </si>
  <si>
    <t>Renta Fija</t>
  </si>
  <si>
    <t>Rose Martinez</t>
  </si>
  <si>
    <t>TPA</t>
  </si>
  <si>
    <t>Jorge Zarate Cornejo</t>
  </si>
  <si>
    <t>17.831.199-9</t>
  </si>
  <si>
    <t>Operador CF</t>
  </si>
  <si>
    <t>El día 03/01 en Almacén 4, operador CF de 33 años se encontraba remontando soya cuando evidenció el desprendimiento del balde del porta aditamento del cargador frontal 81, quedando este inmerso en la soya sin posibilidad de acople nuevamente.</t>
  </si>
  <si>
    <t>Conexión de balde inadecuada</t>
  </si>
  <si>
    <t>Condición de CF</t>
  </si>
  <si>
    <t>Almacén 4</t>
  </si>
  <si>
    <t>Recepción graneles</t>
  </si>
  <si>
    <t>Conducción Cargador Frontal</t>
  </si>
  <si>
    <t>Remonte de soya</t>
  </si>
  <si>
    <t>En investigación</t>
  </si>
  <si>
    <t>Branco Fumey</t>
  </si>
  <si>
    <t>Sin Datos</t>
  </si>
  <si>
    <t>Sin Dato</t>
  </si>
  <si>
    <t>Cristian Latorre Cruz</t>
  </si>
  <si>
    <t>13.007.680-7</t>
  </si>
  <si>
    <t>El día 06/01 saliendo del turno, colaborador se dirige en moto a su domicilio, cuando vehículo que iba delante dobla, provocando que este deba frenar de golpe esquibando el vehiculo y cayendo la moto atrapando su pie en el tubo de escape.</t>
  </si>
  <si>
    <t>Accidente de Trayecto</t>
  </si>
  <si>
    <t xml:space="preserve">Tobillo derecho </t>
  </si>
  <si>
    <t>CPPT</t>
  </si>
  <si>
    <t>Truck Center, carretera internacional 11CH</t>
  </si>
  <si>
    <t>Lunes</t>
  </si>
  <si>
    <t>No aplica</t>
  </si>
  <si>
    <t>Alejandro Díaz Gordon</t>
  </si>
  <si>
    <t>13.412.590-K</t>
  </si>
  <si>
    <t>El día 07/01 en Sector Norte, operador GH de 46 años, debe retirar pallets de cajas con embace de líquido hidráulico de contenedor, este no calcula la altura de la rampla, chocando con pallets, por lo que este cae y se daña la carga.</t>
  </si>
  <si>
    <t>Mala operación</t>
  </si>
  <si>
    <t>Desconsolidado de pallets</t>
  </si>
  <si>
    <t>Traslado pallets</t>
  </si>
  <si>
    <t>Martes</t>
  </si>
  <si>
    <t>Responsabilidad Operador</t>
  </si>
  <si>
    <t>Jorge Donoso</t>
  </si>
  <si>
    <t>Tomás Tapia</t>
  </si>
  <si>
    <t>MANUEL ZUÑIGA</t>
  </si>
  <si>
    <t>Salvador Rojas Allende</t>
  </si>
  <si>
    <t>9.944.826-1</t>
  </si>
  <si>
    <t xml:space="preserve">El día 08/01 en almacén 6, operador CF de 58 años, al retroceder para parqueo, no advierte barrera blanda generando daño a esta con el equipo. </t>
  </si>
  <si>
    <t>Almacén 6</t>
  </si>
  <si>
    <t>Embarque de soya</t>
  </si>
  <si>
    <t>Porteo de soya</t>
  </si>
  <si>
    <t>Traslado Soya</t>
  </si>
  <si>
    <t>Miércoles</t>
  </si>
  <si>
    <t>Abraham Triviño</t>
  </si>
  <si>
    <t>Richard Chilcumpa Aguilera</t>
  </si>
  <si>
    <t>13.224.689-0</t>
  </si>
  <si>
    <t>El día 13/01 en almacén 4, operador CF de 47 años, en tarea de remonte de soya para posicionamiento de camión, pasa a llevar riel, quedando este ligeramente levantado.</t>
  </si>
  <si>
    <t>Condición del lugar</t>
  </si>
  <si>
    <t>Recepción de graneles limpios</t>
  </si>
  <si>
    <t>Remonte de Soya</t>
  </si>
  <si>
    <t>Remonte Soya</t>
  </si>
  <si>
    <t>Said Vergara</t>
  </si>
  <si>
    <t>Yoshio Nishinaga</t>
  </si>
  <si>
    <t>ALFREDO LOPEZ</t>
  </si>
  <si>
    <t>Femenino</t>
  </si>
  <si>
    <t>Ignacio Berrios Morales</t>
  </si>
  <si>
    <t>19.868.825-8</t>
  </si>
  <si>
    <t>Operador MC</t>
  </si>
  <si>
    <t>El día 15/01 en almacén 6, operador en práctica para validación de minicargador al realizar descarga de camión con lanza, se acerca por costado no estimando correctamente la distancia golpeando puerta con tren de rodamiento.</t>
  </si>
  <si>
    <t>Práctica de validación de equipo</t>
  </si>
  <si>
    <t>Eventual</t>
  </si>
  <si>
    <t>Descarga de camiones con soya</t>
  </si>
  <si>
    <t>Descrag camiones con aditamento</t>
  </si>
  <si>
    <t>Nicolás Villena</t>
  </si>
  <si>
    <t>SAID VERGARA</t>
  </si>
  <si>
    <t>Victor Ossandon Calvo</t>
  </si>
  <si>
    <t>17.370.557-3</t>
  </si>
  <si>
    <t>Movilizador</t>
  </si>
  <si>
    <t>El día 17/01 en almacén 2, movilizador de 34 años manifiesta dolencia en su brazo derecho luego de realizar consolidado de sacos de azucar.</t>
  </si>
  <si>
    <t>AM</t>
  </si>
  <si>
    <t>Almacén 2</t>
  </si>
  <si>
    <t>Consolidado de sacos</t>
  </si>
  <si>
    <t>Consolidado de azúcar</t>
  </si>
  <si>
    <t>Consolidado</t>
  </si>
  <si>
    <t>No hay información</t>
  </si>
  <si>
    <t>Otro</t>
  </si>
  <si>
    <t>Héctor Herrera Jelvez</t>
  </si>
  <si>
    <t>16.671.471-0</t>
  </si>
  <si>
    <t>El día 18/01 en almacén 4, operador CF de 38 años en el momento de realizar descarga de soya a granel sobre plataforma de camión apoya neumático delantero sobre compuerta deformándola. Luego al continuar con la operación, remonta por costados de camión dañando compuerta lateral.</t>
  </si>
  <si>
    <t>Recepción soya a granel</t>
  </si>
  <si>
    <t>Trasnalado entre sitios</t>
  </si>
  <si>
    <t>Sábado</t>
  </si>
  <si>
    <t>VLADIMIR VEGA</t>
  </si>
  <si>
    <t>Héctor Chong Álvarez</t>
  </si>
  <si>
    <t>15.000.057-2</t>
  </si>
  <si>
    <t>El día 18/01 en el sector norte, operador GH de 46 años recibe instrucción de capataz TPA para  remover pallets con tambores de 2 de alto sobre plataforma de camión, cayendo estos al suelo dañandose.</t>
  </si>
  <si>
    <t>Mala manipulación</t>
  </si>
  <si>
    <t>Estiba de contenedores</t>
  </si>
  <si>
    <t>Estiba de pallets con tambores sobre camión</t>
  </si>
  <si>
    <t>Omayra Cautín</t>
  </si>
  <si>
    <t>Ultrapo9rt</t>
  </si>
  <si>
    <t>Maximiliano Orellana</t>
  </si>
  <si>
    <t>CHRISTOPHER TAPIA</t>
  </si>
  <si>
    <t>Mauricio Barrera Espinoza</t>
  </si>
  <si>
    <t>11.610.619-1</t>
  </si>
  <si>
    <t>Operador RS</t>
  </si>
  <si>
    <t xml:space="preserve">El día 19/01 en Sitio 4, operador RS de 55 años al transitar por el molo se detiene a la altura de las estaciones de piñas y por la detención del equipo, salta tapa de combustible derramando aproximadamente 2 litros de petróleo sobre el equipo y el piso. </t>
  </si>
  <si>
    <t>Tapa del estanque abierta</t>
  </si>
  <si>
    <t>Incidente Ambiental</t>
  </si>
  <si>
    <t>Leve</t>
  </si>
  <si>
    <t>No es atribuible a una acción del operador</t>
  </si>
  <si>
    <t>Sitio 4</t>
  </si>
  <si>
    <t>Transferencia de contenedores</t>
  </si>
  <si>
    <t>traslado entre sitios</t>
  </si>
  <si>
    <t>Traslado entre sitio</t>
  </si>
  <si>
    <t>Fatiga de Material</t>
  </si>
  <si>
    <t>Sin capataz en faenas de Patio de Contenedores</t>
  </si>
  <si>
    <t>MANUEL GARCIA</t>
  </si>
  <si>
    <t>Ramón Palma Ochoa</t>
  </si>
  <si>
    <t>15.947.773-8</t>
  </si>
  <si>
    <t>El día 21/01 en almacén 6, operador CF de 40 años realizando remonte de soya hacia ruma, golpea riel provocando daño a cuchillo de lado derecho del balde.</t>
  </si>
  <si>
    <t>Alfredo López</t>
  </si>
  <si>
    <t>Danko Arias</t>
  </si>
  <si>
    <t>OSCAR MUÑOZ</t>
  </si>
  <si>
    <t>Cesar Gallardo Vivanco</t>
  </si>
  <si>
    <t>15.247.135-1</t>
  </si>
  <si>
    <t>El día 23/01 en sitio 2B, colaborador en función de movilizado de 56 años refiere molestia en ojo derecho por partícula.</t>
  </si>
  <si>
    <t>Ojo derecho</t>
  </si>
  <si>
    <t>Sitio 2b</t>
  </si>
  <si>
    <t>Transferencia de Graneles Limpios</t>
  </si>
  <si>
    <t>Transferencia de graneles</t>
  </si>
  <si>
    <t>Embarque de Soya</t>
  </si>
  <si>
    <t>Jueves</t>
  </si>
  <si>
    <t>OSVALDO DÍAZ</t>
  </si>
  <si>
    <t>Alejandro Cortes Rojas</t>
  </si>
  <si>
    <t>14.105.328-0</t>
  </si>
  <si>
    <t>El día 23/01 fuera del almacén 6, operador CF de 43 años al remontar carga por el costado de camión, golpea puerta lateral provocando daño a esta.</t>
  </si>
  <si>
    <t>Mala maniobra</t>
  </si>
  <si>
    <t>Fuera Almacén 6</t>
  </si>
  <si>
    <t>Recepción de camiones</t>
  </si>
  <si>
    <t>Miguel Mendoza</t>
  </si>
  <si>
    <t>Luis Muñoz Allendes</t>
  </si>
  <si>
    <t>9.933.631-5</t>
  </si>
  <si>
    <t>El día 27/01 en sector Aforo Aduana, operador de 58 años al momento de consolidar piezas metálicas, se genera derrame de aceite hidráulico de aproximadamente 0,5 litros.</t>
  </si>
  <si>
    <t>Probable fatiga de material</t>
  </si>
  <si>
    <t>Serio</t>
  </si>
  <si>
    <t>No atribuible a operación</t>
  </si>
  <si>
    <t>Aforo Aduana</t>
  </si>
  <si>
    <t>Consolidado carga general</t>
  </si>
  <si>
    <t>Consolidado carga</t>
  </si>
  <si>
    <t>consolidado piezas metálicas</t>
  </si>
  <si>
    <t>Guillermo Cataldo</t>
  </si>
  <si>
    <t>GONZALO ZAPATA</t>
  </si>
  <si>
    <t>Marcelo Caldera Alvarez</t>
  </si>
  <si>
    <t>13.089.211-6</t>
  </si>
  <si>
    <t>El día 27/01 en TEAGM, operador de 48 años mientras realizaba función de remonte, da cuenta de derrame de aceite deteniendo el equipo de forma inmediata.</t>
  </si>
  <si>
    <t>Fatiga de material</t>
  </si>
  <si>
    <t>TEAGM</t>
  </si>
  <si>
    <t>Recepción mineral</t>
  </si>
  <si>
    <t>Acopio mineral</t>
  </si>
  <si>
    <t>0.6</t>
  </si>
  <si>
    <t>Vladimir Vega</t>
  </si>
  <si>
    <t>Pablo Ramos</t>
  </si>
  <si>
    <t>SEBASTIAN MURA</t>
  </si>
  <si>
    <t>Michael Quintana Guisa</t>
  </si>
  <si>
    <t>17.829.831-3</t>
  </si>
  <si>
    <t>El día 28/01  en almacén 4, movilizadora junto a dupla de trabajo, se encontaban realizando tarea de postura de pilar en plataforma de camión (Lado conductor), al finalizar se dirigen al otro lado y NO se percatan trabajos del CF, ya que capataz autorizó ingreso de este sin advertir a movilizadoras, por lo que cuando ellas avanzan se encuentran con CF en retroceso, teniendo que detener de golpe el equipo.</t>
  </si>
  <si>
    <t>Falta de comunicación por parte del capataz</t>
  </si>
  <si>
    <t>Recepción graneles limpios</t>
  </si>
  <si>
    <t>Limpieza de camiones</t>
  </si>
  <si>
    <t>limpiza camión</t>
  </si>
  <si>
    <t>Ismael Vega</t>
  </si>
  <si>
    <t>SEBASTIAN ALVAREZ</t>
  </si>
  <si>
    <t>Contratista</t>
  </si>
  <si>
    <t>Ivan Delgado Orellana</t>
  </si>
  <si>
    <t>El día 27/01 en Almacén 4, operador de 48 no se percata de filtración de aceite hidráulico en traslado de equipo hacia el taller, derramando 3 litros.</t>
  </si>
  <si>
    <t>No Realizado</t>
  </si>
  <si>
    <t>Incidente ocurre al final de turno</t>
  </si>
  <si>
    <t>Carguío de Tolvas</t>
  </si>
  <si>
    <t>EMILIO MELLADO</t>
  </si>
  <si>
    <t>Gonzalo Reyes Fuenzalida</t>
  </si>
  <si>
    <t>15.008.897-6</t>
  </si>
  <si>
    <t>Colaborador en función de operador GH de 41 años, género Masculino, en el transcurso del 1er turno, ingresa a contenedor con prelingado, golpeando el techo de este con la torre del equipo, generando daño en este.</t>
  </si>
  <si>
    <t>Consolidado directo</t>
  </si>
  <si>
    <t>Consolidado de prelingado</t>
  </si>
  <si>
    <t>Cristian Sandoval</t>
  </si>
  <si>
    <t>SEBASTIAN PEREZ</t>
  </si>
  <si>
    <t>Claudio Aravena Maturana</t>
  </si>
  <si>
    <t>10.881.192-7</t>
  </si>
  <si>
    <t>Colaborador en función de Movilizador de 55 años, género Masculino, en el transcurso del 2do turno, se encontraba realizando tarea de estiba de sacos sobre preeslingado a una altura de seis sacos de alto, al bajar de esta, dobla su pie izquierdo.</t>
  </si>
  <si>
    <t>Fatiga del colaborador por exceso de carga</t>
  </si>
  <si>
    <t>Pié izquierdo</t>
  </si>
  <si>
    <t>Almacén 3</t>
  </si>
  <si>
    <t>SANDRO ZAVALA</t>
  </si>
  <si>
    <t>Rodrigo Astorga Barraza</t>
  </si>
  <si>
    <t>17.555.525-0</t>
  </si>
  <si>
    <t>Colaborador en función de operador GH de 33 años, género Masculino, en el transcurso del 2do turno, advierte quiebre de soporte de luz de retroceso, avisando de forma inmediata a supervisor.</t>
  </si>
  <si>
    <t>incidente fue por fatiga de material no por oepración</t>
  </si>
  <si>
    <t>Almacén 8</t>
  </si>
  <si>
    <t>Transferencia de graneles minerales</t>
  </si>
  <si>
    <t>Consolidado Big Bag mineral</t>
  </si>
  <si>
    <t>Traslado Big Bag</t>
  </si>
  <si>
    <t>SAMUEL PEREA</t>
  </si>
  <si>
    <t>Javier Llangato Mondaca</t>
  </si>
  <si>
    <t>19.149.612-4</t>
  </si>
  <si>
    <t>Hatchlerk</t>
  </si>
  <si>
    <t>Colaborador en función de Hatchlerk de 29 años, género Masculino, en el transcurso del 2do turno, retoma sus funciones luego de la media hora de descanso, subiendo al segundo nivel del bay 30 hacia la popa, ubica sus pertenencias en el pasillo y al momento de girar no se percata de que la escotilla se encontraba abierta, golpeando pierna derecha.</t>
  </si>
  <si>
    <t>Pierna derecha</t>
  </si>
  <si>
    <t>Nave MN Polar Perú</t>
  </si>
  <si>
    <t>Toma de datos a contenedores</t>
  </si>
  <si>
    <t>Frascisco Castillo</t>
  </si>
  <si>
    <t>Stanko Zuanic Godoy</t>
  </si>
  <si>
    <t>17.552.810-5</t>
  </si>
  <si>
    <t>Colaborador en función de operador GH de 34 años, género Masculino, en el transcurso del 1er turno, se encontraba realizando descarga Big Bag en pallets desde plataforma de camión, este al retirar saca a 2 de alto y bajar a piso, se boltea y cae al suelo, provocando daño en ella sin caída de material.</t>
  </si>
  <si>
    <t>Condición de origen de la carga fue el factor del daño</t>
  </si>
  <si>
    <t>Transferencia</t>
  </si>
  <si>
    <t>Recepción de Big Bag</t>
  </si>
  <si>
    <t>Descarga plataforma de camión</t>
  </si>
  <si>
    <t>Cristian Medina</t>
  </si>
  <si>
    <t>Cristian Vera Ramírez</t>
  </si>
  <si>
    <t>10.339.387-6</t>
  </si>
  <si>
    <t>Operador TC</t>
  </si>
  <si>
    <t>Colaborador en función de operador TC de 58 años, género Masculino, en el transcurso del 3er turno, es descargado al costado de grúa Belén saliendo por acceso del costado del almacén 10, allí se encuentra con otro TC el cual venía en dirección contraria, pero como este se encontraba en el centro de la pista y no cargado hacia el lado derecho, obliga a desplazarse a la derecha para esquivar TC, provocando choque con rampla parqueada.</t>
  </si>
  <si>
    <t>Mala Conducción</t>
  </si>
  <si>
    <t>Sitio 4 MN Polar Colombia</t>
  </si>
  <si>
    <t>Descarga y embarque de contenedores</t>
  </si>
  <si>
    <t>enbarques contenedores</t>
  </si>
  <si>
    <t>Ultaport</t>
  </si>
  <si>
    <t>En el transcurso del 2do turno, durante la tarea de remonte de soya, operador  CF de 58 años y género Masculino, traslada aditamento (lanza) desde sitio 2B hacia almacén 4, al dejar ésta posicionada en costado de ruma de girasol, da cuenta de que los seguros de los pasadores no funcionan, cuando lo vuelve a intentar, otros colaboradores que se encuentran en el área le indican que equipo se encuentra filtrando, dando aviso de forma inmediata a capataz. Luego de evaluación preliminar por área de mantenimiento Ultraport, se define derrame de aprox. 10 Litros sobre suelo Impermeable.</t>
  </si>
  <si>
    <t>Maniobra inadecuada para desacople de aditamento</t>
  </si>
  <si>
    <t>Sitio 4 MN James Bay</t>
  </si>
  <si>
    <t>Transferencia de graneles limpios</t>
  </si>
  <si>
    <t>Traslado de lanza desde nave a almacén 4</t>
  </si>
  <si>
    <t>Antonio Huanca</t>
  </si>
  <si>
    <t>Luis Rebolledo Flores</t>
  </si>
  <si>
    <t>10.107.872-8</t>
  </si>
  <si>
    <t>Colaborador en función de operador MC de 58 años, género Masculino, en el transcurso del 2do turno, se encuentra barriendo en costado de nave cuando pasa a llevar cuchillo de balde con la tapa de alcantarillado, provocando desprendimiento en una de sus puntas.</t>
  </si>
  <si>
    <t>Barrido</t>
  </si>
  <si>
    <t>Barrido de soya en molo</t>
  </si>
  <si>
    <t>Cristian León Tavalí</t>
  </si>
  <si>
    <t>19.045.661-7</t>
  </si>
  <si>
    <t>Colaborador en función de operador CF de 44 años, género Masculino, en el transcurso del 3er turno, detecta daño en soporte derecho de cámara de retroceso del equipo al descargar equipo desde bodega de nave.</t>
  </si>
  <si>
    <t>Aún no se detecta la causa</t>
  </si>
  <si>
    <t>Bono Turno</t>
  </si>
  <si>
    <t>Descarga de payloader a molo</t>
  </si>
  <si>
    <t>Sandro Zavala</t>
  </si>
  <si>
    <t>Cristian Muena Bugueño</t>
  </si>
  <si>
    <t>15.947.440-2</t>
  </si>
  <si>
    <t>Colaborador en función de operador TC de 40 años, género Masculino, en el transcurso del 3er turno, realiza giro para posicionarse frente a RS, dejando un pequeño margen de distancia contra el spreader, esto generó que pasara a llevar twislock del mismo, provocando además daño a contenedor y bloqueo del spreader.</t>
  </si>
  <si>
    <t>Norte 4 / Patio Contenedor</t>
  </si>
  <si>
    <t>Desconsolidado y Manipulación Carga General</t>
  </si>
  <si>
    <t>Despacho y recepción de contenedor</t>
  </si>
  <si>
    <t>Traslado de contenedores</t>
  </si>
  <si>
    <t>Christopher Tapia</t>
  </si>
  <si>
    <t>Leonel Delzo</t>
  </si>
  <si>
    <t>Sin Involucrados</t>
  </si>
  <si>
    <t>El día 26/02 en Sitio 3, se da aviso de levante de la cabina de MC al momento de izaje para ingresar equipo a bodega de nave.</t>
  </si>
  <si>
    <t>Tuercas cedieron por constantes vibraciones</t>
  </si>
  <si>
    <t>No hay involucrados</t>
  </si>
  <si>
    <t>Sitio 3</t>
  </si>
  <si>
    <t>Trimming</t>
  </si>
  <si>
    <t>Izaje para Trimming</t>
  </si>
  <si>
    <t>Emilio Mellado</t>
  </si>
  <si>
    <t>Jonathan Rojas Barraza</t>
  </si>
  <si>
    <t>17.013.015-4</t>
  </si>
  <si>
    <t>Colaborador en función de operador GH de 36 años, género Masculino, en el transcurso del 1er turno, no advierte que pallet con fardos venía con daño en la base, por lo que al posicionarlo, estas caen provocando daño a 5 fardos.</t>
  </si>
  <si>
    <t>Dentro del contenedor operador no tiene visual para verificar estado de pallet</t>
  </si>
  <si>
    <t>SAG</t>
  </si>
  <si>
    <t>Desconsolidado Aforo SAG</t>
  </si>
  <si>
    <t>Luis Araya</t>
  </si>
  <si>
    <t>MARCELO HERRERA</t>
  </si>
  <si>
    <t>Peter Burgos Garcia</t>
  </si>
  <si>
    <t>13.717.085-8</t>
  </si>
  <si>
    <t>Colaborador en función de operador GH de 45 años, género Masculino, en el transcurso del 1er turno, al retirar pallets, uno cae provocando daño a la carga.</t>
  </si>
  <si>
    <t>Mala Operación</t>
  </si>
  <si>
    <t>Desconsolidado y carguío</t>
  </si>
  <si>
    <t>Traslado</t>
  </si>
  <si>
    <t>Ruse M.</t>
  </si>
  <si>
    <t>Nicolás Villena Barraza</t>
  </si>
  <si>
    <t>19.356.612-k</t>
  </si>
  <si>
    <t>Colaborador en función de operador RS de 28 años, género Masculino, en el transcurso del 2do turno, luego de realizar check list de equipo, retira freno de parqueo y se dispone para salir a faena, sin advertir que pasa sobre cuña provocando que esta se quiebre.</t>
  </si>
  <si>
    <t>Mala realización de check list</t>
  </si>
  <si>
    <t>Sector 21-22</t>
  </si>
  <si>
    <t>Traslado contenedores</t>
  </si>
  <si>
    <t>Retiro Equipo</t>
  </si>
  <si>
    <t>Jaime Vargas</t>
  </si>
  <si>
    <t>Rubens Quintana Guisa</t>
  </si>
  <si>
    <t>15.695.665-1</t>
  </si>
  <si>
    <t>Colaborador en función de Operador RS de 40 años, género Masculino, en el transcurso del 3er Turno, al hacer entrega de equipo en Taller de Mantención, avisa de caída de patines.</t>
  </si>
  <si>
    <t>Operador entrega equipo y se retira a su hogar</t>
  </si>
  <si>
    <t>Patio Contenedores</t>
  </si>
  <si>
    <t>Carguío de contenedores</t>
  </si>
  <si>
    <t>Carguío</t>
  </si>
  <si>
    <t>Cristian Lizama</t>
  </si>
  <si>
    <t>Hector Chong Álvarez</t>
  </si>
  <si>
    <t>15.000-057-2</t>
  </si>
  <si>
    <t>Colaborador en función de Operador GH de 46 años, género Masculino, en el transcurso del 1er Turno, al trasladar pallet, gira para posicionarse frente a camión, cayendo pallet con carga. (Sin daño a la carga)</t>
  </si>
  <si>
    <t>Norte 1</t>
  </si>
  <si>
    <t>Desconsolidado y manipulación de carga general</t>
  </si>
  <si>
    <t>Desconsolidado carga</t>
  </si>
  <si>
    <t>Desconsolidado pallet y carguío a camión</t>
  </si>
  <si>
    <t>Yerko Vera</t>
  </si>
  <si>
    <t>Juan Luque Morales</t>
  </si>
  <si>
    <t>8.659.584-2</t>
  </si>
  <si>
    <t>Colaborador en función de Movilizador de 67 años, género Masculino, en el transcurso del 1 er Turno, al pasar faja a supervisor TPA para dar término a trinca de carga dentro de contenedor, sale de este pisando mal, causando dolencia en rodilla izquierda.</t>
  </si>
  <si>
    <t>NAT</t>
  </si>
  <si>
    <t xml:space="preserve"> Rodilla izquierda</t>
  </si>
  <si>
    <t>Se Prioriza atención médica</t>
  </si>
  <si>
    <t>Manipulación de carga general</t>
  </si>
  <si>
    <t>Trinca de carga con fajas</t>
  </si>
  <si>
    <t>Nelson Montenegro</t>
  </si>
  <si>
    <t>Ricardo Ramos Loyola</t>
  </si>
  <si>
    <t>16.771.118-9</t>
  </si>
  <si>
    <t>Colaborador en función de operador GH de 37 años, género Masculino, en el transcurso del 2do turno, posiciona pallet sobre plataforma a una distancia muy pequeña del parapeto, por lo que al bajar rompe 4 sacos.</t>
  </si>
  <si>
    <t>Carguío de camiones</t>
  </si>
  <si>
    <t>Thomas Tapia</t>
  </si>
  <si>
    <t>Colaborador en función de Movilizador de 56 años, género Masculino, se encuentra colocando pilar de camión para cierre de puertas, siendo golpeado por la caída de 2 sacos que se encontraban sobre pallet.</t>
  </si>
  <si>
    <t>Condición de los sacos</t>
  </si>
  <si>
    <t>Cuello Cervical</t>
  </si>
  <si>
    <t>Embalado</t>
  </si>
  <si>
    <t>Postura de Pilar en camión</t>
  </si>
  <si>
    <t>Alba Cortés Ávalos</t>
  </si>
  <si>
    <t>10.993.401-1</t>
  </si>
  <si>
    <t>Guardia Bolso</t>
  </si>
  <si>
    <t>Colaboradora en función de Ayudante Guardia Bolso de 53 años, género Femenino, golpea su cabeza con mueble colgante al recoger papel para tirarlo a la basura.</t>
  </si>
  <si>
    <t>Uso de mueble inadecuado</t>
  </si>
  <si>
    <t>Cabeza</t>
  </si>
  <si>
    <t>Edificio Administración</t>
  </si>
  <si>
    <t>Cristian Ubilla Muñoz</t>
  </si>
  <si>
    <t>13.862.942-2</t>
  </si>
  <si>
    <t>Colaborador en función de Operador GH de 34 años, género Masculino, al momento de realizar giro, no advierte cercanía de GH 253 golpeando con estructura trasera el aro derecho del aditamento que se utiliza para subida y bajada de compuertas.</t>
  </si>
  <si>
    <t>Traslado con grúa horquilla</t>
  </si>
  <si>
    <t>Diego Barraza Lillo</t>
  </si>
  <si>
    <t>19.495.617-7</t>
  </si>
  <si>
    <t>Colabor en función de Operador GH de 27 años, género masculino, al momento de encontrarse en traslado de prelingados de saca, nota que su report está manchado con aceite, dándo aviso a capataz siendo derivado al taller de mtto.</t>
  </si>
  <si>
    <t>fatiga de nmaterial, no por operación.</t>
  </si>
  <si>
    <t>Consolidado Big Bag</t>
  </si>
  <si>
    <t>Traslado Prelingado</t>
  </si>
  <si>
    <t>Samuel Perea</t>
  </si>
  <si>
    <t>Colaborador en función de Operador MC de 47 años, género masculino, al momento de estar descargando soya granel con su equipo, este se apega mucho a la puerta ocasionando un daño menoro.</t>
  </si>
  <si>
    <t>Domingo</t>
  </si>
  <si>
    <t>Guillermo Maldonado</t>
  </si>
  <si>
    <t>Rodrigo Villalobos Cardenas</t>
  </si>
  <si>
    <t>18.599.927-0</t>
  </si>
  <si>
    <t>Colaborador en función de movilizador de 31 años, género masculino, al limpiar sus zapatos que tenían soya, suelta la escalera que estaba utilizando y por el desnivel del terreno esta se desplaza golpeando mica de intermitente del lado izquierdo de la cabina del camión ocasionando un daño leve.</t>
  </si>
  <si>
    <t>Falta de atención</t>
  </si>
  <si>
    <t>Almacén 5</t>
  </si>
  <si>
    <t>Descarga</t>
  </si>
  <si>
    <t>Descarga de camiones</t>
  </si>
  <si>
    <t>Leodan Alvares</t>
  </si>
  <si>
    <t>Branco Fumey Morales
Javier Espinoza Dávila
Bastián Manríquez Riveros</t>
  </si>
  <si>
    <t>18.942.968-1
19.045.921-7
20.547.750-0</t>
  </si>
  <si>
    <t>Mecánicos</t>
  </si>
  <si>
    <t>30
30
24</t>
  </si>
  <si>
    <t>S/C</t>
  </si>
  <si>
    <t>Colaboradores en función de mecánicos (Turno B) de 30 y 24 años, todos género masculino, realizan normalización de presión de neumático N°6 a tracto 107 debido a que se encontraba con 0 psi, producto de una fatiga de material en el flanco lado interno este explota a los 47.2 psi.</t>
  </si>
  <si>
    <t>Desgaste neumático</t>
  </si>
  <si>
    <t>Taller Mantenimiento Ultraport</t>
  </si>
  <si>
    <t>Normalización Neumáticos</t>
  </si>
  <si>
    <t>Normalización de Presiones</t>
  </si>
  <si>
    <t>Inflado de neumáticos</t>
  </si>
  <si>
    <t>Colaborador en función de operador CF de 45 años, género Masculino, se encontraba embarcando mineral en cinta dentro de almacén 10, siendo advertido por otro colaborador sobre fuga de aceite en pantófrago del equipo.</t>
  </si>
  <si>
    <t>Derrame por fatiga, no por operación</t>
  </si>
  <si>
    <t>Almacén 10</t>
  </si>
  <si>
    <t>Transferencia de graneles sucios</t>
  </si>
  <si>
    <t>Transferencia de Mineral</t>
  </si>
  <si>
    <t>Embarque de mineral en Cinta</t>
  </si>
  <si>
    <t>Osvaldo Díaz</t>
  </si>
  <si>
    <t>Raúl Rojas</t>
  </si>
  <si>
    <t>Ivan Delgado Calvo</t>
  </si>
  <si>
    <t>13.413.819-K</t>
  </si>
  <si>
    <t>Colaborador en función de operador CF de 46 años, género masculino, recibe instrucción radial para detener equipo, este no calcula distancia pasando a llevar tapa de protección del catalizador (costado del estanque de petróleo), generando abolladura y daño al neumático.</t>
  </si>
  <si>
    <t>TIPO DE ACCIDENTE</t>
  </si>
  <si>
    <t>OCURRE EL ACC.</t>
  </si>
  <si>
    <t>TIPO DE FAENA</t>
  </si>
  <si>
    <t>CAUSAS INMEDIATAS</t>
  </si>
  <si>
    <t>CAUSAS BASICAS</t>
  </si>
  <si>
    <t>SUPERVISOR</t>
  </si>
  <si>
    <t>ACCION SUB</t>
  </si>
  <si>
    <t>CONDICION SUB</t>
  </si>
  <si>
    <t>FACTOR PERSONAL</t>
  </si>
  <si>
    <t>FACTORES DEL TRABAJO</t>
  </si>
  <si>
    <t>COSTO ASOCIADO</t>
  </si>
  <si>
    <t>COSTOS INTANGIBLES</t>
  </si>
  <si>
    <t>Cuero cabelludo</t>
  </si>
  <si>
    <t>FATAL / GRAVE</t>
  </si>
  <si>
    <t>Operaciones Marítimas</t>
  </si>
  <si>
    <t>MUELLE 7 ENAPU</t>
  </si>
  <si>
    <t>Asumir posiciones Peligrosas</t>
  </si>
  <si>
    <t>Protecciones y resguardos inadecuados</t>
  </si>
  <si>
    <t>Falta de Concentración</t>
  </si>
  <si>
    <t>Estandar y/o Diseño Inadecuado</t>
  </si>
  <si>
    <t>Osvaldo Diaz</t>
  </si>
  <si>
    <t>BAJO</t>
  </si>
  <si>
    <t>Bajo: El reclamo o la repercusión llega a nivel interno de la sucursal, ya sea línea de supervisión, jefatura o gerente de sucursal.</t>
  </si>
  <si>
    <t>Cara</t>
  </si>
  <si>
    <t>Contratistas</t>
  </si>
  <si>
    <t>Operaciones Terrestre</t>
  </si>
  <si>
    <t>No Cumple Procedimiento establecido</t>
  </si>
  <si>
    <t>Iluminación Deficiente</t>
  </si>
  <si>
    <t>Falta de Experiencia</t>
  </si>
  <si>
    <t>Inspección y Control deficiente</t>
  </si>
  <si>
    <t>Omayra Cautin</t>
  </si>
  <si>
    <t>ALTO</t>
  </si>
  <si>
    <t>Alto: El reclamo o la repercusión llega a dirigentes sindicales, gerente zonal, gerente general, directores, clientes o stakeholders externos tales como autoridades, comunidad, prensa, entre otros.</t>
  </si>
  <si>
    <t>Frente</t>
  </si>
  <si>
    <t>Subcontratistas</t>
  </si>
  <si>
    <t>Mantención E Infra.</t>
  </si>
  <si>
    <t>Granel Limpio Acopio</t>
  </si>
  <si>
    <t>No Utiliza Elementos necesarios para trabajadar</t>
  </si>
  <si>
    <t>Sistemas de advertencias insuficientes</t>
  </si>
  <si>
    <t>Exceso de Confianza</t>
  </si>
  <si>
    <t>Planificación deficiente</t>
  </si>
  <si>
    <t>NINGUNO</t>
  </si>
  <si>
    <t>Nota: El proceso normal de reportabilidad (mail a directores) no debe considerarse para evaluar el impacto (bajo o alto) del costo intangible.</t>
  </si>
  <si>
    <t>Mejilla</t>
  </si>
  <si>
    <t>CUASI ACCIDENTE</t>
  </si>
  <si>
    <t>Servicios</t>
  </si>
  <si>
    <t>Administración</t>
  </si>
  <si>
    <t>Granel Limpio Embarque</t>
  </si>
  <si>
    <t>No señalar o no advertir</t>
  </si>
  <si>
    <t>Orden y limpieza insuficiente</t>
  </si>
  <si>
    <t>Trato de Ahorrar o Ganar Tiempo</t>
  </si>
  <si>
    <t>Uso y Desgaste</t>
  </si>
  <si>
    <t>DAÑO MATERIAL / A LA CARGA</t>
  </si>
  <si>
    <t>Axinntus</t>
  </si>
  <si>
    <t>Extraportuario</t>
  </si>
  <si>
    <t>Granel Mineral Acopio</t>
  </si>
  <si>
    <t>Uso Inadecuado de Materiales</t>
  </si>
  <si>
    <t>Materiales Inadecuados</t>
  </si>
  <si>
    <t>Motivacion deficiente</t>
  </si>
  <si>
    <t>Evaluación deficiente de Necesidades</t>
  </si>
  <si>
    <t>Vladymir Vega</t>
  </si>
  <si>
    <t>Ojo izquierdo</t>
  </si>
  <si>
    <t>DAÑO MEDIO AMBIENTE</t>
  </si>
  <si>
    <t>Granel Mineral Embarque</t>
  </si>
  <si>
    <t>Sobre exigir materiales a capacidad de trabajo</t>
  </si>
  <si>
    <t>Equipos de proctección Inadecuado insuficiente</t>
  </si>
  <si>
    <t>Falta de Conocimiento</t>
  </si>
  <si>
    <t>Supervisión y liderazgo insuficiente</t>
  </si>
  <si>
    <t>Alfredo Lopez</t>
  </si>
  <si>
    <t>Ceja</t>
  </si>
  <si>
    <t>Otros Graneles embarque</t>
  </si>
  <si>
    <t xml:space="preserve">Operacion Incorrecta de Equipo </t>
  </si>
  <si>
    <t>Equipos Materiales y herramientas en mal estado</t>
  </si>
  <si>
    <t>Falta de Capacidad para desarrollar el trabajo</t>
  </si>
  <si>
    <t>No existe estandar operacional</t>
  </si>
  <si>
    <t>Alfredo Calderon</t>
  </si>
  <si>
    <t>Párpado</t>
  </si>
  <si>
    <t>TRAYECTO</t>
  </si>
  <si>
    <t xml:space="preserve">Patio </t>
  </si>
  <si>
    <t>Operación de Equipo sin instrucción</t>
  </si>
  <si>
    <t>Superficies en mal estado</t>
  </si>
  <si>
    <t>Tratar de ahorar esfuerzo</t>
  </si>
  <si>
    <t>No existe programa de mantención</t>
  </si>
  <si>
    <t>Yaniro Caucott</t>
  </si>
  <si>
    <t>Nariz</t>
  </si>
  <si>
    <t>Buques RO-RO descarga</t>
  </si>
  <si>
    <t>No estar estar atento a las superficies de trabajo</t>
  </si>
  <si>
    <t>Ambiente Saturado</t>
  </si>
  <si>
    <t>Llamar la Atención de los demás</t>
  </si>
  <si>
    <t>Habitos de trabajo Incorrectos</t>
  </si>
  <si>
    <t>Oreja derecha</t>
  </si>
  <si>
    <t>DAÑO EQUIPO</t>
  </si>
  <si>
    <t>Cargas Break Bulk Descarga</t>
  </si>
  <si>
    <t>No usar de forma adecuada los elementos de protección personal</t>
  </si>
  <si>
    <t>Superficie de trabajo irregular</t>
  </si>
  <si>
    <t>Demostración de Hostilidad</t>
  </si>
  <si>
    <t>Uso anormal o incorrecto de equipos y Herramientas</t>
  </si>
  <si>
    <t>Oreja izquierda</t>
  </si>
  <si>
    <t>DAÑO INSTALACIÓN</t>
  </si>
  <si>
    <t>Cargas Break Bulk Despacho</t>
  </si>
  <si>
    <t>No solicita apoyo para realizar esta actividad</t>
  </si>
  <si>
    <t>Falta de personal suficiente para realizar el trabajo</t>
  </si>
  <si>
    <t>Discapacidad Física</t>
  </si>
  <si>
    <t xml:space="preserve">Falta de Normas </t>
  </si>
  <si>
    <t>Boca</t>
  </si>
  <si>
    <t>FALLA OPERACIONAL</t>
  </si>
  <si>
    <t>Embarque o descarga de contenedores</t>
  </si>
  <si>
    <t>No Usa sus Elementos de Protección Personal</t>
  </si>
  <si>
    <t>No existen elementos o herramientas para ejecutar el trabajo</t>
  </si>
  <si>
    <t>Discapacidad Mental</t>
  </si>
  <si>
    <t>Uso anormal de Instalaciones</t>
  </si>
  <si>
    <t>Diente</t>
  </si>
  <si>
    <t>Granel liquido</t>
  </si>
  <si>
    <t>Operación de Equipo sin Autorización</t>
  </si>
  <si>
    <t>Defensa inadecuada de maquinarias e instalaciones</t>
  </si>
  <si>
    <t>No aplica liderazgo valiente</t>
  </si>
  <si>
    <t>Falta verificacion de estiba en pallets</t>
  </si>
  <si>
    <t>Labio</t>
  </si>
  <si>
    <t>Carga IMO</t>
  </si>
  <si>
    <t>Trabajar en condiciones inseguras</t>
  </si>
  <si>
    <t>Maquinarias y herramientas defectuosas</t>
  </si>
  <si>
    <t>Falta de coordinación</t>
  </si>
  <si>
    <t>No existe factor del trabajo</t>
  </si>
  <si>
    <t>Lengua</t>
  </si>
  <si>
    <t xml:space="preserve">Desconsolidado </t>
  </si>
  <si>
    <t>Trabajar a velocidades anormales</t>
  </si>
  <si>
    <t>Equipos en mal estado</t>
  </si>
  <si>
    <t>No existe factor personal</t>
  </si>
  <si>
    <t>Otros</t>
  </si>
  <si>
    <t>Pómulo</t>
  </si>
  <si>
    <t>Sector Norte 8</t>
  </si>
  <si>
    <t>Bromear o realizar travesuras durante el trabajo</t>
  </si>
  <si>
    <t>Temperaturas elevadas</t>
  </si>
  <si>
    <t>Falta de inspeción al area de trabajo</t>
  </si>
  <si>
    <t>Mentón</t>
  </si>
  <si>
    <t>Desconsolidado de Fierros y tuberias</t>
  </si>
  <si>
    <t>Intervenir Equipos sin autorización</t>
  </si>
  <si>
    <t>Ruidos molestos</t>
  </si>
  <si>
    <t>No respeta distancia minima</t>
  </si>
  <si>
    <t>Adquisición de repuestos inadecuados</t>
  </si>
  <si>
    <t>Mandíbula</t>
  </si>
  <si>
    <t>Sector Norte 2</t>
  </si>
  <si>
    <t>Usar ropa de trabajo Inadecuada</t>
  </si>
  <si>
    <t>Condiciones climáticas adversas</t>
  </si>
  <si>
    <t>No se detiene al detectar desviación</t>
  </si>
  <si>
    <t>Repuestos y/o herramientas inadecuados</t>
  </si>
  <si>
    <t>Capacitacion / Practicas Operativas</t>
  </si>
  <si>
    <t>Uso de accesorios personales inadecuados al trabajo</t>
  </si>
  <si>
    <t>Estructuras o instalaciones en mal estado o Inadecuadas</t>
  </si>
  <si>
    <t>No es conciente con su integridad y la de los demas</t>
  </si>
  <si>
    <t>Evaluación de calidad de respuestos inadecuada</t>
  </si>
  <si>
    <t>Garganta</t>
  </si>
  <si>
    <t>Mantención de Equipos</t>
  </si>
  <si>
    <t>Transitar bajo carga suspendida</t>
  </si>
  <si>
    <t>Espacios Reducidos</t>
  </si>
  <si>
    <t>Orientación inadecuada</t>
  </si>
  <si>
    <t>Instrucción de estandar insuficiente.</t>
  </si>
  <si>
    <t>Brazo</t>
  </si>
  <si>
    <t>Bodega, taller de mantenimiento</t>
  </si>
  <si>
    <t>Trabajo en espacios confinados sin autorización</t>
  </si>
  <si>
    <t>Falta de limpieza en equipos y/o herramientas</t>
  </si>
  <si>
    <t>Capacitación inicial inadecuado</t>
  </si>
  <si>
    <t>Falta de inspección del equipo</t>
  </si>
  <si>
    <t>Antebrazo derecho</t>
  </si>
  <si>
    <t>Consolidado en container</t>
  </si>
  <si>
    <t>Transportar a personas sobre equipos mecánicos sin autorización</t>
  </si>
  <si>
    <t>Falta de Protección y Resguardos</t>
  </si>
  <si>
    <t>Actualización inadecuada de conocimientos</t>
  </si>
  <si>
    <t>Ajuste y ensamblaje preventivo inadecuado</t>
  </si>
  <si>
    <t>Antebrazo izquierdo</t>
  </si>
  <si>
    <t>Trayecto (ida-regreso) al trabajo</t>
  </si>
  <si>
    <t>Transportar o trasladar materiales sin trinca segura</t>
  </si>
  <si>
    <t>Falta de sistemas de aviso o alarma</t>
  </si>
  <si>
    <t>Instrucciones mal interpretadas</t>
  </si>
  <si>
    <t>Entregar políticas, procedimientos o pautas de acción inadecuadas</t>
  </si>
  <si>
    <t>Codo derecho</t>
  </si>
  <si>
    <t>Transferencia de Contenedores</t>
  </si>
  <si>
    <t>No estar atento a las condiciones del trabajo</t>
  </si>
  <si>
    <t>Almacenamiento incorrecto de materiales u otros</t>
  </si>
  <si>
    <t>Demuestra Obstinación/Testarudo</t>
  </si>
  <si>
    <t>Instrucción/ orientación y/o preparación deficiente</t>
  </si>
  <si>
    <t>Codo izquierdo</t>
  </si>
  <si>
    <t>Porteo</t>
  </si>
  <si>
    <t>No existe acción</t>
  </si>
  <si>
    <t>Obstrucción de pasillos</t>
  </si>
  <si>
    <t>Retroalimentación deficiente o inadecuada del desempeño</t>
  </si>
  <si>
    <t>Muñeca mano derecha</t>
  </si>
  <si>
    <t>Descarga de CLINKER</t>
  </si>
  <si>
    <t xml:space="preserve">Transportar carga mal estibada </t>
  </si>
  <si>
    <t>No existe visualización adecuada</t>
  </si>
  <si>
    <t>Ajuste / reparación / mantención deficiente</t>
  </si>
  <si>
    <t>Muñeca mano izquierda</t>
  </si>
  <si>
    <t>Almacen 2</t>
  </si>
  <si>
    <t>Transitar durante estiba en camión</t>
  </si>
  <si>
    <t>No existe condición</t>
  </si>
  <si>
    <t>Remoción y reemplazo deficiente de artículos.</t>
  </si>
  <si>
    <t>Mano derecha</t>
  </si>
  <si>
    <t>Limpieza</t>
  </si>
  <si>
    <t>Dedo pulgar derecho</t>
  </si>
  <si>
    <t>Descarga de Big- Bag</t>
  </si>
  <si>
    <t>No advierte poco espacio para la operación del equipo</t>
  </si>
  <si>
    <t>Particulas de polvo en el ambiente</t>
  </si>
  <si>
    <t>Dedo índice derecho</t>
  </si>
  <si>
    <t>Posicionarse en linea de fuego</t>
  </si>
  <si>
    <t>Estiba incorrecta en pallets</t>
  </si>
  <si>
    <t>Dedo medio derecho</t>
  </si>
  <si>
    <t>Trabajar en condición de salud deficiente</t>
  </si>
  <si>
    <t>Sin espacio para la operación del equipo</t>
  </si>
  <si>
    <t>Dedo anular derecho</t>
  </si>
  <si>
    <t>Maniobra inadecuada de equipos</t>
  </si>
  <si>
    <t>Inestabilidad de la carga</t>
  </si>
  <si>
    <t>Dedo meñique derecho</t>
  </si>
  <si>
    <t>Operar equipos en condiciones defectuosas</t>
  </si>
  <si>
    <t>Congestión de equipos y maquinarias</t>
  </si>
  <si>
    <t>Mano Izquierda</t>
  </si>
  <si>
    <t>Intervenir áreas de trabajo sin previa coordinación</t>
  </si>
  <si>
    <t xml:space="preserve">Superficies resbaladisas </t>
  </si>
  <si>
    <t>Dedo pulgar izquierdo</t>
  </si>
  <si>
    <t>No utiliza 3 puntos de apoyo</t>
  </si>
  <si>
    <t>Respuestos sub-estandar</t>
  </si>
  <si>
    <t>Dedo índice izquierdo</t>
  </si>
  <si>
    <t>Dedo medio izquierdo</t>
  </si>
  <si>
    <t>Intervención de equipos sin previo aviso</t>
  </si>
  <si>
    <t>Dedo anular izquierdo</t>
  </si>
  <si>
    <t>Dedo meñique izquierdo</t>
  </si>
  <si>
    <t>Dedo/Falange</t>
  </si>
  <si>
    <t>Uña de la mano</t>
  </si>
  <si>
    <t>Palma derecha</t>
  </si>
  <si>
    <t>Palma izquierda</t>
  </si>
  <si>
    <t xml:space="preserve">Hombro derecho </t>
  </si>
  <si>
    <t>Hombro izquierdo</t>
  </si>
  <si>
    <t>Clavícula</t>
  </si>
  <si>
    <t>Columna</t>
  </si>
  <si>
    <t>Vertebra</t>
  </si>
  <si>
    <t>Coxis</t>
  </si>
  <si>
    <t>Cadera/Cintura</t>
  </si>
  <si>
    <t>Testículos</t>
  </si>
  <si>
    <t>Mama/Pectoral</t>
  </si>
  <si>
    <t>Estómago</t>
  </si>
  <si>
    <t>Costilla</t>
  </si>
  <si>
    <t>Pecho/Tórax</t>
  </si>
  <si>
    <t>Nalga</t>
  </si>
  <si>
    <t xml:space="preserve">Pantorilla derecha </t>
  </si>
  <si>
    <t>Pantorilla izquierda</t>
  </si>
  <si>
    <t>Pierna izquierda</t>
  </si>
  <si>
    <t xml:space="preserve">Muslo derecho </t>
  </si>
  <si>
    <t>Muslo izquierdo</t>
  </si>
  <si>
    <t>Rodilla derecha</t>
  </si>
  <si>
    <t>Canilla derecha</t>
  </si>
  <si>
    <t>Canilla izquierda</t>
  </si>
  <si>
    <t xml:space="preserve">Pantorrilla derecha </t>
  </si>
  <si>
    <t>Pantorrilla izquierda</t>
  </si>
  <si>
    <t>Tobillo izquierdo</t>
  </si>
  <si>
    <t xml:space="preserve">Empeine pié derecho </t>
  </si>
  <si>
    <t>Empeine pié izquierdo</t>
  </si>
  <si>
    <t xml:space="preserve">Talón del pié derecho </t>
  </si>
  <si>
    <t>Talón del pié izquierdo</t>
  </si>
  <si>
    <t xml:space="preserve">Pié derecho </t>
  </si>
  <si>
    <t>Dedo pulgar del pié derecho</t>
  </si>
  <si>
    <t>Dedo índice del pié derecho</t>
  </si>
  <si>
    <t>Dedo medio del pié derecho</t>
  </si>
  <si>
    <t>Dedo anular del pié derecho</t>
  </si>
  <si>
    <t>Dedo meñique del pié derecho</t>
  </si>
  <si>
    <t>Dedo pulgar del pié Izquierdo</t>
  </si>
  <si>
    <t>Dedo índice del pié Izquierdo</t>
  </si>
  <si>
    <t>Dedo medio del pié Izquierdo</t>
  </si>
  <si>
    <t>Dedo anular del pié d Izquierdo</t>
  </si>
  <si>
    <t>Dedo meñique del pié Izquierdo</t>
  </si>
  <si>
    <t>Uña del pié</t>
  </si>
  <si>
    <t>ZYGHT | HSEQ Technology</t>
  </si>
  <si>
    <t>ID</t>
  </si>
  <si>
    <t>Riesgo / Hallazgo</t>
  </si>
  <si>
    <t>Descripción</t>
  </si>
  <si>
    <t>Nivel de Riesgo</t>
  </si>
  <si>
    <t>Sucursal</t>
  </si>
  <si>
    <t>Área de Trabajo</t>
  </si>
  <si>
    <t>Reportado Por</t>
  </si>
  <si>
    <t>Fecha de creación</t>
  </si>
  <si>
    <t>Responsable de Cierre</t>
  </si>
  <si>
    <t>Fecha de Cerrado</t>
  </si>
  <si>
    <t>Responsable de Verificación</t>
  </si>
  <si>
    <t>Fecha de Verificación de efectividad del control</t>
  </si>
  <si>
    <t>Estado</t>
  </si>
  <si>
    <t>Empresa (Reportado Por)</t>
  </si>
  <si>
    <t>Empresa (Responsable de Cierre)</t>
  </si>
  <si>
    <t>Empresa (Responsable de Verificación)</t>
  </si>
  <si>
    <t>Tipo</t>
  </si>
  <si>
    <t>HALLAZGOS</t>
  </si>
  <si>
    <t>‌Asociado a EPA Agua</t>
  </si>
  <si>
    <t>‌Se evidencia bajo control el mantener sitio donde se desarrolla la faena limpia, por lo que solicita remediar desviación y disponer de basureros para deposito de basura generada y evitar de esta forma la contaminación del mar por  arrastre .</t>
  </si>
  <si>
    <t>‌Leve</t>
  </si>
  <si>
    <t>‌Arica</t>
  </si>
  <si>
    <t>‌Sitio 3 - Arica</t>
  </si>
  <si>
    <t>‌Romin-ha Deifilia Urzua Jorquera</t>
  </si>
  <si>
    <t>‌14-10-2021 18:04</t>
  </si>
  <si>
    <t>‌-</t>
  </si>
  <si>
    <t>‌Abierto</t>
  </si>
  <si>
    <t>‌Ultraport</t>
  </si>
  <si>
    <t>‌SEGURIDAD Y SALUD</t>
  </si>
  <si>
    <t>‌SSO - CORONAVIRUS</t>
  </si>
  <si>
    <t>‌Asociado a Altura</t>
  </si>
  <si>
    <t>‌Se sorprende a chofer a una altura, sobre 1,80 sin arnés y sin casco.</t>
  </si>
  <si>
    <t>‌Grave</t>
  </si>
  <si>
    <t>‌Almacén 2 - Arica</t>
  </si>
  <si>
    <t>‌Roberto Valenzuela</t>
  </si>
  <si>
    <t>‌11-10-2021 00:26</t>
  </si>
  <si>
    <t>‌Movilizadores no ocupan la herramienta  adecuada para realizar la funcion donde al no alcansar  pisan el pasamo para poder llegar a la saca , se le indica a capataz y supervisor  del almacen 4 para la correccion. De escalera chica  a escalera de aeropuerto.</t>
  </si>
  <si>
    <t>‌Serio</t>
  </si>
  <si>
    <t>‌Sitio 4 - Arica</t>
  </si>
  <si>
    <t>‌Omayra Cautin Lopez</t>
  </si>
  <si>
    <t>‌03-10-2021 14:44</t>
  </si>
  <si>
    <t>‌Se observa problemas en el retractil de estructura de altura se le comunica a supervisor tpa a cargo para el cambio</t>
  </si>
  <si>
    <t>‌03-10-2021 14:28</t>
  </si>
  <si>
    <t>‌So sorprende a conductor de camion Boliviano sacando fajas que atrincan las sacas sobre la altura permitida. Se le invita a que no vuelva a tomar esa mala decisión que involucra un riesgo crítico que es altura.</t>
  </si>
  <si>
    <t>‌Jose Echalar</t>
  </si>
  <si>
    <t>‌02-10-2021 17:58</t>
  </si>
  <si>
    <t>‌Se evidencia a colaboradores trabajando en altura en el enganche de eslingas con arnes y sin cabo de vida. Se gestiona la mejora con el encargado del Almacen y se le hace una reinduccion en terreno a los trabajadores recalcandoles los riesgos criticos 4A+C</t>
  </si>
  <si>
    <t>‌02-10-2021 17:42</t>
  </si>
  <si>
    <t>‌En sector norte se evidencia a conductor Boliviano cometiendo una acción insegura involucrando riesgo critico de altura.
 Se le llama la atencion y se le invita a respetar nuestros estandares de seguridad establecidos.</t>
  </si>
  <si>
    <t>‌Sector Norte - Arica</t>
  </si>
  <si>
    <t>‌30-09-2021 17:35</t>
  </si>
  <si>
    <t>‌Otro</t>
  </si>
  <si>
    <t>‌De sorprende a colaboradores sin cubre nuca y barviquejo.</t>
  </si>
  <si>
    <t>‌30-09-2021 14:02</t>
  </si>
  <si>
    <t>‌Personal de seguridad se encuentra caminando por baranda que se encuentra  a mas de 1.80 mtrs  sin los implementos de seguridad anticaida</t>
  </si>
  <si>
    <t>‌Puerto en General Arica</t>
  </si>
  <si>
    <t>‌28-09-2021 20:47</t>
  </si>
  <si>
    <t>‌Marcelo Espinoza</t>
  </si>
  <si>
    <t>‌Ultraport/Axinntus</t>
  </si>
  <si>
    <t>‌Detención Responsable (STOP WORK)</t>
  </si>
  <si>
    <t>‌conductor boliviano sale de pasillo a alta velocidad sin mirar pudiendo producir un choque o atropello.</t>
  </si>
  <si>
    <t>‌25-09-2021 02:12</t>
  </si>
  <si>
    <t>‌25-09-2021 03:00</t>
  </si>
  <si>
    <t>‌Cerrado</t>
  </si>
  <si>
    <t>‌Se evidencia mal estado de ruedas de carro transportador de aceite hidráulico, lo que además de dificultar su traslado, existe un sobre esfuerzo para quien deba manipularlo, añadiendo además la posibilidad de  generar un incidente ambiental potencial por la caída del carro y por consiguiente derrame de aceite hidráulico.</t>
  </si>
  <si>
    <t>‌Taller mantenimiento Arica</t>
  </si>
  <si>
    <t>‌21-09-2021 16:20</t>
  </si>
  <si>
    <t>‌22-09-2021 17:42</t>
  </si>
  <si>
    <t>‌Asociado a Salud Ocupacional</t>
  </si>
  <si>
    <t>‌Personal de la nave sin implemento de seguridad en costado de nave.</t>
  </si>
  <si>
    <t>‌Manuel Garcia</t>
  </si>
  <si>
    <t>‌20-09-2021 11:50</t>
  </si>
  <si>
    <t>‌20-09-2021 11:55</t>
  </si>
  <si>
    <t>‌Se sorprende a conductor Boliviano en Altura no permitida, se le hace un llamado de atención en el momento y se le invita a respetar nuestros estándares de seguridad establecidos.</t>
  </si>
  <si>
    <t>‌08-09-2021 22:18</t>
  </si>
  <si>
    <t>‌Caída sobre 1,80 metros de altura sin arnés.</t>
  </si>
  <si>
    <t>‌Almacén 5 - Arica</t>
  </si>
  <si>
    <t>‌07-09-2021 10:40</t>
  </si>
  <si>
    <t>‌En Sector Imo se sorprende a conductor Boliviano sin zapatos de seguridad.  Se le comenta la importancia de usarlos ya que son para su propia seguridad.</t>
  </si>
  <si>
    <t>‌Sector IMO - Arica</t>
  </si>
  <si>
    <t>‌05-09-2021 21:12</t>
  </si>
  <si>
    <t>‌Se encuentra piedra en lugar de tránsito de equipos en sitio 4 la cuál podría salir proyectada al ser pisada por un neumático de algún equipo con la probabilidad de producir algún daños materiales o accidente.  Se retira piedra de manera inmediata</t>
  </si>
  <si>
    <t>‌Terminal de contenedores - Arica</t>
  </si>
  <si>
    <t>‌Gonzalo Zapata</t>
  </si>
  <si>
    <t>‌02-09-2021 09:12</t>
  </si>
  <si>
    <t>‌Asociado a Aplastamiento</t>
  </si>
  <si>
    <t>‌se encuentra apilamiento de contendedores sin apoyo expuesto a chofer boliviano que s encuentra amarrando su carga.</t>
  </si>
  <si>
    <t>‌31-08-2021 16:33</t>
  </si>
  <si>
    <t>‌Asociado a COVID</t>
  </si>
  <si>
    <t>‌Chofer  se le  instruye el buen uso de las mascarilla y los riesgos asociados al covid 19</t>
  </si>
  <si>
    <t>‌31-08-2021 16:29</t>
  </si>
  <si>
    <t>‌En despacho de carga suelta del Almacen uno se sorprende a funcionario de Aspb usando de manera inadecuad                                                                                                de la mascarilla, se le invita a corregir  esa mala practica ya que esta en contacto estrecho con uno de sus colegas.</t>
  </si>
  <si>
    <t>‌Almacén 1 - Arica</t>
  </si>
  <si>
    <t>‌23-08-2021 03:07</t>
  </si>
  <si>
    <t>‌Se observa bajo control para el personal externo (conductores bolivianos), observando sobre la carga sin sistema de protección de caídas. Se realiza stop Work</t>
  </si>
  <si>
    <t>‌almacén 4 - Arica</t>
  </si>
  <si>
    <t>‌Claudio Campillay Bravo</t>
  </si>
  <si>
    <t>‌20-08-2021 22:36</t>
  </si>
  <si>
    <t>‌Manuel Zuñiga</t>
  </si>
  <si>
    <t>‌Movilidades se encontraban a plena luz día, sin sus cubre nucas.</t>
  </si>
  <si>
    <t>‌Sitio 5 - Arica</t>
  </si>
  <si>
    <t>‌14-08-2021 14:27</t>
  </si>
  <si>
    <t>‌Urinario del baño de mantención se encuentra tapado.</t>
  </si>
  <si>
    <t>‌14-08-2021 13:08</t>
  </si>
  <si>
    <t>‌Juan Carlos González Olivo</t>
  </si>
  <si>
    <t>‌18-08-2021 10:22</t>
  </si>
  <si>
    <t>‌En sector 22 se evidencia una chimenea de 5 cnt de alto , se le comunica a Dispatcher de turno para su pronta mejora.</t>
  </si>
  <si>
    <t>‌09-08-2021 05:46</t>
  </si>
  <si>
    <t>‌Asociado a Atropello</t>
  </si>
  <si>
    <t>‌Conductor dentro de área de operación.</t>
  </si>
  <si>
    <t>‌06-08-2021 22:15</t>
  </si>
  <si>
    <t>‌Asociado a Contacto con Energías</t>
  </si>
  <si>
    <t>‌Se podrían producir daños en llantas de Aro de equipo portacontenedores los cuales mantienen energía de presión de aire acumulada la que podría salir deforma de una explosión al dañarse algúna llanta producto de la caída</t>
  </si>
  <si>
    <t>‌05-08-2021 16:45</t>
  </si>
  <si>
    <t>‌Se sorprende a conductor Boliviano caminando sin mascarilla , se le recuerda que estamos en pandemia y que su uso es obligatorio.</t>
  </si>
  <si>
    <t>‌30-07-2021 18:38</t>
  </si>
  <si>
    <t>‌Extintor subida  escalera segundo piso vencido del 2020</t>
  </si>
  <si>
    <t>‌Oficina Administración - Arica</t>
  </si>
  <si>
    <t>‌21-07-2021 12:14</t>
  </si>
  <si>
    <t>‌Paola Salas</t>
  </si>
  <si>
    <t>‌Vía de evacuación obstaculizado por los vehículos lo cual dificultaría una evacuación expedita en caso de una alerta de Tsunami</t>
  </si>
  <si>
    <t>‌Oficinas de Operaciones y Mantención</t>
  </si>
  <si>
    <t>‌20-07-2021 09:57</t>
  </si>
  <si>
    <t>‌Cesar Rodriguez</t>
  </si>
  <si>
    <t>‌Se visualizan vehículos mal estacionados sobre paso peatonal, se le informa a Jefe de operaciones del terminal para corregir esta mala acción.</t>
  </si>
  <si>
    <t>‌15-07-2021 18:30</t>
  </si>
  <si>
    <t>‌En Almacen cuatro se detecta a conductores Bolivianos sacando cuerdas y fajas, se conversa con ellos y con encargado del Almacen donde se les explica que de acuerdo a nuestros procedimientos de trabajo en la recepción de Soya a granel somos nosotros los que asemos el trabajo y no ellos.</t>
  </si>
  <si>
    <t>‌15-07-2021 12:16</t>
  </si>
  <si>
    <t>‌En trabajos de mejora del piso al interior de puerto se sorprende a trabajador de empresa externa no usando su mascarilla de la manera correcta manteniendo un contacto estrecho con uno de sus compañeros, Se conversa con encargada del personal y se corrige esta mala acción.</t>
  </si>
  <si>
    <t>‌15-07-2021 11:33</t>
  </si>
  <si>
    <t>‌Se detecta en zona de tránsito peatonal dos puntas de fierro las cuales pueden provocar tropiezos o caídas del mismo nivel, se le comunica a área de exelencia y Op de terminal de turno para mejorar dicha condición.</t>
  </si>
  <si>
    <t>‌13-07-2021 17:14</t>
  </si>
  <si>
    <t>‌Llave de duchas en mal estado</t>
  </si>
  <si>
    <t>‌13-07-2021 12:52</t>
  </si>
  <si>
    <t>‌13-07-2021 20:51</t>
  </si>
  <si>
    <t>‌En faena de despacho de fierro en atados se evidencia camiones con placa Boliviana estacionados al costado de línea amarilla lo que puede provocar caída al agua del conductor ante una mala acción del mismo, se cruza información con supervisor de la faena para buscar una solución inmediata que fue reposicionar los camiones tres metros hacia adentro del delantal del muelle.</t>
  </si>
  <si>
    <t>‌08-07-2021 02:27</t>
  </si>
  <si>
    <t>‌Movilizador se encontraba manipulando cajas con etiqueta indicando IMO 8 corrosivo, sin los guantes y con mascarilla de papel.</t>
  </si>
  <si>
    <t>‌07-07-2021 20:49</t>
  </si>
  <si>
    <t>‌Uso de arnés , sobre el 1,8 metros de altura.</t>
  </si>
  <si>
    <t>‌07-07-2021 20:02</t>
  </si>
  <si>
    <t>‌Oxigenación de aire en oficina.</t>
  </si>
  <si>
    <t>‌07-07-2021 19:54</t>
  </si>
  <si>
    <t>‌En calle principal a la altura de Almacen cuatro se detecta cortina de contenedores donde uno de ellos se encuentra a tres de alto (Chimenea), se cordina con Dispatcher de turno para su mejora en el transcurso del turno.</t>
  </si>
  <si>
    <t>‌06-07-2021 02:57</t>
  </si>
  <si>
    <t>‌EQUIPOS PORTAC 45-46 NO TIENEN SISTEMA DE BLOQUEO DE EQUIPO</t>
  </si>
  <si>
    <t>‌30-06-2021 19:44</t>
  </si>
  <si>
    <t>‌MÁQUINAS PORTAC-52 Y 53 NO TIENEN SISTEMA DE BLOQUEO DE  EQUIPO, CORTE DE ENERGÍA.</t>
  </si>
  <si>
    <t>‌30-06-2021 19:34</t>
  </si>
  <si>
    <t>‌14-07-2021 12:37</t>
  </si>
  <si>
    <t>‌14-07-2021 12:40</t>
  </si>
  <si>
    <t>‌Verificación de efectividad del control</t>
  </si>
  <si>
    <t>‌Durante el desarrollo de  carga de equipo Reach stacker   sobre sobre Rampla (PALOTE) se van  presentando dificultades para realizar carga  de manera segura y se decide aplicar stop work y evaluar bien la  carga del equipo.
 Finalmente se decide suspender la carga del equipo  porque  transportista no reúne los implementos necesario para realizar la carga de manera segura.</t>
  </si>
  <si>
    <t>‌16-06-2021 18:18</t>
  </si>
  <si>
    <t>‌16-06-2021 18:27</t>
  </si>
  <si>
    <t>‌21-07-2021 21:09</t>
  </si>
  <si>
    <t>‌si bien los colaboradores conocen el proceso y lo aplican, no existe documentación de difusión de procedimiento actualizado.</t>
  </si>
  <si>
    <t>‌Almacén 6</t>
  </si>
  <si>
    <t>‌13-06-2021 19:54</t>
  </si>
  <si>
    <t>‌el procedimiento no esta en terreno, sin embargo existe el procedimiento pero esta en oficina de supervisor. Se debe dejar una carpeta con el procedimiento o infografía.</t>
  </si>
  <si>
    <t>‌No se identifica aforo en oficinas de romanas.</t>
  </si>
  <si>
    <t>‌Romana - Arica</t>
  </si>
  <si>
    <t>‌12-06-2021 00:57</t>
  </si>
  <si>
    <t>‌Sistema de Gestión</t>
  </si>
  <si>
    <t>‌Se mantiene infografía en el sector, sin embargo no se encuentra actualizada</t>
  </si>
  <si>
    <t>‌10-06-2021 16:10</t>
  </si>
  <si>
    <t>‌En ronda de supervisión por patio de contenedores se detecta pila de cuatro cnt . (Chimenea)
 Se le comunica a Dispatcher de turno para mejorar la condición.</t>
  </si>
  <si>
    <t>‌06-06-2021 05:14</t>
  </si>
  <si>
    <t>‌En caminata por patio de contenedores se evidencia en sector 35 (Por los mayores) una chimenea de 4 de alto, se da aviso a Dispatcher  de turno para mejorar la condición.</t>
  </si>
  <si>
    <t>‌05-06-2021 05:59</t>
  </si>
  <si>
    <t>‌Se detecta es paso de cebra frente a AAMM y Romana mixta placa de metal sobresaliente en piso, la cual podría ocasionar caída de mismo a peatones</t>
  </si>
  <si>
    <t>‌04-06-2021 10:47</t>
  </si>
  <si>
    <t>‌Paso peatonal no definido e incompleto peatones pasan por cualquier lado y en ocasiones interactúan con el movimiento de equipos de alto tonelaje</t>
  </si>
  <si>
    <t>‌31-05-2021 19:16</t>
  </si>
  <si>
    <t>‌Asociado a EPA Suelo</t>
  </si>
  <si>
    <t>‌Durante embarque y desembarque de contenedores en motonave Rhine Maersk, se detecta área sucia, no cumpliendo con el EPA Suelo, de mantener orden y limpieza, durante la operación, aun considerando no ser proceso propio de Uport, y solo prestar servicios, de igual forma, se solicita el retiro de basura domestica acumulada, la cual podría caer al mar por la cercanía donde se encontraba.</t>
  </si>
  <si>
    <t>‌29-05-2021 13:28</t>
  </si>
  <si>
    <t>‌29-05-2021 13:32</t>
  </si>
  <si>
    <t>‌29-05-2021 13:36</t>
  </si>
  <si>
    <t>‌Durante atención de motonave de contenedores, en el sitio 4 se detecta lavamanos móvil sin agua y sucio, por lo que se informa a TPA y se solicita la limpieza y reposición de agua potable. Además de señalar que estación de lavamanos móvil, no cuenta con basurero.</t>
  </si>
  <si>
    <t>‌29-05-2021 13:09</t>
  </si>
  <si>
    <t>‌29-05-2021 13:18</t>
  </si>
  <si>
    <t>‌29-05-2021 13:22</t>
  </si>
  <si>
    <t>‌Si bien se encuentra difundido, no esta difundido la ultima actualización</t>
  </si>
  <si>
    <t>‌22-05-2021 23:56</t>
  </si>
  <si>
    <t>‌Camión  boliviano que ingresa a puerto a descargar soya a granel se encuentra con sus baterías sin ninguna protección  lo cual contenía cadena afirmándolas que pueden  hacer puente y ocasionar daño mayor.</t>
  </si>
  <si>
    <t>‌17-05-2021 21:14</t>
  </si>
  <si>
    <t>‌Toma de temperatura al inicio y terminó del turno.</t>
  </si>
  <si>
    <t>‌17-05-2021 11:14</t>
  </si>
  <si>
    <t>‌18-05-2021 17:58</t>
  </si>
  <si>
    <t>‌Chofer se encuentra dentro de área demarcada.</t>
  </si>
  <si>
    <t>‌17-05-2021 11:05</t>
  </si>
  <si>
    <t>‌18-05-2021 18:01</t>
  </si>
  <si>
    <t>‌Posible caida de mismo nivel.</t>
  </si>
  <si>
    <t>‌13-05-2021 21:08</t>
  </si>
  <si>
    <t>‌Durante el traslado de un sector a otro, se evidencia la existencia de 2  columnas de contenedores (chimeneas), que no contaban con un apoyo de otras rumas a sus costados, por lo que se solicita a operador de terminal reposicionar contenedores, para eliminar el riesgo de aplastamiento por desestabilización de alguna de las rumas.</t>
  </si>
  <si>
    <t>‌13-05-2021 15:20</t>
  </si>
  <si>
    <t>‌13-05-2021 15:23</t>
  </si>
  <si>
    <t>‌13-05-2021 15:27</t>
  </si>
  <si>
    <t>‌Se sorprende a conductor encarpando sin elementos de protección anti-caídas</t>
  </si>
  <si>
    <t>‌zona de encarpado Arica</t>
  </si>
  <si>
    <t>‌11-05-2021 14:53</t>
  </si>
  <si>
    <t>‌Solo se hace corte de energía del equipo, pero no se realiza bloqueo físico de este.</t>
  </si>
  <si>
    <t>‌08-05-2021 20:57</t>
  </si>
  <si>
    <t>‌Si bien conocen el control critico para contacto con energía, este no conocido por todos.</t>
  </si>
  <si>
    <t>‌estructura metálica se cae en paso peatonal.</t>
  </si>
  <si>
    <t>‌01-05-2021 14:37</t>
  </si>
  <si>
    <t>‌En terreno por ser estaciones de piñas móviles, no cuentan con el procedimiento in situ, de igual forma se instalarán infografías alusivas al procedimiento.</t>
  </si>
  <si>
    <t>‌01-05-2021 13:47</t>
  </si>
  <si>
    <t>‌Durante el desarrollo de la faena en el sitio SAG, en donde por parte de la autoridad se revisa la carga.
 El la desestiba de contenedores, la carga de un pallet viene dañada, por lo cual los movilizadores son quienes deben volver a estibar carga en pallet, manipulando de esta forma los bultos caídos, en relación a esta actividad no rutinaria en el sector, es que se advierte la sospecha de que el bulto sobrepasa el peso permitido para ser cargado por ambos movilizadores.</t>
  </si>
  <si>
    <t>‌19-04-2021 12:39</t>
  </si>
  <si>
    <t>‌21-04-2021 12:47</t>
  </si>
  <si>
    <t>‌21-04-2021 12:53</t>
  </si>
  <si>
    <t>‌Se evidencia mal estado de extensión eléctrica, por lo que se deja sin utilidad, dando aviso a supervisor a cargo y solicitando el recambio de esta y/o lo materiales para la elaboración de una nueva extinción, considerando el riesgo eléctrico como el principal efecto de la manipulación en mal estado, descartando así en esta oportunidad la reparación paliativa con cinta aislante.</t>
  </si>
  <si>
    <t>‌10-02-2021 16:19</t>
  </si>
  <si>
    <t>‌Se cambia  stand  de  utilería  portuario</t>
  </si>
  <si>
    <t>‌28-01-2021 09:01</t>
  </si>
  <si>
    <t>‌Durante 1er turno equipo de mantención llena galón de gas, ocupado como reserva en el taller de mantenimiento para cargar grúas horquillas, en caso de escases de combustible durante procesos de mantenimiento. 
 Al llegar al taller, mecánico posiciona galón al sol, lo que provoca que válvula de seguridad comience a liberar gas a modo de evitar explosión de galón.</t>
  </si>
  <si>
    <t>‌18-01-2021 14:16</t>
  </si>
  <si>
    <t>‌20-01-2021 14:26</t>
  </si>
  <si>
    <t>‌20-01-2021 19:50</t>
  </si>
  <si>
    <t>‌Durante inspección al área de mantenimiento, se advierte extensión eléctrica en mal estado.</t>
  </si>
  <si>
    <t>‌16-01-2021 14:47</t>
  </si>
  <si>
    <t>‌17-01-2021 14:55</t>
  </si>
  <si>
    <t>‌17-01-2021 14:58</t>
  </si>
  <si>
    <t>‌Se detecta mal estado de ruedas en carros de distribución de aceite en el taller de mantenimiento. Desgaste que no permite movilizar carros con facilidad y requiere un sobreesfuerzo por parte de mecánicos.</t>
  </si>
  <si>
    <t>‌05-01-2021 18:32</t>
  </si>
  <si>
    <t>‌11-02-2021 18:39</t>
  </si>
  <si>
    <t>‌11-02-2021 18:59</t>
  </si>
  <si>
    <t>Incidentes por Tipo de Contrato</t>
  </si>
  <si>
    <t>TIPO ACCIDENTE</t>
  </si>
  <si>
    <t>Renta fija</t>
  </si>
  <si>
    <t>FATAL/GRAVE</t>
  </si>
  <si>
    <t>DAÑO INSTALACION</t>
  </si>
  <si>
    <t>CUASI-ACCIDENTE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</si>
</sst>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800]dddd\,\ mmmm\ dd\,\ yyyy"/>
    <numFmt numFmtId="165" formatCode="[$-C0A]d\-mmm\-yy;@"/>
  </numFmts>
  <fonts count="51" x14ac:knownFonts="1">
    <font>
      <sz val="11"/>
      <color theme="1"/>
      <name val="Calibri"/>
      <family val="2"/>
      <scheme val="minor"/>
    </font>
    <font>
      <sz val="11"/>
      <color theme="1"/>
      <name val="Calibri"/>
      <family val="2"/>
      <scheme val="minor"/>
    </font>
    <font>
      <sz val="10"/>
      <name val="Arial"/>
      <family val="2"/>
    </font>
    <font>
      <b/>
      <sz val="8"/>
      <name val="Arial"/>
      <family val="2"/>
    </font>
    <font>
      <sz val="8"/>
      <name val="Arial"/>
      <family val="2"/>
    </font>
    <font>
      <b/>
      <sz val="10"/>
      <name val="Arial"/>
      <family val="2"/>
    </font>
    <font>
      <sz val="10"/>
      <name val="Arial"/>
      <family val="2"/>
    </font>
    <font>
      <b/>
      <sz val="12"/>
      <name val="Arial"/>
      <family val="2"/>
    </font>
    <font>
      <sz val="9"/>
      <name val="Arial"/>
      <family val="2"/>
    </font>
    <font>
      <b/>
      <u/>
      <sz val="16"/>
      <name val="Calibri"/>
      <family val="2"/>
      <scheme val="minor"/>
    </font>
    <font>
      <sz val="16"/>
      <name val="Calibri"/>
      <family val="2"/>
      <scheme val="minor"/>
    </font>
    <font>
      <b/>
      <sz val="16"/>
      <name val="Calibri"/>
      <family val="2"/>
      <scheme val="minor"/>
    </font>
    <font>
      <b/>
      <sz val="9"/>
      <name val="Arial"/>
      <family val="2"/>
    </font>
    <font>
      <b/>
      <sz val="20"/>
      <color theme="0"/>
      <name val="Arial"/>
      <family val="2"/>
    </font>
    <font>
      <sz val="10"/>
      <color theme="1"/>
      <name val="Calibri"/>
      <family val="2"/>
      <scheme val="minor"/>
    </font>
    <font>
      <b/>
      <sz val="11"/>
      <color theme="1"/>
      <name val="Calibri"/>
      <family val="2"/>
      <scheme val="minor"/>
    </font>
    <font>
      <sz val="11"/>
      <name val="Calibri"/>
      <family val="2"/>
      <scheme val="minor"/>
    </font>
    <font>
      <sz val="8"/>
      <name val="Calibri"/>
      <family val="2"/>
      <scheme val="minor"/>
    </font>
    <font>
      <sz val="11"/>
      <color indexed="8"/>
      <name val="Calibri"/>
      <family val="2"/>
    </font>
    <font>
      <sz val="11"/>
      <color rgb="FF000000"/>
      <name val="Calibri"/>
      <family val="2"/>
      <scheme val="minor"/>
    </font>
    <font>
      <b/>
      <sz val="11"/>
      <color theme="0"/>
      <name val="Calibri"/>
      <family val="2"/>
      <scheme val="minor"/>
    </font>
    <font>
      <b/>
      <sz val="11"/>
      <name val="Calibri"/>
      <family val="2"/>
      <scheme val="minor"/>
    </font>
    <font>
      <b/>
      <sz val="11"/>
      <name val="Calibri"/>
      <family val="2"/>
    </font>
    <font>
      <sz val="11"/>
      <name val="Calibri"/>
      <family val="2"/>
    </font>
    <font>
      <sz val="10"/>
      <color rgb="FF000000"/>
      <name val="Calibri"/>
      <family val="2"/>
      <scheme val="minor"/>
    </font>
    <font>
      <b/>
      <sz val="10"/>
      <color theme="1"/>
      <name val="Calibri"/>
      <family val="2"/>
      <scheme val="minor"/>
    </font>
    <font>
      <sz val="10"/>
      <name val="Calibri"/>
      <family val="2"/>
      <scheme val="minor"/>
    </font>
    <font>
      <sz val="11"/>
      <color rgb="FF00B050"/>
      <name val="Calibri"/>
      <family val="2"/>
      <scheme val="minor"/>
    </font>
    <font>
      <sz val="10"/>
      <color rgb="FF000000"/>
      <name val="Calibri"/>
      <family val="2"/>
    </font>
    <font>
      <sz val="10"/>
      <name val="Calibri"/>
      <family val="2"/>
    </font>
    <font>
      <sz val="11"/>
      <color theme="0"/>
      <name val="Calibri"/>
      <family val="2"/>
      <scheme val="minor"/>
    </font>
    <font>
      <sz val="10"/>
      <color theme="1"/>
      <name val="Trebuchet MS"/>
      <family val="2"/>
    </font>
    <font>
      <sz val="11"/>
      <color rgb="FF444444"/>
      <name val="Calibri"/>
      <family val="2"/>
      <charset val="1"/>
    </font>
    <font>
      <sz val="10"/>
      <color rgb="FF00B050"/>
      <name val="Calibri"/>
      <family val="2"/>
      <scheme val="minor"/>
    </font>
    <font>
      <b/>
      <sz val="10"/>
      <color rgb="FF000000"/>
      <name val="Calibri"/>
      <family val="2"/>
    </font>
    <font>
      <sz val="11"/>
      <color rgb="FF000000"/>
      <name val="Trebuchet MS"/>
      <family val="2"/>
    </font>
    <font>
      <b/>
      <sz val="10"/>
      <color rgb="FF000000"/>
      <name val="Calibri"/>
      <family val="2"/>
      <scheme val="minor"/>
    </font>
    <font>
      <sz val="10"/>
      <color rgb="FF000000"/>
      <name val="Trebuchet MS"/>
      <family val="2"/>
    </font>
    <font>
      <sz val="11"/>
      <color rgb="FF444444"/>
      <name val="Calibri"/>
      <family val="2"/>
      <charset val="1"/>
      <scheme val="minor"/>
    </font>
    <font>
      <b/>
      <sz val="10"/>
      <color rgb="FF000000"/>
      <name val="Trebuchet MS"/>
      <family val="2"/>
    </font>
    <font>
      <sz val="11"/>
      <color rgb="FFFF0000"/>
      <name val="Calibri"/>
      <family val="2"/>
      <scheme val="minor"/>
    </font>
    <font>
      <sz val="10"/>
      <name val="Trebuchet MS"/>
      <family val="2"/>
    </font>
    <font>
      <sz val="12"/>
      <name val="Calibri"/>
      <family val="2"/>
      <scheme val="minor"/>
    </font>
    <font>
      <sz val="11"/>
      <name val="Calibri"/>
      <family val="2"/>
      <charset val="1"/>
    </font>
    <font>
      <sz val="11"/>
      <color rgb="FF000000"/>
      <name val="Calibri"/>
      <family val="2"/>
    </font>
    <font>
      <sz val="10"/>
      <color rgb="FF212121"/>
      <name val="Calibri"/>
      <family val="2"/>
    </font>
    <font>
      <sz val="10"/>
      <color theme="0"/>
      <name val="Calibri"/>
      <family val="2"/>
    </font>
    <font>
      <sz val="9"/>
      <color indexed="81"/>
      <name val="Tahoma"/>
      <family val="2"/>
    </font>
    <font>
      <b/>
      <sz val="9"/>
      <color indexed="81"/>
      <name val="Tahoma"/>
      <family val="2"/>
    </font>
    <font>
      <b/>
      <sz val="10"/>
      <name val="Calibri"/>
      <family val="2"/>
      <scheme val="minor"/>
    </font>
    <font>
      <sz val="11"/>
      <color rgb="FF000000"/>
      <name val="Calibri"/>
      <family val="2"/>
    </font>
  </fonts>
  <fills count="12">
    <fill>
      <patternFill patternType="none"/>
    </fill>
    <fill>
      <patternFill patternType="gray125"/>
    </fill>
    <fill>
      <patternFill patternType="solid">
        <fgColor indexed="9"/>
        <bgColor indexed="64"/>
      </patternFill>
    </fill>
    <fill>
      <patternFill patternType="solid">
        <fgColor theme="4" tint="0.79998168889431442"/>
        <bgColor indexed="64"/>
      </patternFill>
    </fill>
    <fill>
      <patternFill patternType="solid">
        <fgColor theme="0"/>
        <bgColor indexed="64"/>
      </patternFill>
    </fill>
    <fill>
      <patternFill patternType="solid">
        <fgColor rgb="FF0070C0"/>
        <bgColor indexed="64"/>
      </patternFill>
    </fill>
    <fill>
      <patternFill patternType="solid">
        <fgColor rgb="FFFFFFFF"/>
        <bgColor rgb="FF000000"/>
      </patternFill>
    </fill>
    <fill>
      <patternFill patternType="solid">
        <fgColor rgb="FFFFFFFF"/>
        <bgColor indexed="64"/>
      </patternFill>
    </fill>
    <fill>
      <patternFill patternType="solid">
        <fgColor theme="0" tint="-0.14999847407452621"/>
        <bgColor indexed="64"/>
      </patternFill>
    </fill>
    <fill>
      <patternFill patternType="solid">
        <fgColor theme="0" tint="-0.14999847407452621"/>
        <bgColor rgb="FF000000"/>
      </patternFill>
    </fill>
    <fill>
      <patternFill patternType="solid">
        <fgColor theme="9" tint="0.79998168889431442"/>
        <bgColor indexed="64"/>
      </patternFill>
    </fill>
    <fill>
      <patternFill patternType="solid">
        <fgColor rgb="FFFDE9D9"/>
        <bgColor indexed="64"/>
      </patternFill>
    </fill>
  </fills>
  <borders count="5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diagonal/>
    </border>
    <border>
      <left style="thin">
        <color indexed="64"/>
      </left>
      <right style="thin">
        <color theme="0"/>
      </right>
      <top style="thin">
        <color theme="0"/>
      </top>
      <bottom style="thin">
        <color theme="0"/>
      </bottom>
      <diagonal/>
    </border>
    <border>
      <left style="thin">
        <color indexed="64"/>
      </left>
      <right style="thin">
        <color theme="0"/>
      </right>
      <top style="thin">
        <color theme="0"/>
      </top>
      <bottom style="thin">
        <color indexed="64"/>
      </bottom>
      <diagonal/>
    </border>
    <border>
      <left style="thin">
        <color indexed="64"/>
      </left>
      <right style="thin">
        <color theme="0"/>
      </right>
      <top/>
      <bottom/>
      <diagonal/>
    </border>
    <border>
      <left style="thin">
        <color indexed="64"/>
      </left>
      <right style="medium">
        <color indexed="64"/>
      </right>
      <top style="thin">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thin">
        <color indexed="64"/>
      </bottom>
      <diagonal/>
    </border>
    <border>
      <left/>
      <right/>
      <top style="medium">
        <color indexed="64"/>
      </top>
      <bottom/>
      <diagonal/>
    </border>
    <border>
      <left/>
      <right style="thin">
        <color indexed="64"/>
      </right>
      <top style="medium">
        <color indexed="64"/>
      </top>
      <bottom/>
      <diagonal/>
    </border>
    <border>
      <left/>
      <right style="medium">
        <color indexed="64"/>
      </right>
      <top/>
      <bottom/>
      <diagonal/>
    </border>
    <border>
      <left/>
      <right/>
      <top/>
      <bottom style="thin">
        <color indexed="64"/>
      </bottom>
      <diagonal/>
    </border>
    <border>
      <left/>
      <right style="medium">
        <color indexed="64"/>
      </right>
      <top style="medium">
        <color indexed="64"/>
      </top>
      <bottom style="thin">
        <color indexed="64"/>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rgb="FF000000"/>
      </left>
      <right style="thin">
        <color rgb="FF000000"/>
      </right>
      <top style="thin">
        <color rgb="FF000000"/>
      </top>
      <bottom style="thin">
        <color rgb="FF000000"/>
      </bottom>
      <diagonal/>
    </border>
    <border>
      <left style="thin">
        <color indexed="8"/>
      </left>
      <right/>
      <top style="thin">
        <color indexed="8"/>
      </top>
      <bottom/>
      <diagonal/>
    </border>
    <border>
      <left style="thin">
        <color indexed="65"/>
      </left>
      <right/>
      <top style="thin">
        <color indexed="8"/>
      </top>
      <bottom/>
      <diagonal/>
    </border>
    <border>
      <left style="thin">
        <color indexed="65"/>
      </left>
      <right style="thin">
        <color indexed="8"/>
      </right>
      <top style="thin">
        <color indexed="8"/>
      </top>
      <bottom/>
      <diagonal/>
    </border>
    <border>
      <left style="thin">
        <color indexed="8"/>
      </left>
      <right/>
      <top style="thin">
        <color indexed="65"/>
      </top>
      <bottom/>
      <diagonal/>
    </border>
    <border>
      <left style="thin">
        <color indexed="65"/>
      </left>
      <right/>
      <top style="thin">
        <color indexed="65"/>
      </top>
      <bottom/>
      <diagonal/>
    </border>
    <border>
      <left style="thin">
        <color indexed="65"/>
      </left>
      <right style="thin">
        <color indexed="8"/>
      </right>
      <top style="thin">
        <color indexed="65"/>
      </top>
      <bottom/>
      <diagonal/>
    </border>
    <border>
      <left style="thin">
        <color indexed="8"/>
      </left>
      <right/>
      <top style="thin">
        <color indexed="65"/>
      </top>
      <bottom style="thin">
        <color indexed="8"/>
      </bottom>
      <diagonal/>
    </border>
    <border>
      <left style="thin">
        <color indexed="65"/>
      </left>
      <right/>
      <top style="thin">
        <color indexed="65"/>
      </top>
      <bottom style="thin">
        <color indexed="8"/>
      </bottom>
      <diagonal/>
    </border>
    <border>
      <left style="thin">
        <color indexed="65"/>
      </left>
      <right style="thin">
        <color indexed="8"/>
      </right>
      <top style="thin">
        <color indexed="65"/>
      </top>
      <bottom style="thin">
        <color indexed="8"/>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s>
  <cellStyleXfs count="14">
    <xf numFmtId="0" fontId="0" fillId="0" borderId="0"/>
    <xf numFmtId="0" fontId="2" fillId="0" borderId="0"/>
    <xf numFmtId="164" fontId="6" fillId="0" borderId="0"/>
    <xf numFmtId="164" fontId="6" fillId="0" borderId="0"/>
    <xf numFmtId="164" fontId="6" fillId="0" borderId="0"/>
    <xf numFmtId="164" fontId="6" fillId="0" borderId="0"/>
    <xf numFmtId="0" fontId="1" fillId="0" borderId="0"/>
    <xf numFmtId="0" fontId="6" fillId="0" borderId="0"/>
    <xf numFmtId="9" fontId="2" fillId="0" borderId="0" applyFont="0" applyFill="0" applyBorder="0" applyAlignment="0" applyProtection="0"/>
    <xf numFmtId="9" fontId="6" fillId="0" borderId="0" applyFont="0" applyFill="0" applyBorder="0" applyAlignment="0" applyProtection="0"/>
    <xf numFmtId="0" fontId="6" fillId="0" borderId="0"/>
    <xf numFmtId="9" fontId="6" fillId="0" borderId="0" applyFont="0" applyFill="0" applyBorder="0" applyAlignment="0" applyProtection="0"/>
    <xf numFmtId="0" fontId="18" fillId="0" borderId="0" applyFill="0" applyProtection="0"/>
    <xf numFmtId="0" fontId="23" fillId="0" borderId="0"/>
  </cellStyleXfs>
  <cellXfs count="517">
    <xf numFmtId="0" fontId="0" fillId="0" borderId="0" xfId="0"/>
    <xf numFmtId="164" fontId="9" fillId="3" borderId="15" xfId="2" applyFont="1" applyFill="1" applyBorder="1" applyProtection="1">
      <protection hidden="1"/>
    </xf>
    <xf numFmtId="164" fontId="10" fillId="3" borderId="15" xfId="2" applyFont="1" applyFill="1" applyBorder="1" applyAlignment="1" applyProtection="1">
      <alignment horizontal="left" indent="4"/>
      <protection hidden="1"/>
    </xf>
    <xf numFmtId="164" fontId="11" fillId="3" borderId="15" xfId="2" applyFont="1" applyFill="1" applyBorder="1" applyProtection="1">
      <protection hidden="1"/>
    </xf>
    <xf numFmtId="164" fontId="10" fillId="3" borderId="16" xfId="2" applyFont="1" applyFill="1" applyBorder="1" applyAlignment="1" applyProtection="1">
      <alignment horizontal="left" indent="4"/>
      <protection hidden="1"/>
    </xf>
    <xf numFmtId="164" fontId="10" fillId="3" borderId="17" xfId="2" applyFont="1" applyFill="1" applyBorder="1" applyAlignment="1" applyProtection="1">
      <alignment horizontal="left" indent="4"/>
      <protection hidden="1"/>
    </xf>
    <xf numFmtId="0" fontId="2" fillId="0" borderId="0" xfId="1"/>
    <xf numFmtId="0" fontId="5" fillId="0" borderId="1" xfId="1" applyFont="1" applyBorder="1" applyAlignment="1">
      <alignment horizontal="center"/>
    </xf>
    <xf numFmtId="0" fontId="5" fillId="5" borderId="6" xfId="1" applyFont="1" applyFill="1" applyBorder="1" applyAlignment="1">
      <alignment horizontal="center" vertical="center" wrapText="1"/>
    </xf>
    <xf numFmtId="0" fontId="5" fillId="5" borderId="21" xfId="1" applyFont="1" applyFill="1" applyBorder="1" applyAlignment="1">
      <alignment horizontal="center" vertical="center" wrapText="1"/>
    </xf>
    <xf numFmtId="0" fontId="5" fillId="5" borderId="22" xfId="1" applyFont="1" applyFill="1" applyBorder="1" applyAlignment="1">
      <alignment horizontal="center" vertical="center" wrapText="1"/>
    </xf>
    <xf numFmtId="0" fontId="6" fillId="0" borderId="0" xfId="10"/>
    <xf numFmtId="0" fontId="3" fillId="0" borderId="0" xfId="10" applyFont="1" applyAlignment="1">
      <alignment horizontal="left"/>
    </xf>
    <xf numFmtId="0" fontId="4" fillId="0" borderId="0" xfId="10" applyFont="1" applyAlignment="1">
      <alignment horizontal="left"/>
    </xf>
    <xf numFmtId="164" fontId="12" fillId="0" borderId="0" xfId="0" applyNumberFormat="1" applyFont="1" applyProtection="1">
      <protection locked="0"/>
    </xf>
    <xf numFmtId="164" fontId="8" fillId="0" borderId="0" xfId="0" applyNumberFormat="1" applyFont="1" applyProtection="1">
      <protection locked="0"/>
    </xf>
    <xf numFmtId="164" fontId="12" fillId="0" borderId="0" xfId="0" applyNumberFormat="1" applyFont="1" applyAlignment="1" applyProtection="1">
      <alignment vertical="top"/>
      <protection locked="0"/>
    </xf>
    <xf numFmtId="165" fontId="12" fillId="0" borderId="0" xfId="0" applyNumberFormat="1" applyFont="1" applyAlignment="1" applyProtection="1">
      <alignment horizontal="left" vertical="center"/>
      <protection locked="0"/>
    </xf>
    <xf numFmtId="0" fontId="5" fillId="0" borderId="0" xfId="10" applyFont="1"/>
    <xf numFmtId="0" fontId="7" fillId="0" borderId="0" xfId="1" applyFont="1" applyAlignment="1">
      <alignment horizontal="center"/>
    </xf>
    <xf numFmtId="0" fontId="0" fillId="0" borderId="0" xfId="0" applyAlignment="1">
      <alignment vertical="center"/>
    </xf>
    <xf numFmtId="0" fontId="6" fillId="0" borderId="23" xfId="10" applyBorder="1"/>
    <xf numFmtId="0" fontId="6" fillId="0" borderId="3" xfId="10" applyBorder="1"/>
    <xf numFmtId="0" fontId="0" fillId="0" borderId="23" xfId="0" applyBorder="1"/>
    <xf numFmtId="0" fontId="5" fillId="0" borderId="5" xfId="1" applyFont="1" applyBorder="1" applyAlignment="1">
      <alignment horizontal="center"/>
    </xf>
    <xf numFmtId="0" fontId="2" fillId="0" borderId="3" xfId="10" applyFont="1" applyBorder="1"/>
    <xf numFmtId="0" fontId="2" fillId="0" borderId="23" xfId="10" applyFont="1" applyBorder="1"/>
    <xf numFmtId="0" fontId="2" fillId="0" borderId="24" xfId="10" applyFont="1" applyBorder="1"/>
    <xf numFmtId="0" fontId="2" fillId="0" borderId="28" xfId="10" applyFont="1" applyBorder="1"/>
    <xf numFmtId="0" fontId="0" fillId="0" borderId="8" xfId="0" applyBorder="1"/>
    <xf numFmtId="0" fontId="2" fillId="0" borderId="8" xfId="1" applyBorder="1" applyAlignment="1">
      <alignment horizontal="center" vertical="center" wrapText="1"/>
    </xf>
    <xf numFmtId="0" fontId="2" fillId="0" borderId="33" xfId="1" applyBorder="1" applyAlignment="1">
      <alignment horizontal="center" vertical="center" wrapText="1"/>
    </xf>
    <xf numFmtId="0" fontId="5" fillId="5" borderId="27" xfId="1" applyFont="1" applyFill="1" applyBorder="1" applyAlignment="1">
      <alignment horizontal="center" vertical="center" wrapText="1"/>
    </xf>
    <xf numFmtId="0" fontId="5" fillId="5" borderId="3" xfId="1" applyFont="1" applyFill="1" applyBorder="1" applyAlignment="1">
      <alignment horizontal="left" vertical="center" wrapText="1"/>
    </xf>
    <xf numFmtId="0" fontId="5" fillId="5" borderId="2" xfId="1" applyFont="1" applyFill="1" applyBorder="1" applyAlignment="1">
      <alignment horizontal="left" vertical="center" wrapText="1"/>
    </xf>
    <xf numFmtId="0" fontId="5" fillId="5" borderId="7" xfId="1" applyFont="1" applyFill="1" applyBorder="1" applyAlignment="1">
      <alignment horizontal="center"/>
    </xf>
    <xf numFmtId="0" fontId="0" fillId="0" borderId="8"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vertical="center"/>
    </xf>
    <xf numFmtId="0" fontId="2" fillId="0" borderId="14" xfId="10" applyFont="1" applyBorder="1"/>
    <xf numFmtId="0" fontId="16" fillId="0" borderId="0" xfId="0" applyFont="1"/>
    <xf numFmtId="0" fontId="16" fillId="0" borderId="0" xfId="0" applyFont="1" applyAlignment="1">
      <alignment horizontal="center" vertical="center"/>
    </xf>
    <xf numFmtId="0" fontId="2" fillId="0" borderId="10" xfId="1" applyBorder="1" applyAlignment="1">
      <alignment horizontal="center" vertical="center" wrapText="1"/>
    </xf>
    <xf numFmtId="0" fontId="2" fillId="0" borderId="8" xfId="10" applyFont="1" applyBorder="1"/>
    <xf numFmtId="0" fontId="6" fillId="0" borderId="8" xfId="10" applyBorder="1"/>
    <xf numFmtId="0" fontId="2" fillId="0" borderId="34" xfId="10" applyFont="1" applyBorder="1"/>
    <xf numFmtId="0" fontId="0" fillId="0" borderId="34" xfId="0" applyBorder="1"/>
    <xf numFmtId="0" fontId="2" fillId="0" borderId="25" xfId="10" applyFont="1" applyBorder="1" applyAlignment="1">
      <alignment horizontal="left"/>
    </xf>
    <xf numFmtId="0" fontId="2" fillId="0" borderId="4" xfId="10" applyFont="1" applyBorder="1" applyAlignment="1">
      <alignment horizontal="left"/>
    </xf>
    <xf numFmtId="0" fontId="2" fillId="0" borderId="30" xfId="10" applyFont="1" applyBorder="1" applyAlignment="1">
      <alignment horizontal="left"/>
    </xf>
    <xf numFmtId="0" fontId="2" fillId="0" borderId="3" xfId="10" applyFont="1" applyBorder="1" applyAlignment="1">
      <alignment horizontal="left"/>
    </xf>
    <xf numFmtId="0" fontId="2" fillId="0" borderId="24" xfId="10" applyFont="1" applyBorder="1" applyAlignment="1">
      <alignment horizontal="left"/>
    </xf>
    <xf numFmtId="0" fontId="2" fillId="0" borderId="23" xfId="10" applyFont="1" applyBorder="1" applyAlignment="1">
      <alignment horizontal="left"/>
    </xf>
    <xf numFmtId="0" fontId="2" fillId="0" borderId="28" xfId="10" applyFont="1" applyBorder="1" applyAlignment="1">
      <alignment horizontal="left"/>
    </xf>
    <xf numFmtId="0" fontId="2" fillId="2" borderId="23" xfId="10" applyFont="1" applyFill="1" applyBorder="1"/>
    <xf numFmtId="0" fontId="2" fillId="0" borderId="12" xfId="10" applyFont="1" applyBorder="1"/>
    <xf numFmtId="0" fontId="2" fillId="0" borderId="0" xfId="10" applyFont="1"/>
    <xf numFmtId="0" fontId="2" fillId="4" borderId="34" xfId="1" applyFill="1" applyBorder="1" applyAlignment="1">
      <alignment horizontal="center"/>
    </xf>
    <xf numFmtId="0" fontId="2" fillId="5" borderId="18" xfId="1" applyFill="1" applyBorder="1" applyAlignment="1">
      <alignment horizontal="center"/>
    </xf>
    <xf numFmtId="0" fontId="2" fillId="5" borderId="37" xfId="1" applyFill="1" applyBorder="1" applyAlignment="1">
      <alignment horizontal="center"/>
    </xf>
    <xf numFmtId="0" fontId="2" fillId="5" borderId="35" xfId="1" applyFill="1" applyBorder="1" applyAlignment="1">
      <alignment horizontal="center"/>
    </xf>
    <xf numFmtId="0" fontId="2" fillId="5" borderId="36" xfId="1" applyFill="1" applyBorder="1" applyAlignment="1">
      <alignment horizontal="center"/>
    </xf>
    <xf numFmtId="0" fontId="0" fillId="0" borderId="8" xfId="0" applyBorder="1" applyAlignment="1">
      <alignment horizontal="center" vertical="center" wrapText="1"/>
    </xf>
    <xf numFmtId="0" fontId="0" fillId="0" borderId="39" xfId="0" applyBorder="1"/>
    <xf numFmtId="0" fontId="2" fillId="0" borderId="38" xfId="1" applyBorder="1" applyAlignment="1">
      <alignment horizontal="center" vertical="center" wrapText="1"/>
    </xf>
    <xf numFmtId="0" fontId="16" fillId="0" borderId="8" xfId="1" applyFont="1" applyBorder="1" applyAlignment="1">
      <alignment horizontal="center" vertical="center" wrapText="1"/>
    </xf>
    <xf numFmtId="0" fontId="16" fillId="0" borderId="0" xfId="1" applyFont="1"/>
    <xf numFmtId="0" fontId="0" fillId="0" borderId="0" xfId="0" applyAlignment="1">
      <alignment horizontal="center" vertical="center" wrapText="1"/>
    </xf>
    <xf numFmtId="0" fontId="0" fillId="0" borderId="8" xfId="0" applyBorder="1" applyAlignment="1">
      <alignment vertical="center" wrapText="1"/>
    </xf>
    <xf numFmtId="0" fontId="16" fillId="0" borderId="0" xfId="10" applyFont="1"/>
    <xf numFmtId="0" fontId="16" fillId="0" borderId="0" xfId="10" applyFont="1" applyAlignment="1">
      <alignment horizontal="left"/>
    </xf>
    <xf numFmtId="0" fontId="16" fillId="0" borderId="0" xfId="1" applyFont="1" applyAlignment="1">
      <alignment horizontal="center" vertical="center"/>
    </xf>
    <xf numFmtId="0" fontId="21" fillId="0" borderId="0" xfId="1" applyFont="1" applyAlignment="1">
      <alignment horizontal="center"/>
    </xf>
    <xf numFmtId="0" fontId="22" fillId="0" borderId="0" xfId="0" applyFont="1"/>
    <xf numFmtId="0" fontId="23" fillId="0" borderId="0" xfId="13"/>
    <xf numFmtId="0" fontId="0" fillId="0" borderId="0" xfId="0" applyAlignment="1">
      <alignment wrapText="1"/>
    </xf>
    <xf numFmtId="0" fontId="5" fillId="0" borderId="28" xfId="1" applyFont="1" applyBorder="1" applyAlignment="1">
      <alignment horizontal="center"/>
    </xf>
    <xf numFmtId="0" fontId="5" fillId="0" borderId="8" xfId="1" applyFont="1" applyBorder="1" applyAlignment="1">
      <alignment horizontal="center"/>
    </xf>
    <xf numFmtId="0" fontId="2" fillId="0" borderId="8" xfId="1" applyBorder="1" applyAlignment="1">
      <alignment horizontal="center"/>
    </xf>
    <xf numFmtId="0" fontId="2" fillId="0" borderId="8" xfId="10" applyFont="1" applyBorder="1" applyAlignment="1">
      <alignment horizontal="left"/>
    </xf>
    <xf numFmtId="0" fontId="27" fillId="0" borderId="0" xfId="1" applyFont="1"/>
    <xf numFmtId="0" fontId="27" fillId="0" borderId="0" xfId="0" applyFont="1"/>
    <xf numFmtId="0" fontId="14" fillId="0" borderId="8" xfId="0" applyFont="1" applyBorder="1" applyAlignment="1" applyProtection="1">
      <alignment horizontal="center" vertical="center"/>
      <protection locked="0"/>
    </xf>
    <xf numFmtId="0" fontId="19" fillId="0" borderId="8" xfId="0" applyFont="1" applyBorder="1" applyAlignment="1">
      <alignment horizontal="center" vertical="center"/>
    </xf>
    <xf numFmtId="0" fontId="0" fillId="0" borderId="40" xfId="0" applyBorder="1" applyAlignment="1">
      <alignment horizontal="center" vertical="center"/>
    </xf>
    <xf numFmtId="0" fontId="23" fillId="0" borderId="0" xfId="0" applyFont="1"/>
    <xf numFmtId="0" fontId="0" fillId="0" borderId="0" xfId="0" applyAlignment="1">
      <alignment horizontal="center"/>
    </xf>
    <xf numFmtId="0" fontId="0" fillId="0" borderId="41" xfId="0" applyBorder="1"/>
    <xf numFmtId="0" fontId="0" fillId="0" borderId="42" xfId="0" applyBorder="1"/>
    <xf numFmtId="0" fontId="0" fillId="0" borderId="43" xfId="0" applyBorder="1"/>
    <xf numFmtId="0" fontId="0" fillId="0" borderId="44" xfId="0" applyBorder="1"/>
    <xf numFmtId="0" fontId="0" fillId="0" borderId="45" xfId="0" applyBorder="1"/>
    <xf numFmtId="0" fontId="0" fillId="0" borderId="46" xfId="0" applyBorder="1"/>
    <xf numFmtId="0" fontId="0" fillId="0" borderId="47" xfId="0" applyBorder="1"/>
    <xf numFmtId="0" fontId="0" fillId="0" borderId="48" xfId="0" applyBorder="1"/>
    <xf numFmtId="0" fontId="0" fillId="0" borderId="49" xfId="0" applyBorder="1"/>
    <xf numFmtId="0" fontId="14" fillId="0" borderId="8" xfId="0" applyFont="1" applyBorder="1" applyAlignment="1" applyProtection="1">
      <alignment vertical="center"/>
      <protection locked="0" hidden="1"/>
    </xf>
    <xf numFmtId="0" fontId="27" fillId="0" borderId="0" xfId="0" applyFont="1" applyAlignment="1">
      <alignment horizontal="center" vertical="center"/>
    </xf>
    <xf numFmtId="0" fontId="0" fillId="0" borderId="8" xfId="0" applyBorder="1" applyAlignment="1">
      <alignment vertical="center"/>
    </xf>
    <xf numFmtId="0" fontId="0" fillId="0" borderId="8" xfId="0" applyBorder="1" applyAlignment="1">
      <alignment horizontal="center" vertical="center" indent="1"/>
    </xf>
    <xf numFmtId="0" fontId="30" fillId="0" borderId="0" xfId="1" applyFont="1"/>
    <xf numFmtId="0" fontId="30" fillId="4" borderId="0" xfId="1" applyFont="1" applyFill="1"/>
    <xf numFmtId="0" fontId="30" fillId="4" borderId="0" xfId="1" applyFont="1" applyFill="1" applyAlignment="1">
      <alignment horizontal="left"/>
    </xf>
    <xf numFmtId="0" fontId="30" fillId="4" borderId="0" xfId="1" applyFont="1" applyFill="1" applyAlignment="1">
      <alignment horizontal="left" vertical="center"/>
    </xf>
    <xf numFmtId="0" fontId="23" fillId="0" borderId="8" xfId="1" applyFont="1" applyBorder="1" applyAlignment="1">
      <alignment horizontal="center" vertical="center" wrapText="1"/>
    </xf>
    <xf numFmtId="0" fontId="20" fillId="5" borderId="8" xfId="1" applyFont="1" applyFill="1" applyBorder="1" applyAlignment="1">
      <alignment horizontal="center" vertical="center" wrapText="1"/>
    </xf>
    <xf numFmtId="0" fontId="19" fillId="0" borderId="34" xfId="0" applyFont="1" applyBorder="1" applyAlignment="1">
      <alignment horizontal="center" vertical="center"/>
    </xf>
    <xf numFmtId="0" fontId="36" fillId="0" borderId="8" xfId="0" applyFont="1" applyBorder="1" applyAlignment="1" applyProtection="1">
      <alignment vertical="center" wrapText="1"/>
      <protection locked="0"/>
    </xf>
    <xf numFmtId="0" fontId="25" fillId="0" borderId="8" xfId="0" applyFont="1" applyBorder="1" applyAlignment="1" applyProtection="1">
      <alignment vertical="center" wrapText="1"/>
      <protection locked="0"/>
    </xf>
    <xf numFmtId="0" fontId="23" fillId="0" borderId="50" xfId="1" applyFont="1" applyBorder="1" applyAlignment="1">
      <alignment horizontal="center" vertical="center" wrapText="1"/>
    </xf>
    <xf numFmtId="0" fontId="16" fillId="0" borderId="50" xfId="1" applyFont="1" applyBorder="1" applyAlignment="1">
      <alignment horizontal="center" vertical="center" wrapText="1"/>
    </xf>
    <xf numFmtId="0" fontId="0" fillId="0" borderId="50" xfId="0" applyBorder="1" applyAlignment="1" applyProtection="1">
      <alignment horizontal="center" vertical="center" wrapText="1"/>
      <protection locked="0"/>
    </xf>
    <xf numFmtId="0" fontId="0" fillId="0" borderId="50" xfId="0" applyBorder="1" applyAlignment="1">
      <alignment horizontal="center" vertical="center"/>
    </xf>
    <xf numFmtId="0" fontId="0" fillId="0" borderId="50" xfId="0" applyBorder="1" applyAlignment="1">
      <alignment horizontal="center" vertical="center" wrapText="1"/>
    </xf>
    <xf numFmtId="0" fontId="19" fillId="0" borderId="50" xfId="0" applyFont="1" applyBorder="1" applyAlignment="1">
      <alignment horizontal="center" vertical="center"/>
    </xf>
    <xf numFmtId="0" fontId="0" fillId="0" borderId="50" xfId="0" applyBorder="1" applyAlignment="1">
      <alignment vertical="center"/>
    </xf>
    <xf numFmtId="0" fontId="0" fillId="0" borderId="50" xfId="0" applyBorder="1"/>
    <xf numFmtId="0" fontId="20" fillId="5" borderId="8" xfId="1" applyFont="1" applyFill="1" applyBorder="1" applyAlignment="1">
      <alignment horizontal="center" vertical="center"/>
    </xf>
    <xf numFmtId="0" fontId="19" fillId="0" borderId="8" xfId="0" applyFont="1" applyBorder="1" applyAlignment="1" applyProtection="1">
      <alignment vertical="center" wrapText="1"/>
      <protection locked="0"/>
    </xf>
    <xf numFmtId="0" fontId="16" fillId="0" borderId="8" xfId="0" applyFont="1" applyBorder="1" applyAlignment="1">
      <alignment horizontal="center" vertical="center" wrapText="1"/>
    </xf>
    <xf numFmtId="0" fontId="36" fillId="0" borderId="50" xfId="0" applyFont="1" applyBorder="1" applyAlignment="1" applyProtection="1">
      <alignment vertical="center" wrapText="1"/>
      <protection locked="0"/>
    </xf>
    <xf numFmtId="0" fontId="36" fillId="0" borderId="51" xfId="0" applyFont="1" applyBorder="1" applyAlignment="1">
      <alignment vertical="center"/>
    </xf>
    <xf numFmtId="0" fontId="36" fillId="0" borderId="51" xfId="0" applyFont="1" applyBorder="1" applyAlignment="1" applyProtection="1">
      <alignment vertical="center" wrapText="1"/>
      <protection locked="0"/>
    </xf>
    <xf numFmtId="0" fontId="0" fillId="0" borderId="8" xfId="0" applyBorder="1" applyAlignment="1" applyProtection="1">
      <alignment horizontal="center" vertical="center"/>
      <protection locked="0"/>
    </xf>
    <xf numFmtId="0" fontId="24" fillId="0" borderId="8" xfId="0" applyFont="1" applyBorder="1" applyAlignment="1">
      <alignment horizontal="center" vertical="center" wrapText="1"/>
    </xf>
    <xf numFmtId="0" fontId="26" fillId="0" borderId="50" xfId="1" applyFont="1" applyBorder="1" applyAlignment="1">
      <alignment horizontal="center" vertical="center" wrapText="1"/>
    </xf>
    <xf numFmtId="0" fontId="26" fillId="0" borderId="8" xfId="0" applyFont="1" applyBorder="1" applyAlignment="1">
      <alignment horizontal="center" vertical="center"/>
    </xf>
    <xf numFmtId="0" fontId="26" fillId="0" borderId="8" xfId="0" applyFont="1" applyBorder="1" applyAlignment="1" applyProtection="1">
      <alignment horizontal="center" vertical="center"/>
      <protection locked="0"/>
    </xf>
    <xf numFmtId="0" fontId="26" fillId="0" borderId="8" xfId="0" applyFont="1" applyBorder="1" applyAlignment="1">
      <alignment horizontal="center" vertical="center" wrapText="1"/>
    </xf>
    <xf numFmtId="0" fontId="36" fillId="0" borderId="8" xfId="0" applyFont="1" applyBorder="1" applyAlignment="1">
      <alignment vertical="center" wrapText="1"/>
    </xf>
    <xf numFmtId="0" fontId="36" fillId="0" borderId="50" xfId="0" applyFont="1" applyBorder="1" applyAlignment="1">
      <alignment vertical="center" wrapText="1"/>
    </xf>
    <xf numFmtId="0" fontId="16" fillId="0" borderId="0" xfId="1" applyFont="1" applyAlignment="1">
      <alignment horizontal="center" vertical="center" wrapText="1"/>
    </xf>
    <xf numFmtId="0" fontId="20" fillId="5" borderId="50" xfId="1" applyFont="1" applyFill="1" applyBorder="1" applyAlignment="1">
      <alignment horizontal="center" vertical="center" wrapText="1"/>
    </xf>
    <xf numFmtId="0" fontId="19" fillId="0" borderId="50" xfId="0" applyFont="1" applyBorder="1" applyAlignment="1">
      <alignment vertical="center" wrapText="1"/>
    </xf>
    <xf numFmtId="0" fontId="38" fillId="0" borderId="50" xfId="0" applyFont="1" applyBorder="1" applyAlignment="1">
      <alignment vertical="center" wrapText="1"/>
    </xf>
    <xf numFmtId="0" fontId="0" fillId="0" borderId="34" xfId="1" applyFont="1" applyBorder="1" applyAlignment="1">
      <alignment horizontal="center" vertical="center"/>
    </xf>
    <xf numFmtId="0" fontId="16" fillId="0" borderId="8" xfId="10" applyFont="1" applyBorder="1"/>
    <xf numFmtId="0" fontId="16" fillId="0" borderId="8" xfId="10" applyFont="1" applyBorder="1" applyAlignment="1">
      <alignment horizontal="center" vertical="center"/>
    </xf>
    <xf numFmtId="0" fontId="16" fillId="0" borderId="8" xfId="10" applyFont="1" applyBorder="1" applyAlignment="1">
      <alignment vertical="center"/>
    </xf>
    <xf numFmtId="0" fontId="26" fillId="0" borderId="8" xfId="0" applyFont="1" applyBorder="1" applyAlignment="1">
      <alignment vertical="center" wrapText="1"/>
    </xf>
    <xf numFmtId="0" fontId="30" fillId="0" borderId="0" xfId="0" applyFont="1" applyAlignment="1">
      <alignment horizontal="center" vertical="center"/>
    </xf>
    <xf numFmtId="0" fontId="16" fillId="0" borderId="0" xfId="10" applyFont="1" applyAlignment="1">
      <alignment vertical="center"/>
    </xf>
    <xf numFmtId="0" fontId="16" fillId="0" borderId="0" xfId="1" applyFont="1" applyAlignment="1">
      <alignment vertical="center"/>
    </xf>
    <xf numFmtId="0" fontId="20" fillId="5" borderId="8" xfId="1" applyFont="1" applyFill="1" applyBorder="1" applyAlignment="1">
      <alignment vertical="center"/>
    </xf>
    <xf numFmtId="0" fontId="21" fillId="0" borderId="0" xfId="10" applyFont="1" applyAlignment="1">
      <alignment vertical="center"/>
    </xf>
    <xf numFmtId="0" fontId="15" fillId="0" borderId="0" xfId="0" applyFont="1" applyAlignment="1">
      <alignment vertical="center" wrapText="1"/>
    </xf>
    <xf numFmtId="0" fontId="14" fillId="0" borderId="0" xfId="0" applyFont="1" applyAlignment="1">
      <alignment vertical="center" wrapText="1"/>
    </xf>
    <xf numFmtId="0" fontId="21" fillId="0" borderId="0" xfId="10" applyFont="1" applyAlignment="1">
      <alignment vertical="center" wrapText="1"/>
    </xf>
    <xf numFmtId="0" fontId="26" fillId="0" borderId="0" xfId="10" applyFont="1" applyAlignment="1">
      <alignment vertical="center" wrapText="1"/>
    </xf>
    <xf numFmtId="164" fontId="21" fillId="0" borderId="0" xfId="0" applyNumberFormat="1" applyFont="1" applyAlignment="1" applyProtection="1">
      <alignment vertical="center"/>
      <protection locked="0"/>
    </xf>
    <xf numFmtId="164" fontId="21" fillId="0" borderId="0" xfId="0" applyNumberFormat="1" applyFont="1" applyAlignment="1" applyProtection="1">
      <alignment vertical="center" wrapText="1"/>
      <protection locked="0"/>
    </xf>
    <xf numFmtId="164" fontId="26" fillId="0" borderId="0" xfId="0" applyNumberFormat="1" applyFont="1" applyAlignment="1" applyProtection="1">
      <alignment vertical="center" wrapText="1"/>
      <protection locked="0"/>
    </xf>
    <xf numFmtId="0" fontId="21" fillId="0" borderId="0" xfId="1" applyFont="1" applyAlignment="1">
      <alignment vertical="center" wrapText="1"/>
    </xf>
    <xf numFmtId="0" fontId="26" fillId="0" borderId="0" xfId="1" applyFont="1" applyAlignment="1">
      <alignment vertical="center" wrapText="1"/>
    </xf>
    <xf numFmtId="0" fontId="28" fillId="0" borderId="8" xfId="0" applyFont="1" applyBorder="1" applyAlignment="1" applyProtection="1">
      <alignment vertical="center" wrapText="1"/>
      <protection locked="0"/>
    </xf>
    <xf numFmtId="0" fontId="0" fillId="0" borderId="50" xfId="0" applyBorder="1" applyAlignment="1" applyProtection="1">
      <alignment vertical="center" wrapText="1"/>
      <protection locked="0"/>
    </xf>
    <xf numFmtId="0" fontId="31" fillId="0" borderId="8" xfId="0" applyFont="1" applyBorder="1" applyAlignment="1" applyProtection="1">
      <alignment vertical="center" wrapText="1"/>
      <protection locked="0"/>
    </xf>
    <xf numFmtId="0" fontId="19" fillId="0" borderId="34" xfId="0" applyFont="1" applyBorder="1" applyAlignment="1">
      <alignment vertical="center" wrapText="1"/>
    </xf>
    <xf numFmtId="0" fontId="15" fillId="0" borderId="50" xfId="0" applyFont="1" applyBorder="1" applyAlignment="1">
      <alignment vertical="center" wrapText="1"/>
    </xf>
    <xf numFmtId="0" fontId="15" fillId="0" borderId="8" xfId="0" applyFont="1" applyBorder="1" applyAlignment="1">
      <alignment vertical="center" wrapText="1"/>
    </xf>
    <xf numFmtId="0" fontId="26" fillId="4" borderId="8" xfId="1" applyFont="1" applyFill="1" applyBorder="1" applyAlignment="1">
      <alignment horizontal="center" vertical="center" wrapText="1"/>
    </xf>
    <xf numFmtId="0" fontId="26" fillId="4" borderId="50" xfId="1" applyFont="1" applyFill="1" applyBorder="1" applyAlignment="1">
      <alignment horizontal="center" vertical="center" wrapText="1"/>
    </xf>
    <xf numFmtId="0" fontId="16" fillId="0" borderId="8" xfId="10" applyFont="1" applyBorder="1" applyAlignment="1">
      <alignment horizontal="center" vertical="center" wrapText="1"/>
    </xf>
    <xf numFmtId="20" fontId="28" fillId="0" borderId="8" xfId="0" applyNumberFormat="1" applyFont="1" applyBorder="1" applyAlignment="1" applyProtection="1">
      <alignment horizontal="center" vertical="center"/>
      <protection locked="0" hidden="1"/>
    </xf>
    <xf numFmtId="0" fontId="28" fillId="0" borderId="8" xfId="0" applyFont="1" applyBorder="1" applyAlignment="1" applyProtection="1">
      <alignment horizontal="center" vertical="center"/>
      <protection locked="0"/>
    </xf>
    <xf numFmtId="0" fontId="37" fillId="0" borderId="8" xfId="0" applyFont="1" applyBorder="1" applyAlignment="1">
      <alignment horizontal="center" vertical="center" wrapText="1"/>
    </xf>
    <xf numFmtId="14" fontId="28" fillId="0" borderId="8" xfId="0" applyNumberFormat="1" applyFont="1" applyBorder="1" applyAlignment="1" applyProtection="1">
      <alignment horizontal="center" vertical="center"/>
      <protection locked="0" hidden="1"/>
    </xf>
    <xf numFmtId="20" fontId="14" fillId="0" borderId="8" xfId="0" applyNumberFormat="1" applyFont="1" applyBorder="1" applyAlignment="1" applyProtection="1">
      <alignment horizontal="center" vertical="center"/>
      <protection locked="0" hidden="1"/>
    </xf>
    <xf numFmtId="0" fontId="21" fillId="0" borderId="0" xfId="10" applyFont="1" applyAlignment="1">
      <alignment horizontal="center" vertical="center"/>
    </xf>
    <xf numFmtId="164" fontId="16" fillId="0" borderId="0" xfId="0" applyNumberFormat="1" applyFont="1" applyAlignment="1" applyProtection="1">
      <alignment horizontal="center" vertical="center"/>
      <protection locked="0"/>
    </xf>
    <xf numFmtId="0" fontId="16" fillId="0" borderId="0" xfId="10" applyFont="1" applyAlignment="1">
      <alignment horizontal="center" vertical="center"/>
    </xf>
    <xf numFmtId="0" fontId="25" fillId="0" borderId="8" xfId="0" applyFont="1" applyBorder="1" applyAlignment="1" applyProtection="1">
      <alignment horizontal="center" vertical="center"/>
      <protection locked="0"/>
    </xf>
    <xf numFmtId="0" fontId="25" fillId="0" borderId="50" xfId="0" applyFont="1" applyBorder="1" applyAlignment="1" applyProtection="1">
      <alignment horizontal="center" vertical="center"/>
      <protection locked="0"/>
    </xf>
    <xf numFmtId="165" fontId="21" fillId="0" borderId="0" xfId="0" applyNumberFormat="1" applyFont="1" applyAlignment="1" applyProtection="1">
      <alignment horizontal="center" vertical="center"/>
      <protection locked="0"/>
    </xf>
    <xf numFmtId="14" fontId="24" fillId="0" borderId="8" xfId="0" applyNumberFormat="1" applyFont="1" applyBorder="1" applyAlignment="1">
      <alignment horizontal="center" vertical="center"/>
    </xf>
    <xf numFmtId="14" fontId="24" fillId="0" borderId="51" xfId="0" applyNumberFormat="1" applyFont="1" applyBorder="1" applyAlignment="1" applyProtection="1">
      <alignment horizontal="center" vertical="center"/>
      <protection locked="0" hidden="1"/>
    </xf>
    <xf numFmtId="14" fontId="24" fillId="0" borderId="8" xfId="0" applyNumberFormat="1" applyFont="1" applyBorder="1" applyAlignment="1" applyProtection="1">
      <alignment horizontal="center" vertical="center"/>
      <protection locked="0" hidden="1"/>
    </xf>
    <xf numFmtId="14" fontId="14" fillId="0" borderId="8" xfId="0" applyNumberFormat="1" applyFont="1" applyBorder="1" applyAlignment="1" applyProtection="1">
      <alignment horizontal="center" vertical="center"/>
      <protection locked="0" hidden="1"/>
    </xf>
    <xf numFmtId="14" fontId="0" fillId="0" borderId="50" xfId="0" applyNumberFormat="1" applyBorder="1" applyAlignment="1">
      <alignment horizontal="center" vertical="center"/>
    </xf>
    <xf numFmtId="0" fontId="21" fillId="0" borderId="0" xfId="1" applyFont="1" applyAlignment="1">
      <alignment horizontal="center" vertical="center"/>
    </xf>
    <xf numFmtId="0" fontId="16" fillId="0" borderId="8" xfId="0" applyFont="1" applyBorder="1" applyAlignment="1">
      <alignment horizontal="center" vertical="center"/>
    </xf>
    <xf numFmtId="0" fontId="23" fillId="0" borderId="8" xfId="0" applyFont="1" applyBorder="1" applyAlignment="1" applyProtection="1">
      <alignment horizontal="center" vertical="center" wrapText="1"/>
      <protection locked="0"/>
    </xf>
    <xf numFmtId="0" fontId="16" fillId="0" borderId="8" xfId="0" applyFont="1" applyBorder="1" applyAlignment="1" applyProtection="1">
      <alignment horizontal="center" vertical="center"/>
      <protection locked="0"/>
    </xf>
    <xf numFmtId="0" fontId="23" fillId="0" borderId="8" xfId="0" applyFont="1" applyBorder="1" applyAlignment="1" applyProtection="1">
      <alignment horizontal="center" vertical="center"/>
      <protection locked="0"/>
    </xf>
    <xf numFmtId="0" fontId="19" fillId="0" borderId="0" xfId="0" applyFont="1" applyAlignment="1">
      <alignment horizontal="center" vertical="center"/>
    </xf>
    <xf numFmtId="0" fontId="19" fillId="0" borderId="0" xfId="10" applyFont="1" applyAlignment="1">
      <alignment horizontal="center" vertical="center"/>
    </xf>
    <xf numFmtId="0" fontId="19" fillId="0" borderId="0" xfId="1" applyFont="1" applyAlignment="1">
      <alignment horizontal="center" vertical="center"/>
    </xf>
    <xf numFmtId="0" fontId="39" fillId="0" borderId="8" xfId="0" applyFont="1" applyBorder="1" applyAlignment="1">
      <alignment horizontal="center" vertical="center" wrapText="1"/>
    </xf>
    <xf numFmtId="0" fontId="36" fillId="0" borderId="8" xfId="0" applyFont="1" applyBorder="1" applyAlignment="1">
      <alignment horizontal="center" vertical="center"/>
    </xf>
    <xf numFmtId="0" fontId="32" fillId="0" borderId="0" xfId="0" applyFont="1" applyAlignment="1">
      <alignment horizontal="center" vertical="center"/>
    </xf>
    <xf numFmtId="0" fontId="16" fillId="0" borderId="0" xfId="10" applyFont="1" applyAlignment="1">
      <alignment horizontal="center" vertical="center" wrapText="1"/>
    </xf>
    <xf numFmtId="0" fontId="36" fillId="0" borderId="8" xfId="0" applyFont="1" applyBorder="1" applyAlignment="1" applyProtection="1">
      <alignment horizontal="center" vertical="center"/>
      <protection locked="0"/>
    </xf>
    <xf numFmtId="0" fontId="36" fillId="0" borderId="50" xfId="0" applyFont="1" applyBorder="1" applyAlignment="1" applyProtection="1">
      <alignment horizontal="center" vertical="center"/>
      <protection locked="0"/>
    </xf>
    <xf numFmtId="0" fontId="36" fillId="0" borderId="51" xfId="0" applyFont="1" applyBorder="1" applyAlignment="1">
      <alignment horizontal="center" vertical="center"/>
    </xf>
    <xf numFmtId="0" fontId="36" fillId="0" borderId="51" xfId="0" applyFont="1" applyBorder="1" applyAlignment="1" applyProtection="1">
      <alignment horizontal="center" vertical="center"/>
      <protection locked="0"/>
    </xf>
    <xf numFmtId="0" fontId="19" fillId="0" borderId="8" xfId="0" applyFont="1" applyBorder="1" applyAlignment="1" applyProtection="1">
      <alignment horizontal="center" vertical="center"/>
      <protection locked="0"/>
    </xf>
    <xf numFmtId="20" fontId="24" fillId="0" borderId="8" xfId="0" applyNumberFormat="1" applyFont="1" applyBorder="1" applyAlignment="1">
      <alignment horizontal="center" vertical="center"/>
    </xf>
    <xf numFmtId="20" fontId="24" fillId="0" borderId="8" xfId="0" applyNumberFormat="1" applyFont="1" applyBorder="1" applyAlignment="1" applyProtection="1">
      <alignment horizontal="center" vertical="center"/>
      <protection locked="0" hidden="1"/>
    </xf>
    <xf numFmtId="20" fontId="24" fillId="0" borderId="51" xfId="0" applyNumberFormat="1" applyFont="1" applyBorder="1" applyAlignment="1" applyProtection="1">
      <alignment horizontal="center" vertical="center"/>
      <protection locked="0" hidden="1"/>
    </xf>
    <xf numFmtId="20" fontId="37" fillId="0" borderId="50" xfId="0" applyNumberFormat="1" applyFont="1" applyBorder="1" applyAlignment="1">
      <alignment horizontal="center" vertical="center" wrapText="1"/>
    </xf>
    <xf numFmtId="20" fontId="0" fillId="0" borderId="50" xfId="0" applyNumberFormat="1" applyBorder="1" applyAlignment="1">
      <alignment horizontal="center" vertical="center"/>
    </xf>
    <xf numFmtId="0" fontId="16" fillId="0" borderId="50" xfId="10" applyFont="1" applyBorder="1" applyAlignment="1">
      <alignment horizontal="center" vertical="center"/>
    </xf>
    <xf numFmtId="0" fontId="16" fillId="0" borderId="0" xfId="10" applyFont="1" applyAlignment="1">
      <alignment horizontal="center"/>
    </xf>
    <xf numFmtId="14" fontId="26" fillId="0" borderId="8" xfId="0" applyNumberFormat="1" applyFont="1" applyBorder="1" applyAlignment="1">
      <alignment horizontal="center" vertical="center" wrapText="1"/>
    </xf>
    <xf numFmtId="20" fontId="26" fillId="0" borderId="8" xfId="0" applyNumberFormat="1" applyFont="1" applyBorder="1" applyAlignment="1">
      <alignment horizontal="center" vertical="center" wrapText="1"/>
    </xf>
    <xf numFmtId="0" fontId="26" fillId="0" borderId="10" xfId="0" applyFont="1" applyBorder="1" applyAlignment="1">
      <alignment horizontal="center" vertical="center" wrapText="1"/>
    </xf>
    <xf numFmtId="0" fontId="26" fillId="0" borderId="34" xfId="0" applyFont="1" applyBorder="1" applyAlignment="1">
      <alignment horizontal="center" vertical="center" wrapText="1"/>
    </xf>
    <xf numFmtId="0" fontId="26" fillId="0" borderId="20" xfId="0" applyFont="1" applyBorder="1" applyAlignment="1" applyProtection="1">
      <alignment horizontal="center" vertical="center" wrapText="1"/>
      <protection locked="0"/>
    </xf>
    <xf numFmtId="0" fontId="26" fillId="0" borderId="0" xfId="0" applyFont="1" applyAlignment="1">
      <alignment horizontal="center" vertical="center" wrapText="1"/>
    </xf>
    <xf numFmtId="0" fontId="16" fillId="0" borderId="0" xfId="0" applyFont="1" applyAlignment="1">
      <alignment vertical="center" wrapText="1"/>
    </xf>
    <xf numFmtId="0" fontId="26" fillId="0" borderId="50" xfId="0" applyFont="1" applyBorder="1" applyAlignment="1" applyProtection="1">
      <alignment vertical="center" wrapText="1"/>
      <protection locked="0"/>
    </xf>
    <xf numFmtId="20" fontId="26" fillId="0" borderId="8" xfId="0" applyNumberFormat="1" applyFont="1" applyBorder="1" applyAlignment="1" applyProtection="1">
      <alignment horizontal="center" vertical="center"/>
      <protection locked="0" hidden="1"/>
    </xf>
    <xf numFmtId="20" fontId="16" fillId="0" borderId="8" xfId="0" applyNumberFormat="1" applyFont="1" applyBorder="1" applyAlignment="1">
      <alignment horizontal="center"/>
    </xf>
    <xf numFmtId="0" fontId="16" fillId="0" borderId="0" xfId="0" applyFont="1" applyAlignment="1">
      <alignment horizontal="center" vertical="center" wrapText="1"/>
    </xf>
    <xf numFmtId="0" fontId="16" fillId="0" borderId="8" xfId="0" applyFont="1" applyBorder="1" applyAlignment="1" applyProtection="1">
      <alignment horizontal="center" vertical="center" wrapText="1"/>
      <protection locked="0"/>
    </xf>
    <xf numFmtId="0" fontId="16" fillId="0" borderId="50" xfId="0" applyFont="1" applyBorder="1" applyAlignment="1" applyProtection="1">
      <alignment vertical="center" wrapText="1"/>
      <protection locked="0"/>
    </xf>
    <xf numFmtId="0" fontId="16" fillId="0" borderId="51" xfId="0" applyFont="1" applyBorder="1" applyAlignment="1" applyProtection="1">
      <alignment horizontal="center" vertical="center"/>
      <protection locked="0"/>
    </xf>
    <xf numFmtId="0" fontId="16" fillId="0" borderId="50" xfId="0" applyFont="1" applyBorder="1" applyAlignment="1">
      <alignment horizontal="center" vertical="center"/>
    </xf>
    <xf numFmtId="0" fontId="16" fillId="0" borderId="8" xfId="0" applyFont="1" applyBorder="1" applyAlignment="1">
      <alignment vertical="center" wrapText="1"/>
    </xf>
    <xf numFmtId="0" fontId="16" fillId="7" borderId="8" xfId="0" applyFont="1" applyFill="1" applyBorder="1" applyAlignment="1">
      <alignment horizontal="center" vertical="center"/>
    </xf>
    <xf numFmtId="0" fontId="16" fillId="0" borderId="8" xfId="0" applyFont="1" applyBorder="1" applyAlignment="1">
      <alignment horizontal="center"/>
    </xf>
    <xf numFmtId="0" fontId="29" fillId="0" borderId="8" xfId="0" applyFont="1" applyBorder="1" applyAlignment="1" applyProtection="1">
      <alignment horizontal="center" vertical="center"/>
      <protection locked="0"/>
    </xf>
    <xf numFmtId="0" fontId="16" fillId="0" borderId="8" xfId="0" applyFont="1" applyBorder="1"/>
    <xf numFmtId="0" fontId="16" fillId="7" borderId="8" xfId="0" applyFont="1" applyFill="1" applyBorder="1" applyAlignment="1">
      <alignment horizontal="center" vertical="center" wrapText="1"/>
    </xf>
    <xf numFmtId="0" fontId="41" fillId="0" borderId="50" xfId="0" applyFont="1" applyBorder="1" applyAlignment="1" applyProtection="1">
      <alignment horizontal="center" vertical="center" wrapText="1"/>
      <protection locked="0"/>
    </xf>
    <xf numFmtId="0" fontId="43" fillId="0" borderId="8" xfId="0" applyFont="1" applyBorder="1" applyAlignment="1" applyProtection="1">
      <alignment horizontal="center" vertical="center"/>
      <protection locked="0"/>
    </xf>
    <xf numFmtId="0" fontId="42" fillId="0" borderId="0" xfId="0" applyFont="1" applyAlignment="1">
      <alignment wrapText="1"/>
    </xf>
    <xf numFmtId="0" fontId="16" fillId="0" borderId="8" xfId="0" applyFont="1" applyBorder="1" applyAlignment="1">
      <alignment horizontal="center" vertical="center" indent="1"/>
    </xf>
    <xf numFmtId="0" fontId="16" fillId="0" borderId="50" xfId="0" applyFont="1" applyBorder="1" applyAlignment="1">
      <alignment horizontal="center" vertical="center" indent="1"/>
    </xf>
    <xf numFmtId="0" fontId="0" fillId="0" borderId="51" xfId="0" applyBorder="1" applyAlignment="1">
      <alignment vertical="center"/>
    </xf>
    <xf numFmtId="0" fontId="0" fillId="0" borderId="51" xfId="0" applyBorder="1" applyAlignment="1">
      <alignment vertical="center" wrapText="1"/>
    </xf>
    <xf numFmtId="0" fontId="0" fillId="0" borderId="0" xfId="0" applyAlignment="1">
      <alignment vertical="center" wrapText="1"/>
    </xf>
    <xf numFmtId="0" fontId="40" fillId="0" borderId="8" xfId="10" applyFont="1" applyBorder="1" applyAlignment="1">
      <alignment horizontal="center" vertical="center"/>
    </xf>
    <xf numFmtId="0" fontId="40" fillId="0" borderId="8" xfId="10" applyFont="1" applyBorder="1"/>
    <xf numFmtId="14" fontId="24" fillId="0" borderId="8" xfId="0" applyNumberFormat="1" applyFont="1" applyBorder="1" applyAlignment="1">
      <alignment horizontal="center" vertical="center" wrapText="1"/>
    </xf>
    <xf numFmtId="20" fontId="24" fillId="0" borderId="8" xfId="0" applyNumberFormat="1" applyFont="1" applyBorder="1" applyAlignment="1">
      <alignment horizontal="center" vertical="center" wrapText="1"/>
    </xf>
    <xf numFmtId="0" fontId="0" fillId="0" borderId="34" xfId="0" applyBorder="1" applyAlignment="1">
      <alignment vertical="center" wrapText="1"/>
    </xf>
    <xf numFmtId="0" fontId="28" fillId="0" borderId="8" xfId="0" applyFont="1" applyBorder="1" applyAlignment="1" applyProtection="1">
      <alignment horizontal="center" vertical="center" wrapText="1"/>
      <protection locked="0"/>
    </xf>
    <xf numFmtId="0" fontId="24" fillId="0" borderId="8" xfId="0" applyFont="1" applyBorder="1" applyAlignment="1" applyProtection="1">
      <alignment vertical="center" wrapText="1"/>
      <protection locked="0"/>
    </xf>
    <xf numFmtId="0" fontId="24" fillId="0" borderId="8" xfId="0" applyFont="1" applyBorder="1" applyAlignment="1" applyProtection="1">
      <alignment horizontal="center" vertical="center"/>
      <protection locked="0"/>
    </xf>
    <xf numFmtId="0" fontId="16" fillId="4" borderId="50" xfId="1" applyFont="1" applyFill="1" applyBorder="1" applyAlignment="1">
      <alignment horizontal="center" vertical="center" wrapText="1"/>
    </xf>
    <xf numFmtId="0" fontId="16" fillId="4" borderId="8" xfId="1" applyFont="1" applyFill="1" applyBorder="1" applyAlignment="1">
      <alignment horizontal="center" vertical="center" wrapText="1"/>
    </xf>
    <xf numFmtId="0" fontId="16" fillId="7" borderId="8" xfId="1" applyFont="1" applyFill="1" applyBorder="1" applyAlignment="1">
      <alignment horizontal="center" vertical="center" wrapText="1"/>
    </xf>
    <xf numFmtId="0" fontId="33" fillId="4" borderId="8" xfId="1" applyFont="1" applyFill="1" applyBorder="1" applyAlignment="1">
      <alignment horizontal="center" vertical="center" wrapText="1"/>
    </xf>
    <xf numFmtId="0" fontId="33" fillId="4" borderId="50" xfId="1" applyFont="1" applyFill="1" applyBorder="1" applyAlignment="1">
      <alignment horizontal="center" vertical="center" wrapText="1"/>
    </xf>
    <xf numFmtId="0" fontId="19" fillId="0" borderId="50" xfId="0" applyFont="1" applyBorder="1" applyAlignment="1">
      <alignment horizontal="left" vertical="center"/>
    </xf>
    <xf numFmtId="0" fontId="19" fillId="0" borderId="8" xfId="0" applyFont="1" applyBorder="1" applyAlignment="1">
      <alignment horizontal="left" vertical="center"/>
    </xf>
    <xf numFmtId="0" fontId="19" fillId="0" borderId="0" xfId="0" applyFont="1" applyAlignment="1">
      <alignment vertical="center" wrapText="1"/>
    </xf>
    <xf numFmtId="0" fontId="26" fillId="0" borderId="8" xfId="0" applyFont="1" applyBorder="1" applyAlignment="1" applyProtection="1">
      <alignment horizontal="center" vertical="center"/>
      <protection locked="0" hidden="1"/>
    </xf>
    <xf numFmtId="0" fontId="28" fillId="0" borderId="8" xfId="0" applyFont="1" applyBorder="1" applyAlignment="1" applyProtection="1">
      <alignment horizontal="center" vertical="center"/>
      <protection locked="0" hidden="1"/>
    </xf>
    <xf numFmtId="0" fontId="28" fillId="0" borderId="51" xfId="0" applyFont="1" applyBorder="1" applyAlignment="1" applyProtection="1">
      <alignment horizontal="center" vertical="center"/>
      <protection locked="0" hidden="1"/>
    </xf>
    <xf numFmtId="0" fontId="14" fillId="0" borderId="8" xfId="0" applyFont="1" applyBorder="1" applyAlignment="1" applyProtection="1">
      <alignment horizontal="center" vertical="center"/>
      <protection locked="0" hidden="1"/>
    </xf>
    <xf numFmtId="0" fontId="24" fillId="0" borderId="8" xfId="0" applyFont="1" applyBorder="1" applyAlignment="1" applyProtection="1">
      <alignment horizontal="center" vertical="center" wrapText="1"/>
      <protection locked="0" hidden="1"/>
    </xf>
    <xf numFmtId="0" fontId="24" fillId="0" borderId="8" xfId="0" applyFont="1" applyBorder="1" applyAlignment="1">
      <alignment horizontal="center" vertical="center"/>
    </xf>
    <xf numFmtId="0" fontId="14" fillId="0" borderId="50" xfId="0" applyFont="1" applyBorder="1" applyAlignment="1" applyProtection="1">
      <alignment horizontal="center" vertical="center"/>
      <protection locked="0" hidden="1"/>
    </xf>
    <xf numFmtId="0" fontId="24" fillId="0" borderId="51" xfId="0" applyFont="1" applyBorder="1" applyAlignment="1" applyProtection="1">
      <alignment horizontal="center" vertical="center"/>
      <protection locked="0" hidden="1"/>
    </xf>
    <xf numFmtId="0" fontId="16" fillId="0" borderId="50" xfId="0" applyFont="1" applyBorder="1" applyAlignment="1" applyProtection="1">
      <alignment horizontal="center" vertical="center" wrapText="1"/>
      <protection locked="0"/>
    </xf>
    <xf numFmtId="0" fontId="16" fillId="7" borderId="8" xfId="0" applyFont="1" applyFill="1"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16" fillId="0" borderId="8" xfId="1" applyFont="1" applyBorder="1" applyAlignment="1">
      <alignment horizontal="center" vertical="center"/>
    </xf>
    <xf numFmtId="0" fontId="16" fillId="0" borderId="50" xfId="1" applyFont="1" applyBorder="1" applyAlignment="1">
      <alignment horizontal="center" vertical="center"/>
    </xf>
    <xf numFmtId="0" fontId="16" fillId="7" borderId="8" xfId="1" applyFont="1" applyFill="1" applyBorder="1" applyAlignment="1">
      <alignment horizontal="center" vertical="center"/>
    </xf>
    <xf numFmtId="0" fontId="16" fillId="4" borderId="8" xfId="1" applyFont="1" applyFill="1" applyBorder="1" applyAlignment="1">
      <alignment horizontal="center" vertical="center"/>
    </xf>
    <xf numFmtId="0" fontId="16" fillId="7" borderId="50" xfId="1" applyFont="1" applyFill="1" applyBorder="1" applyAlignment="1">
      <alignment horizontal="center" vertical="center" wrapText="1"/>
    </xf>
    <xf numFmtId="0" fontId="16" fillId="4" borderId="50" xfId="1" applyFont="1" applyFill="1" applyBorder="1" applyAlignment="1">
      <alignment horizontal="center" vertical="center"/>
    </xf>
    <xf numFmtId="0" fontId="26" fillId="0" borderId="34" xfId="0" applyFont="1" applyBorder="1" applyAlignment="1">
      <alignment horizontal="center" vertical="center"/>
    </xf>
    <xf numFmtId="0" fontId="0" fillId="0" borderId="8" xfId="1" applyFont="1" applyBorder="1" applyAlignment="1">
      <alignment horizontal="center" vertical="center"/>
    </xf>
    <xf numFmtId="0" fontId="19" fillId="0" borderId="8" xfId="0" applyFont="1" applyBorder="1" applyAlignment="1">
      <alignment horizontal="center" vertical="center" wrapText="1"/>
    </xf>
    <xf numFmtId="0" fontId="24" fillId="0" borderId="51" xfId="0" applyFont="1" applyBorder="1" applyAlignment="1">
      <alignment horizontal="center" vertical="center"/>
    </xf>
    <xf numFmtId="0" fontId="0" fillId="0" borderId="50" xfId="1" applyFont="1" applyBorder="1" applyAlignment="1">
      <alignment horizontal="center" vertical="center"/>
    </xf>
    <xf numFmtId="0" fontId="16" fillId="0" borderId="50" xfId="0" applyFont="1" applyBorder="1" applyAlignment="1">
      <alignment horizontal="center" vertical="center" wrapText="1"/>
    </xf>
    <xf numFmtId="0" fontId="16" fillId="0" borderId="8" xfId="0" applyFont="1" applyBorder="1" applyAlignment="1">
      <alignment horizontal="center" wrapText="1"/>
    </xf>
    <xf numFmtId="0" fontId="23" fillId="0" borderId="51" xfId="0" applyFont="1" applyBorder="1" applyAlignment="1" applyProtection="1">
      <alignment horizontal="center" vertical="center" wrapText="1"/>
      <protection locked="0"/>
    </xf>
    <xf numFmtId="0" fontId="19" fillId="0" borderId="34" xfId="0" applyFont="1" applyBorder="1" applyAlignment="1">
      <alignment horizontal="center" vertical="center" wrapText="1"/>
    </xf>
    <xf numFmtId="0" fontId="0" fillId="0" borderId="51" xfId="0" applyBorder="1" applyAlignment="1">
      <alignment horizontal="center" vertical="center" wrapText="1"/>
    </xf>
    <xf numFmtId="0" fontId="19" fillId="0" borderId="51" xfId="0" applyFont="1" applyBorder="1" applyAlignment="1">
      <alignment horizontal="center" vertical="center" wrapText="1"/>
    </xf>
    <xf numFmtId="0" fontId="35" fillId="0" borderId="8" xfId="0" applyFont="1" applyBorder="1" applyAlignment="1">
      <alignment horizontal="center" vertical="center" wrapText="1"/>
    </xf>
    <xf numFmtId="0" fontId="0" fillId="0" borderId="51" xfId="0" applyBorder="1" applyAlignment="1" applyProtection="1">
      <alignment horizontal="center" vertical="center" wrapText="1"/>
      <protection locked="0"/>
    </xf>
    <xf numFmtId="0" fontId="19" fillId="0" borderId="51" xfId="0" applyFont="1" applyBorder="1" applyAlignment="1" applyProtection="1">
      <alignment horizontal="center" vertical="center" wrapText="1"/>
      <protection locked="0"/>
    </xf>
    <xf numFmtId="0" fontId="35" fillId="0" borderId="0" xfId="0" applyFont="1" applyAlignment="1">
      <alignment horizontal="center" vertical="center" wrapText="1"/>
    </xf>
    <xf numFmtId="0" fontId="35" fillId="0" borderId="0" xfId="0" applyFont="1" applyAlignment="1">
      <alignment horizontal="center" vertical="center"/>
    </xf>
    <xf numFmtId="0" fontId="32" fillId="0" borderId="0" xfId="0" applyFont="1" applyAlignment="1">
      <alignment horizontal="center" vertical="center" wrapText="1"/>
    </xf>
    <xf numFmtId="0" fontId="21" fillId="4" borderId="50" xfId="1" applyFont="1" applyFill="1" applyBorder="1" applyAlignment="1">
      <alignment horizontal="center" vertical="center" wrapText="1"/>
    </xf>
    <xf numFmtId="14" fontId="16" fillId="0" borderId="8" xfId="0" applyNumberFormat="1" applyFont="1" applyBorder="1" applyAlignment="1">
      <alignment horizontal="center" vertical="center" wrapText="1"/>
    </xf>
    <xf numFmtId="20" fontId="16" fillId="0" borderId="8" xfId="0" applyNumberFormat="1" applyFont="1" applyBorder="1" applyAlignment="1">
      <alignment horizontal="center" vertical="center" wrapText="1"/>
    </xf>
    <xf numFmtId="0" fontId="16" fillId="0" borderId="20" xfId="0" applyFont="1" applyBorder="1" applyAlignment="1">
      <alignment horizontal="center" vertical="center" wrapText="1"/>
    </xf>
    <xf numFmtId="0" fontId="16" fillId="0" borderId="10" xfId="0" applyFont="1" applyBorder="1" applyAlignment="1">
      <alignment horizontal="center" vertical="center" wrapText="1"/>
    </xf>
    <xf numFmtId="0" fontId="16" fillId="0" borderId="40" xfId="0" applyFont="1" applyBorder="1" applyAlignment="1">
      <alignment horizontal="center" vertical="center" wrapText="1"/>
    </xf>
    <xf numFmtId="0" fontId="16" fillId="0" borderId="34" xfId="0" applyFont="1" applyBorder="1" applyAlignment="1">
      <alignment horizontal="center" vertical="center" wrapText="1"/>
    </xf>
    <xf numFmtId="0" fontId="16" fillId="0" borderId="8" xfId="0" applyFont="1" applyBorder="1" applyAlignment="1" applyProtection="1">
      <alignment vertical="center" wrapText="1"/>
      <protection locked="0"/>
    </xf>
    <xf numFmtId="0" fontId="16" fillId="0" borderId="20" xfId="0" applyFont="1" applyBorder="1" applyAlignment="1" applyProtection="1">
      <alignment horizontal="center" vertical="center" wrapText="1"/>
      <protection locked="0"/>
    </xf>
    <xf numFmtId="20" fontId="16" fillId="0" borderId="8" xfId="1" applyNumberFormat="1" applyFont="1" applyBorder="1" applyAlignment="1">
      <alignment horizontal="center" vertical="center"/>
    </xf>
    <xf numFmtId="14" fontId="19" fillId="0" borderId="8" xfId="0" applyNumberFormat="1" applyFont="1" applyBorder="1" applyAlignment="1">
      <alignment horizontal="center" vertical="center" wrapText="1"/>
    </xf>
    <xf numFmtId="20" fontId="19" fillId="0" borderId="8" xfId="0" applyNumberFormat="1" applyFont="1" applyBorder="1" applyAlignment="1">
      <alignment horizontal="center" vertical="center" wrapText="1"/>
    </xf>
    <xf numFmtId="0" fontId="16" fillId="0" borderId="10" xfId="0" applyFont="1" applyBorder="1" applyAlignment="1" applyProtection="1">
      <alignment horizontal="center" vertical="center" wrapText="1"/>
      <protection locked="0"/>
    </xf>
    <xf numFmtId="0" fontId="16" fillId="0" borderId="54" xfId="0" applyFont="1" applyBorder="1" applyAlignment="1" applyProtection="1">
      <alignment horizontal="center" vertical="center"/>
      <protection locked="0"/>
    </xf>
    <xf numFmtId="14" fontId="16" fillId="0" borderId="8" xfId="0" applyNumberFormat="1" applyFont="1" applyBorder="1" applyAlignment="1">
      <alignment horizontal="center" vertical="center"/>
    </xf>
    <xf numFmtId="0" fontId="16" fillId="0" borderId="8" xfId="0" applyFont="1" applyBorder="1" applyAlignment="1" applyProtection="1">
      <alignment horizontal="center" vertical="center" wrapText="1"/>
      <protection locked="0" hidden="1"/>
    </xf>
    <xf numFmtId="14" fontId="16" fillId="0" borderId="50" xfId="0" applyNumberFormat="1" applyFont="1" applyBorder="1" applyAlignment="1">
      <alignment horizontal="center" vertical="center" wrapText="1"/>
    </xf>
    <xf numFmtId="0" fontId="16" fillId="7" borderId="8" xfId="0" applyFont="1" applyFill="1" applyBorder="1" applyAlignment="1">
      <alignment vertical="center" wrapText="1"/>
    </xf>
    <xf numFmtId="0" fontId="16" fillId="4" borderId="8" xfId="0" applyFont="1" applyFill="1" applyBorder="1" applyAlignment="1">
      <alignment horizontal="center" vertical="center" wrapText="1"/>
    </xf>
    <xf numFmtId="20" fontId="16" fillId="0" borderId="8" xfId="0" applyNumberFormat="1" applyFont="1" applyBorder="1" applyAlignment="1">
      <alignment horizontal="center" vertical="center"/>
    </xf>
    <xf numFmtId="0" fontId="16" fillId="0" borderId="8" xfId="0" applyFont="1" applyBorder="1" applyAlignment="1" applyProtection="1">
      <alignment horizontal="center" vertical="center"/>
      <protection locked="0" hidden="1"/>
    </xf>
    <xf numFmtId="14" fontId="16" fillId="4" borderId="8" xfId="0" applyNumberFormat="1" applyFont="1" applyFill="1" applyBorder="1" applyAlignment="1">
      <alignment horizontal="center" vertical="center" wrapText="1"/>
    </xf>
    <xf numFmtId="0" fontId="16" fillId="0" borderId="33" xfId="1" applyFont="1" applyBorder="1" applyAlignment="1">
      <alignment horizontal="center" vertical="center" wrapText="1"/>
    </xf>
    <xf numFmtId="0" fontId="16" fillId="0" borderId="33" xfId="0" applyFont="1" applyBorder="1" applyAlignment="1">
      <alignment horizontal="center" vertical="center"/>
    </xf>
    <xf numFmtId="14" fontId="16" fillId="4" borderId="8" xfId="1" applyNumberFormat="1" applyFont="1" applyFill="1" applyBorder="1" applyAlignment="1">
      <alignment horizontal="center" vertical="center" wrapText="1"/>
    </xf>
    <xf numFmtId="14" fontId="16" fillId="0" borderId="50" xfId="0" applyNumberFormat="1" applyFont="1" applyBorder="1" applyAlignment="1">
      <alignment horizontal="center" vertical="center"/>
    </xf>
    <xf numFmtId="20" fontId="16" fillId="0" borderId="50" xfId="0" applyNumberFormat="1" applyFont="1" applyBorder="1" applyAlignment="1">
      <alignment horizontal="center" vertical="center"/>
    </xf>
    <xf numFmtId="0" fontId="16" fillId="0" borderId="50" xfId="0" applyFont="1" applyBorder="1" applyAlignment="1">
      <alignment vertical="center" wrapText="1"/>
    </xf>
    <xf numFmtId="14" fontId="16" fillId="4" borderId="50" xfId="1" applyNumberFormat="1" applyFont="1" applyFill="1" applyBorder="1" applyAlignment="1">
      <alignment horizontal="center" vertical="center" wrapText="1"/>
    </xf>
    <xf numFmtId="20" fontId="16" fillId="0" borderId="50" xfId="1" applyNumberFormat="1" applyFont="1" applyBorder="1" applyAlignment="1">
      <alignment horizontal="center" vertical="center"/>
    </xf>
    <xf numFmtId="20" fontId="16" fillId="0" borderId="8" xfId="0" applyNumberFormat="1" applyFont="1" applyBorder="1" applyAlignment="1" applyProtection="1">
      <alignment horizontal="center" vertical="center"/>
      <protection locked="0" hidden="1"/>
    </xf>
    <xf numFmtId="0" fontId="16" fillId="4" borderId="8" xfId="0" applyFont="1" applyFill="1" applyBorder="1" applyAlignment="1" applyProtection="1">
      <alignment vertical="center" wrapText="1"/>
      <protection locked="0"/>
    </xf>
    <xf numFmtId="0" fontId="16" fillId="0" borderId="8" xfId="0" applyFont="1" applyBorder="1" applyAlignment="1" applyProtection="1">
      <alignment horizontal="center" vertical="center" wrapText="1"/>
      <protection hidden="1"/>
    </xf>
    <xf numFmtId="14" fontId="16" fillId="0" borderId="50" xfId="0" applyNumberFormat="1" applyFont="1" applyBorder="1" applyAlignment="1" applyProtection="1">
      <alignment horizontal="center" vertical="center" wrapText="1"/>
      <protection locked="0"/>
    </xf>
    <xf numFmtId="20" fontId="16" fillId="0" borderId="50" xfId="0" applyNumberFormat="1" applyFont="1" applyBorder="1" applyAlignment="1" applyProtection="1">
      <alignment horizontal="center" vertical="center" wrapText="1"/>
      <protection locked="0"/>
    </xf>
    <xf numFmtId="0" fontId="16" fillId="6" borderId="8" xfId="0" applyFont="1" applyFill="1" applyBorder="1" applyAlignment="1">
      <alignment horizontal="center" vertical="center" wrapText="1"/>
    </xf>
    <xf numFmtId="0" fontId="16" fillId="0" borderId="20" xfId="0" applyFont="1" applyBorder="1" applyAlignment="1">
      <alignment vertical="center" wrapText="1"/>
    </xf>
    <xf numFmtId="0" fontId="16" fillId="0" borderId="50" xfId="0" applyFont="1" applyBorder="1" applyAlignment="1" applyProtection="1">
      <alignment horizontal="center" vertical="center"/>
      <protection locked="0"/>
    </xf>
    <xf numFmtId="0" fontId="16" fillId="0" borderId="51" xfId="0" applyFont="1" applyBorder="1" applyAlignment="1" applyProtection="1">
      <alignment vertical="center" wrapText="1"/>
      <protection locked="0"/>
    </xf>
    <xf numFmtId="14" fontId="16" fillId="0" borderId="51" xfId="0" applyNumberFormat="1" applyFont="1" applyBorder="1" applyAlignment="1" applyProtection="1">
      <alignment horizontal="center" vertical="center"/>
      <protection locked="0" hidden="1"/>
    </xf>
    <xf numFmtId="20" fontId="16" fillId="0" borderId="51" xfId="0" applyNumberFormat="1" applyFont="1" applyBorder="1" applyAlignment="1" applyProtection="1">
      <alignment horizontal="center" vertical="center"/>
      <protection locked="0" hidden="1"/>
    </xf>
    <xf numFmtId="0" fontId="16" fillId="0" borderId="50" xfId="0" applyFont="1" applyBorder="1" applyAlignment="1" applyProtection="1">
      <alignment horizontal="center" vertical="center"/>
      <protection locked="0" hidden="1"/>
    </xf>
    <xf numFmtId="14" fontId="16" fillId="0" borderId="8" xfId="0" applyNumberFormat="1" applyFont="1" applyBorder="1" applyAlignment="1" applyProtection="1">
      <alignment horizontal="center" vertical="center"/>
      <protection locked="0" hidden="1"/>
    </xf>
    <xf numFmtId="14" fontId="16" fillId="0" borderId="8" xfId="0" applyNumberFormat="1" applyFont="1" applyBorder="1" applyAlignment="1">
      <alignment vertical="center" wrapText="1"/>
    </xf>
    <xf numFmtId="20" fontId="16" fillId="0" borderId="8" xfId="0" applyNumberFormat="1" applyFont="1" applyBorder="1" applyAlignment="1">
      <alignment vertical="center" wrapText="1"/>
    </xf>
    <xf numFmtId="14" fontId="16" fillId="0" borderId="8" xfId="0" applyNumberFormat="1" applyFont="1" applyBorder="1" applyAlignment="1" applyProtection="1">
      <alignment horizontal="center" vertical="center" wrapText="1"/>
      <protection locked="0"/>
    </xf>
    <xf numFmtId="0" fontId="21" fillId="0" borderId="0" xfId="1" applyFont="1" applyAlignment="1">
      <alignment vertical="center"/>
    </xf>
    <xf numFmtId="0" fontId="1" fillId="0" borderId="40" xfId="0" applyFont="1" applyBorder="1" applyAlignment="1" applyProtection="1">
      <alignment horizontal="center" vertical="center" wrapText="1"/>
      <protection locked="0"/>
    </xf>
    <xf numFmtId="0" fontId="1" fillId="0" borderId="50" xfId="0" applyFont="1"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xf>
    <xf numFmtId="0" fontId="1" fillId="0" borderId="8" xfId="0" applyFont="1" applyBorder="1" applyAlignment="1" applyProtection="1">
      <alignment horizontal="left" vertical="center" wrapText="1"/>
      <protection locked="0"/>
    </xf>
    <xf numFmtId="0" fontId="1" fillId="0" borderId="8" xfId="0" applyFont="1" applyBorder="1" applyAlignment="1" applyProtection="1">
      <alignment vertical="center" wrapText="1"/>
      <protection locked="0"/>
    </xf>
    <xf numFmtId="20" fontId="1" fillId="0" borderId="8" xfId="0" applyNumberFormat="1" applyFont="1" applyBorder="1" applyAlignment="1" applyProtection="1">
      <alignment horizontal="center" vertical="center" wrapText="1"/>
      <protection locked="0"/>
    </xf>
    <xf numFmtId="0" fontId="19" fillId="0" borderId="8" xfId="0" applyFont="1" applyBorder="1" applyAlignment="1">
      <alignment horizontal="left" vertical="center" wrapText="1"/>
    </xf>
    <xf numFmtId="0" fontId="16" fillId="0" borderId="8" xfId="0" applyFont="1" applyBorder="1" applyAlignment="1">
      <alignment wrapText="1"/>
    </xf>
    <xf numFmtId="0" fontId="16" fillId="0" borderId="8" xfId="0" applyFont="1" applyBorder="1" applyAlignment="1">
      <alignment horizontal="left" vertical="center" wrapText="1"/>
    </xf>
    <xf numFmtId="14" fontId="16" fillId="0" borderId="34" xfId="0" applyNumberFormat="1" applyFont="1" applyBorder="1" applyAlignment="1">
      <alignment horizontal="center" vertical="center" wrapText="1"/>
    </xf>
    <xf numFmtId="20" fontId="16" fillId="0" borderId="34" xfId="0" applyNumberFormat="1" applyFont="1" applyBorder="1" applyAlignment="1">
      <alignment horizontal="center" vertical="center" wrapText="1"/>
    </xf>
    <xf numFmtId="0" fontId="16" fillId="6" borderId="51" xfId="0" applyFont="1" applyFill="1" applyBorder="1" applyAlignment="1">
      <alignment horizontal="center" vertical="center" wrapText="1"/>
    </xf>
    <xf numFmtId="0" fontId="16" fillId="0" borderId="0" xfId="0" applyFont="1" applyAlignment="1">
      <alignment horizontal="center"/>
    </xf>
    <xf numFmtId="14" fontId="16" fillId="0" borderId="50" xfId="0" applyNumberFormat="1" applyFont="1" applyBorder="1" applyAlignment="1" applyProtection="1">
      <alignment horizontal="center" vertical="center"/>
      <protection locked="0" hidden="1"/>
    </xf>
    <xf numFmtId="20" fontId="16" fillId="0" borderId="50" xfId="0" applyNumberFormat="1" applyFont="1" applyBorder="1" applyAlignment="1" applyProtection="1">
      <alignment horizontal="center" vertical="center"/>
      <protection locked="0" hidden="1"/>
    </xf>
    <xf numFmtId="0" fontId="16" fillId="0" borderId="0" xfId="0" applyFont="1" applyAlignment="1" applyProtection="1">
      <alignment horizontal="center" vertical="center" wrapText="1"/>
      <protection locked="0"/>
    </xf>
    <xf numFmtId="20" fontId="16" fillId="0" borderId="8" xfId="0" applyNumberFormat="1" applyFont="1" applyBorder="1" applyAlignment="1" applyProtection="1">
      <alignment horizontal="center" vertical="center" wrapText="1"/>
      <protection locked="0"/>
    </xf>
    <xf numFmtId="0" fontId="16" fillId="0" borderId="0" xfId="0" applyFont="1" applyAlignment="1">
      <alignment horizontal="center" wrapText="1"/>
    </xf>
    <xf numFmtId="0" fontId="16" fillId="0" borderId="51" xfId="0" applyFont="1" applyBorder="1" applyAlignment="1" applyProtection="1">
      <alignment horizontal="center" vertical="center" wrapText="1"/>
      <protection locked="0"/>
    </xf>
    <xf numFmtId="0" fontId="1" fillId="0" borderId="8" xfId="0" applyFont="1" applyBorder="1" applyAlignment="1" applyProtection="1">
      <alignment horizontal="center" vertical="center" wrapText="1"/>
      <protection locked="0" hidden="1"/>
    </xf>
    <xf numFmtId="14" fontId="19" fillId="0" borderId="8" xfId="0" applyNumberFormat="1" applyFont="1" applyBorder="1" applyAlignment="1" applyProtection="1">
      <alignment horizontal="center" vertical="center" wrapText="1"/>
      <protection locked="0"/>
    </xf>
    <xf numFmtId="20" fontId="1" fillId="0" borderId="8" xfId="0" applyNumberFormat="1" applyFont="1" applyBorder="1" applyAlignment="1" applyProtection="1">
      <alignment horizontal="center" vertical="center" wrapText="1"/>
      <protection locked="0" hidden="1"/>
    </xf>
    <xf numFmtId="0" fontId="16" fillId="8" borderId="50" xfId="1" applyFont="1" applyFill="1" applyBorder="1" applyAlignment="1">
      <alignment horizontal="center" vertical="center" wrapText="1"/>
    </xf>
    <xf numFmtId="0" fontId="16" fillId="8" borderId="8" xfId="1" applyFont="1" applyFill="1" applyBorder="1" applyAlignment="1">
      <alignment horizontal="center" vertical="center" wrapText="1"/>
    </xf>
    <xf numFmtId="0" fontId="16" fillId="8" borderId="8" xfId="0" applyFont="1" applyFill="1" applyBorder="1" applyAlignment="1">
      <alignment horizontal="center" vertical="center"/>
    </xf>
    <xf numFmtId="0" fontId="16" fillId="8" borderId="50" xfId="0" applyFont="1" applyFill="1" applyBorder="1" applyAlignment="1">
      <alignment horizontal="center" vertical="center"/>
    </xf>
    <xf numFmtId="0" fontId="16" fillId="9" borderId="8" xfId="0" applyFont="1" applyFill="1" applyBorder="1" applyAlignment="1">
      <alignment horizontal="center" vertical="center" wrapText="1"/>
    </xf>
    <xf numFmtId="0" fontId="16" fillId="8" borderId="8" xfId="0" applyFont="1" applyFill="1" applyBorder="1" applyAlignment="1">
      <alignment horizontal="center" vertical="center" wrapText="1"/>
    </xf>
    <xf numFmtId="0" fontId="0" fillId="8" borderId="8" xfId="0" applyFill="1" applyBorder="1" applyAlignment="1">
      <alignment horizontal="center" vertical="center"/>
    </xf>
    <xf numFmtId="0" fontId="0" fillId="8" borderId="50" xfId="0" applyFill="1" applyBorder="1" applyAlignment="1">
      <alignment horizontal="center" vertical="center"/>
    </xf>
    <xf numFmtId="0" fontId="0" fillId="8" borderId="0" xfId="0" applyFill="1" applyAlignment="1">
      <alignment horizontal="center" vertical="center"/>
    </xf>
    <xf numFmtId="0" fontId="16" fillId="7" borderId="50" xfId="0" applyFont="1" applyFill="1" applyBorder="1" applyAlignment="1">
      <alignment horizontal="center" vertical="center"/>
    </xf>
    <xf numFmtId="0" fontId="21" fillId="0" borderId="0" xfId="1" applyFont="1" applyAlignment="1">
      <alignment horizontal="center" vertical="center" wrapText="1"/>
    </xf>
    <xf numFmtId="0" fontId="1" fillId="0" borderId="57" xfId="0" applyFont="1" applyBorder="1" applyAlignment="1" applyProtection="1">
      <alignment horizontal="center" vertical="center" wrapText="1"/>
      <protection locked="0"/>
    </xf>
    <xf numFmtId="0" fontId="30" fillId="0" borderId="0" xfId="0" applyFont="1"/>
    <xf numFmtId="0" fontId="30" fillId="4" borderId="0" xfId="1" applyFont="1" applyFill="1" applyAlignment="1">
      <alignment horizontal="center" vertical="center"/>
    </xf>
    <xf numFmtId="0" fontId="30" fillId="0" borderId="0" xfId="0" applyFont="1" applyAlignment="1">
      <alignment horizontal="center" vertical="center" wrapText="1"/>
    </xf>
    <xf numFmtId="0" fontId="46" fillId="0" borderId="0" xfId="0" applyFont="1" applyAlignment="1">
      <alignment wrapText="1"/>
    </xf>
    <xf numFmtId="0" fontId="15" fillId="0" borderId="0" xfId="0" applyFont="1" applyAlignment="1">
      <alignment horizontal="center" vertical="center"/>
    </xf>
    <xf numFmtId="0" fontId="21" fillId="0" borderId="0" xfId="10" applyFont="1" applyAlignment="1">
      <alignment horizontal="right" vertical="center"/>
    </xf>
    <xf numFmtId="0" fontId="25" fillId="0" borderId="0" xfId="0" applyFont="1" applyAlignment="1">
      <alignment horizontal="right" vertical="center" wrapText="1"/>
    </xf>
    <xf numFmtId="0" fontId="20" fillId="5" borderId="10" xfId="1" applyFont="1" applyFill="1" applyBorder="1" applyAlignment="1">
      <alignment horizontal="center" vertical="center"/>
    </xf>
    <xf numFmtId="0" fontId="19" fillId="0" borderId="10" xfId="0" applyFont="1" applyBorder="1" applyAlignment="1">
      <alignment horizontal="center" vertical="center" wrapText="1"/>
    </xf>
    <xf numFmtId="0" fontId="1" fillId="0" borderId="10" xfId="0" applyFont="1" applyBorder="1" applyAlignment="1" applyProtection="1">
      <alignment horizontal="center" vertical="center" wrapText="1"/>
      <protection locked="0"/>
    </xf>
    <xf numFmtId="0" fontId="16" fillId="0" borderId="54" xfId="0" applyFont="1" applyBorder="1" applyAlignment="1">
      <alignment horizontal="center" vertical="center" wrapText="1"/>
    </xf>
    <xf numFmtId="0" fontId="16" fillId="0" borderId="10" xfId="0" applyFont="1" applyBorder="1" applyAlignment="1">
      <alignment horizontal="center" vertical="center"/>
    </xf>
    <xf numFmtId="0" fontId="16" fillId="0" borderId="54" xfId="0" applyFont="1" applyBorder="1" applyAlignment="1" applyProtection="1">
      <alignment horizontal="center" vertical="center" wrapText="1"/>
      <protection locked="0"/>
    </xf>
    <xf numFmtId="0" fontId="16" fillId="0" borderId="54" xfId="0" applyFont="1" applyBorder="1" applyAlignment="1">
      <alignment horizontal="center" vertical="center"/>
    </xf>
    <xf numFmtId="0" fontId="16" fillId="0" borderId="10" xfId="0" applyFont="1" applyBorder="1" applyAlignment="1" applyProtection="1">
      <alignment horizontal="center" vertical="center"/>
      <protection locked="0"/>
    </xf>
    <xf numFmtId="0" fontId="16" fillId="0" borderId="11" xfId="0" applyFont="1" applyBorder="1" applyAlignment="1">
      <alignment horizontal="center" vertical="center"/>
    </xf>
    <xf numFmtId="0" fontId="16" fillId="0" borderId="10" xfId="0" applyFont="1" applyBorder="1" applyAlignment="1">
      <alignment vertical="center" wrapText="1"/>
    </xf>
    <xf numFmtId="0" fontId="26" fillId="0" borderId="10" xfId="0" applyFont="1" applyBorder="1" applyAlignment="1">
      <alignment vertical="center" wrapText="1"/>
    </xf>
    <xf numFmtId="0" fontId="26" fillId="0" borderId="10" xfId="0" applyFont="1" applyBorder="1" applyAlignment="1" applyProtection="1">
      <alignment horizontal="center" vertical="center"/>
      <protection locked="0"/>
    </xf>
    <xf numFmtId="0" fontId="24" fillId="0" borderId="10" xfId="0" applyFont="1" applyBorder="1" applyAlignment="1">
      <alignment horizontal="center" vertical="center" wrapText="1"/>
    </xf>
    <xf numFmtId="0" fontId="28" fillId="0" borderId="10" xfId="0" applyFont="1" applyBorder="1" applyAlignment="1" applyProtection="1">
      <alignment horizontal="center" vertical="center"/>
      <protection locked="0"/>
    </xf>
    <xf numFmtId="0" fontId="34" fillId="0" borderId="10" xfId="0" applyFont="1" applyBorder="1" applyAlignment="1" applyProtection="1">
      <alignment horizontal="center" vertical="center"/>
      <protection locked="0"/>
    </xf>
    <xf numFmtId="0" fontId="14" fillId="0" borderId="10" xfId="0" applyFont="1" applyBorder="1" applyAlignment="1" applyProtection="1">
      <alignment horizontal="center" vertical="center"/>
      <protection locked="0"/>
    </xf>
    <xf numFmtId="0" fontId="25" fillId="0" borderId="10" xfId="0" applyFont="1" applyBorder="1" applyAlignment="1" applyProtection="1">
      <alignment horizontal="center" vertical="center"/>
      <protection locked="0"/>
    </xf>
    <xf numFmtId="0" fontId="25" fillId="0" borderId="54" xfId="0" applyFont="1" applyBorder="1" applyAlignment="1" applyProtection="1">
      <alignment horizontal="center" vertical="center"/>
      <protection locked="0"/>
    </xf>
    <xf numFmtId="0" fontId="0" fillId="0" borderId="54" xfId="0" applyBorder="1" applyAlignment="1">
      <alignment horizontal="center" vertical="center"/>
    </xf>
    <xf numFmtId="0" fontId="0" fillId="0" borderId="10" xfId="0" applyBorder="1" applyAlignment="1">
      <alignment horizontal="center" vertical="center"/>
    </xf>
    <xf numFmtId="0" fontId="20" fillId="5" borderId="34" xfId="1" applyFont="1" applyFill="1" applyBorder="1" applyAlignment="1">
      <alignment horizontal="center" vertical="center" wrapText="1"/>
    </xf>
    <xf numFmtId="0" fontId="16" fillId="0" borderId="34" xfId="0" applyFont="1" applyBorder="1" applyAlignment="1">
      <alignment vertical="center" wrapText="1"/>
    </xf>
    <xf numFmtId="0" fontId="1" fillId="0" borderId="34" xfId="0" applyFont="1" applyBorder="1" applyAlignment="1" applyProtection="1">
      <alignment vertical="center" wrapText="1"/>
      <protection locked="0"/>
    </xf>
    <xf numFmtId="0" fontId="16" fillId="4" borderId="34" xfId="1" applyFont="1" applyFill="1" applyBorder="1" applyAlignment="1">
      <alignment vertical="center" wrapText="1"/>
    </xf>
    <xf numFmtId="0" fontId="16" fillId="0" borderId="34" xfId="0" applyFont="1" applyBorder="1" applyAlignment="1" applyProtection="1">
      <alignment vertical="center" wrapText="1"/>
      <protection locked="0"/>
    </xf>
    <xf numFmtId="0" fontId="16" fillId="0" borderId="51" xfId="0" applyFont="1" applyBorder="1" applyAlignment="1">
      <alignment vertical="center" wrapText="1"/>
    </xf>
    <xf numFmtId="0" fontId="26" fillId="0" borderId="34" xfId="0" applyFont="1" applyBorder="1" applyAlignment="1">
      <alignment vertical="center" wrapText="1"/>
    </xf>
    <xf numFmtId="0" fontId="26" fillId="6" borderId="34" xfId="0" applyFont="1" applyFill="1" applyBorder="1" applyAlignment="1">
      <alignment vertical="center" wrapText="1"/>
    </xf>
    <xf numFmtId="0" fontId="26" fillId="0" borderId="34" xfId="0" applyFont="1" applyBorder="1" applyAlignment="1" applyProtection="1">
      <alignment vertical="center" wrapText="1"/>
      <protection locked="0"/>
    </xf>
    <xf numFmtId="0" fontId="23" fillId="0" borderId="34" xfId="0" applyFont="1" applyBorder="1" applyAlignment="1" applyProtection="1">
      <alignment vertical="center" wrapText="1"/>
      <protection locked="0"/>
    </xf>
    <xf numFmtId="0" fontId="29" fillId="0" borderId="34" xfId="0" applyFont="1" applyBorder="1" applyAlignment="1" applyProtection="1">
      <alignment vertical="center" wrapText="1"/>
      <protection locked="0"/>
    </xf>
    <xf numFmtId="0" fontId="26" fillId="0" borderId="34" xfId="0" applyFont="1" applyBorder="1" applyAlignment="1">
      <alignment horizontal="left" vertical="center" wrapText="1"/>
    </xf>
    <xf numFmtId="0" fontId="24" fillId="0" borderId="34" xfId="0" applyFont="1" applyBorder="1" applyAlignment="1">
      <alignment vertical="center" wrapText="1"/>
    </xf>
    <xf numFmtId="0" fontId="28" fillId="0" borderId="34" xfId="0" applyFont="1" applyBorder="1" applyAlignment="1" applyProtection="1">
      <alignment vertical="center" wrapText="1"/>
      <protection locked="0"/>
    </xf>
    <xf numFmtId="0" fontId="44" fillId="0" borderId="34" xfId="0" applyFont="1" applyBorder="1" applyAlignment="1" applyProtection="1">
      <alignment vertical="center" wrapText="1"/>
      <protection locked="0"/>
    </xf>
    <xf numFmtId="0" fontId="45" fillId="0" borderId="34" xfId="0" applyFont="1" applyBorder="1" applyAlignment="1" applyProtection="1">
      <alignment vertical="center" wrapText="1"/>
      <protection locked="0"/>
    </xf>
    <xf numFmtId="0" fontId="14" fillId="0" borderId="34" xfId="0" applyFont="1" applyBorder="1" applyAlignment="1" applyProtection="1">
      <alignment vertical="center" wrapText="1"/>
      <protection locked="0"/>
    </xf>
    <xf numFmtId="0" fontId="25" fillId="0" borderId="34" xfId="0" applyFont="1" applyBorder="1" applyAlignment="1" applyProtection="1">
      <alignment vertical="center"/>
      <protection locked="0"/>
    </xf>
    <xf numFmtId="0" fontId="36" fillId="0" borderId="34" xfId="0" applyFont="1" applyBorder="1" applyAlignment="1" applyProtection="1">
      <alignment vertical="center" wrapText="1"/>
      <protection locked="0"/>
    </xf>
    <xf numFmtId="0" fontId="36" fillId="0" borderId="34" xfId="0" applyFont="1" applyBorder="1" applyAlignment="1" applyProtection="1">
      <alignment vertical="center"/>
      <protection locked="0"/>
    </xf>
    <xf numFmtId="0" fontId="14" fillId="0" borderId="51" xfId="0" applyFont="1" applyBorder="1" applyAlignment="1">
      <alignment vertical="center" wrapText="1"/>
    </xf>
    <xf numFmtId="0" fontId="14" fillId="0" borderId="34" xfId="0" applyFont="1" applyBorder="1" applyAlignment="1">
      <alignment vertical="center" wrapText="1"/>
    </xf>
    <xf numFmtId="0" fontId="25" fillId="0" borderId="34" xfId="0" applyFont="1" applyBorder="1" applyAlignment="1" applyProtection="1">
      <alignment vertical="center" wrapText="1"/>
      <protection locked="0"/>
    </xf>
    <xf numFmtId="0" fontId="20" fillId="5" borderId="0" xfId="10" applyFont="1" applyFill="1" applyAlignment="1">
      <alignment horizontal="center" vertical="center"/>
    </xf>
    <xf numFmtId="0" fontId="26" fillId="0" borderId="8" xfId="0" applyFont="1" applyBorder="1" applyAlignment="1" applyProtection="1">
      <alignment horizontal="center" vertical="center" wrapText="1"/>
      <protection locked="0"/>
    </xf>
    <xf numFmtId="164" fontId="49" fillId="0" borderId="0" xfId="0" applyNumberFormat="1" applyFont="1" applyAlignment="1" applyProtection="1">
      <alignment horizontal="right" vertical="center" wrapText="1"/>
      <protection locked="0"/>
    </xf>
    <xf numFmtId="0" fontId="16" fillId="5" borderId="0" xfId="1" applyFont="1" applyFill="1"/>
    <xf numFmtId="0" fontId="21" fillId="10" borderId="50" xfId="1" applyFont="1" applyFill="1" applyBorder="1" applyAlignment="1">
      <alignment horizontal="center" vertical="center" wrapText="1"/>
    </xf>
    <xf numFmtId="0" fontId="16" fillId="10" borderId="8" xfId="0" applyFont="1" applyFill="1" applyBorder="1" applyAlignment="1">
      <alignment vertical="center" wrapText="1"/>
    </xf>
    <xf numFmtId="0" fontId="16" fillId="10" borderId="8" xfId="0" applyFont="1" applyFill="1" applyBorder="1" applyAlignment="1">
      <alignment horizontal="center" vertical="center" wrapText="1"/>
    </xf>
    <xf numFmtId="0" fontId="16" fillId="10" borderId="10" xfId="0" applyFont="1" applyFill="1" applyBorder="1" applyAlignment="1">
      <alignment horizontal="center" vertical="center" wrapText="1"/>
    </xf>
    <xf numFmtId="0" fontId="16" fillId="10" borderId="34" xfId="0" applyFont="1" applyFill="1" applyBorder="1" applyAlignment="1">
      <alignment vertical="center" wrapText="1"/>
    </xf>
    <xf numFmtId="14" fontId="16" fillId="10" borderId="8" xfId="0" applyNumberFormat="1" applyFont="1" applyFill="1" applyBorder="1" applyAlignment="1">
      <alignment horizontal="center" vertical="center" wrapText="1"/>
    </xf>
    <xf numFmtId="20" fontId="16" fillId="10" borderId="8" xfId="0" applyNumberFormat="1" applyFont="1" applyFill="1" applyBorder="1" applyAlignment="1">
      <alignment horizontal="center" vertical="center" wrapText="1"/>
    </xf>
    <xf numFmtId="0" fontId="16" fillId="10" borderId="50" xfId="1" applyFont="1" applyFill="1" applyBorder="1" applyAlignment="1">
      <alignment horizontal="center" vertical="center" wrapText="1"/>
    </xf>
    <xf numFmtId="0" fontId="16" fillId="10" borderId="8" xfId="1" applyFont="1" applyFill="1" applyBorder="1" applyAlignment="1">
      <alignment horizontal="center" vertical="center" wrapText="1"/>
    </xf>
    <xf numFmtId="0" fontId="16" fillId="10" borderId="8" xfId="1" applyFont="1" applyFill="1" applyBorder="1" applyAlignment="1">
      <alignment horizontal="center" vertical="center"/>
    </xf>
    <xf numFmtId="0" fontId="16" fillId="10" borderId="8" xfId="0" applyFont="1" applyFill="1" applyBorder="1" applyAlignment="1">
      <alignment horizontal="left" vertical="center" wrapText="1"/>
    </xf>
    <xf numFmtId="0" fontId="16" fillId="10" borderId="34" xfId="0" applyFont="1" applyFill="1" applyBorder="1" applyAlignment="1">
      <alignment horizontal="center" vertical="center" wrapText="1"/>
    </xf>
    <xf numFmtId="0" fontId="16" fillId="10" borderId="8" xfId="0" applyFont="1" applyFill="1" applyBorder="1" applyAlignment="1" applyProtection="1">
      <alignment vertical="center" wrapText="1"/>
      <protection locked="0"/>
    </xf>
    <xf numFmtId="0" fontId="16" fillId="10" borderId="8" xfId="0" applyFont="1" applyFill="1" applyBorder="1" applyAlignment="1" applyProtection="1">
      <alignment horizontal="center" vertical="center"/>
      <protection locked="0"/>
    </xf>
    <xf numFmtId="0" fontId="16" fillId="10" borderId="20" xfId="0" applyFont="1" applyFill="1" applyBorder="1" applyAlignment="1" applyProtection="1">
      <alignment horizontal="center" vertical="center" wrapText="1"/>
      <protection locked="0"/>
    </xf>
    <xf numFmtId="0" fontId="16" fillId="10" borderId="10" xfId="1" applyFont="1" applyFill="1" applyBorder="1" applyAlignment="1">
      <alignment horizontal="center" vertical="center" wrapText="1"/>
    </xf>
    <xf numFmtId="0" fontId="16" fillId="10" borderId="34" xfId="1" applyFont="1" applyFill="1" applyBorder="1" applyAlignment="1">
      <alignment vertical="center" wrapText="1"/>
    </xf>
    <xf numFmtId="14" fontId="16" fillId="10" borderId="8" xfId="1" applyNumberFormat="1" applyFont="1" applyFill="1" applyBorder="1" applyAlignment="1">
      <alignment horizontal="center" vertical="center"/>
    </xf>
    <xf numFmtId="20" fontId="16" fillId="10" borderId="8" xfId="1" applyNumberFormat="1" applyFont="1" applyFill="1" applyBorder="1" applyAlignment="1">
      <alignment horizontal="center" vertical="center"/>
    </xf>
    <xf numFmtId="0" fontId="16" fillId="10" borderId="8" xfId="0" applyFont="1" applyFill="1" applyBorder="1" applyAlignment="1" applyProtection="1">
      <alignment horizontal="center" vertical="center" wrapText="1"/>
      <protection locked="0"/>
    </xf>
    <xf numFmtId="0" fontId="16" fillId="10" borderId="40" xfId="0" applyFont="1" applyFill="1" applyBorder="1" applyAlignment="1">
      <alignment horizontal="center" vertical="center" wrapText="1"/>
    </xf>
    <xf numFmtId="0" fontId="16" fillId="10" borderId="8" xfId="0" applyFont="1" applyFill="1" applyBorder="1" applyAlignment="1">
      <alignment horizontal="center" vertical="center"/>
    </xf>
    <xf numFmtId="0" fontId="16" fillId="10" borderId="50" xfId="0" applyFont="1" applyFill="1" applyBorder="1" applyAlignment="1">
      <alignment horizontal="center" vertical="center"/>
    </xf>
    <xf numFmtId="0" fontId="16" fillId="10" borderId="57" xfId="0" applyFont="1" applyFill="1" applyBorder="1" applyAlignment="1">
      <alignment horizontal="center" vertical="center" wrapText="1"/>
    </xf>
    <xf numFmtId="0" fontId="16" fillId="10" borderId="56" xfId="0" applyFont="1" applyFill="1" applyBorder="1" applyAlignment="1">
      <alignment horizontal="center" vertical="center" wrapText="1"/>
    </xf>
    <xf numFmtId="0" fontId="16" fillId="10" borderId="10" xfId="0" applyFont="1" applyFill="1" applyBorder="1" applyAlignment="1" applyProtection="1">
      <alignment horizontal="center" vertical="center" wrapText="1"/>
      <protection locked="0"/>
    </xf>
    <xf numFmtId="20" fontId="16" fillId="10" borderId="8" xfId="0" applyNumberFormat="1" applyFont="1" applyFill="1" applyBorder="1" applyAlignment="1" applyProtection="1">
      <alignment horizontal="center" vertical="center" wrapText="1"/>
      <protection locked="0" hidden="1"/>
    </xf>
    <xf numFmtId="0" fontId="16" fillId="10" borderId="50" xfId="0" applyFont="1" applyFill="1" applyBorder="1" applyAlignment="1" applyProtection="1">
      <alignment vertical="center" wrapText="1"/>
      <protection locked="0"/>
    </xf>
    <xf numFmtId="0" fontId="16" fillId="10" borderId="54" xfId="0" applyFont="1" applyFill="1" applyBorder="1" applyAlignment="1" applyProtection="1">
      <alignment horizontal="center" vertical="center"/>
      <protection locked="0"/>
    </xf>
    <xf numFmtId="0" fontId="16" fillId="10" borderId="54" xfId="1" applyFont="1" applyFill="1" applyBorder="1" applyAlignment="1">
      <alignment horizontal="center" vertical="center" wrapText="1"/>
    </xf>
    <xf numFmtId="14" fontId="16" fillId="10" borderId="51" xfId="0" applyNumberFormat="1" applyFont="1" applyFill="1" applyBorder="1" applyAlignment="1">
      <alignment vertical="center" wrapText="1"/>
    </xf>
    <xf numFmtId="0" fontId="16" fillId="10" borderId="8" xfId="0" applyFont="1" applyFill="1" applyBorder="1" applyAlignment="1" applyProtection="1">
      <alignment horizontal="center" vertical="center" wrapText="1"/>
      <protection locked="0" hidden="1"/>
    </xf>
    <xf numFmtId="0" fontId="16" fillId="10" borderId="50" xfId="1" applyFont="1" applyFill="1" applyBorder="1" applyAlignment="1">
      <alignment horizontal="center" vertical="center"/>
    </xf>
    <xf numFmtId="0" fontId="16" fillId="10" borderId="51" xfId="0" applyFont="1" applyFill="1" applyBorder="1" applyAlignment="1">
      <alignment horizontal="center" vertical="center" wrapText="1"/>
    </xf>
    <xf numFmtId="0" fontId="16" fillId="10" borderId="54" xfId="0" applyFont="1" applyFill="1" applyBorder="1" applyAlignment="1">
      <alignment horizontal="center" vertical="center" wrapText="1"/>
    </xf>
    <xf numFmtId="14" fontId="16" fillId="10" borderId="50" xfId="0" applyNumberFormat="1" applyFont="1" applyFill="1" applyBorder="1" applyAlignment="1">
      <alignment horizontal="center" vertical="center" wrapText="1"/>
    </xf>
    <xf numFmtId="20" fontId="16" fillId="10" borderId="50" xfId="0" applyNumberFormat="1" applyFont="1" applyFill="1" applyBorder="1" applyAlignment="1">
      <alignment horizontal="center" vertical="center" wrapText="1"/>
    </xf>
    <xf numFmtId="0" fontId="16" fillId="10" borderId="50" xfId="0" applyFont="1" applyFill="1" applyBorder="1" applyAlignment="1">
      <alignment horizontal="center" vertical="center" wrapText="1"/>
    </xf>
    <xf numFmtId="0" fontId="16" fillId="10" borderId="8" xfId="10" applyFont="1" applyFill="1" applyBorder="1" applyAlignment="1">
      <alignment horizontal="center" vertical="center"/>
    </xf>
    <xf numFmtId="0" fontId="16" fillId="10" borderId="34" xfId="0" applyFont="1" applyFill="1" applyBorder="1" applyAlignment="1">
      <alignment horizontal="left" vertical="center" wrapText="1"/>
    </xf>
    <xf numFmtId="0" fontId="1" fillId="10" borderId="8" xfId="0" applyFont="1" applyFill="1" applyBorder="1" applyAlignment="1" applyProtection="1">
      <alignment horizontal="center" vertical="center" wrapText="1"/>
      <protection locked="0"/>
    </xf>
    <xf numFmtId="0" fontId="16" fillId="10" borderId="40" xfId="0" applyFont="1" applyFill="1" applyBorder="1" applyAlignment="1">
      <alignment horizontal="center" vertical="center"/>
    </xf>
    <xf numFmtId="0" fontId="16" fillId="10" borderId="32" xfId="0" applyFont="1" applyFill="1" applyBorder="1" applyAlignment="1" applyProtection="1">
      <alignment horizontal="center" vertical="center" wrapText="1"/>
      <protection locked="0"/>
    </xf>
    <xf numFmtId="0" fontId="16" fillId="10" borderId="55" xfId="0" applyFont="1" applyFill="1" applyBorder="1" applyAlignment="1">
      <alignment horizontal="center" vertical="center" wrapText="1"/>
    </xf>
    <xf numFmtId="0" fontId="16" fillId="10" borderId="8" xfId="10" applyFont="1" applyFill="1" applyBorder="1" applyAlignment="1">
      <alignment horizontal="center" vertical="center" wrapText="1"/>
    </xf>
    <xf numFmtId="0" fontId="16" fillId="4" borderId="55" xfId="0" applyFont="1" applyFill="1" applyBorder="1" applyAlignment="1">
      <alignment horizontal="center" vertical="center" wrapText="1"/>
    </xf>
    <xf numFmtId="0" fontId="16" fillId="4" borderId="34" xfId="0" applyFont="1" applyFill="1" applyBorder="1" applyAlignment="1">
      <alignment horizontal="center" vertical="center" wrapText="1"/>
    </xf>
    <xf numFmtId="0" fontId="16" fillId="10" borderId="51" xfId="0" applyFont="1" applyFill="1" applyBorder="1" applyAlignment="1">
      <alignment horizontal="left" vertical="center" wrapText="1"/>
    </xf>
    <xf numFmtId="0" fontId="50" fillId="0" borderId="0" xfId="0" applyFont="1" applyAlignment="1">
      <alignment horizontal="center" vertical="center"/>
    </xf>
    <xf numFmtId="0" fontId="16" fillId="11" borderId="8" xfId="1" applyFont="1" applyFill="1" applyBorder="1" applyAlignment="1">
      <alignment horizontal="center" vertical="center"/>
    </xf>
    <xf numFmtId="0" fontId="16" fillId="0" borderId="40" xfId="0" applyFont="1" applyBorder="1" applyAlignment="1">
      <alignment vertical="center" wrapText="1"/>
    </xf>
    <xf numFmtId="0" fontId="16" fillId="4" borderId="10" xfId="0" applyFont="1" applyFill="1" applyBorder="1" applyAlignment="1">
      <alignment horizontal="center" vertical="center" wrapText="1"/>
    </xf>
    <xf numFmtId="0" fontId="0" fillId="0" borderId="40" xfId="0" applyBorder="1" applyAlignment="1">
      <alignment vertical="center"/>
    </xf>
    <xf numFmtId="0" fontId="15" fillId="0" borderId="40" xfId="0" applyFont="1" applyBorder="1" applyAlignment="1">
      <alignment vertical="center" wrapText="1"/>
    </xf>
    <xf numFmtId="0" fontId="0" fillId="0" borderId="40" xfId="0" applyBorder="1" applyAlignment="1">
      <alignment horizontal="center" vertical="center" wrapText="1"/>
    </xf>
    <xf numFmtId="0" fontId="19" fillId="0" borderId="40" xfId="0" applyFont="1" applyBorder="1" applyAlignment="1">
      <alignment horizontal="center" vertical="center"/>
    </xf>
    <xf numFmtId="0" fontId="24" fillId="0" borderId="40" xfId="0" applyFont="1" applyBorder="1" applyAlignment="1">
      <alignment horizontal="center" vertical="center" wrapText="1"/>
    </xf>
    <xf numFmtId="0" fontId="14" fillId="0" borderId="40" xfId="0" applyFont="1" applyBorder="1" applyAlignment="1">
      <alignment vertical="center" wrapText="1"/>
    </xf>
    <xf numFmtId="0" fontId="26" fillId="4" borderId="40" xfId="1" applyFont="1" applyFill="1" applyBorder="1" applyAlignment="1">
      <alignment horizontal="center" vertical="center" wrapText="1"/>
    </xf>
    <xf numFmtId="0" fontId="0" fillId="0" borderId="40" xfId="1" applyFont="1" applyBorder="1" applyAlignment="1">
      <alignment horizontal="center" vertical="center"/>
    </xf>
    <xf numFmtId="0" fontId="16" fillId="0" borderId="40" xfId="1" applyFont="1" applyBorder="1" applyAlignment="1">
      <alignment horizontal="center" vertical="center"/>
    </xf>
    <xf numFmtId="0" fontId="0" fillId="0" borderId="40" xfId="0" applyBorder="1"/>
    <xf numFmtId="0" fontId="16" fillId="0" borderId="40" xfId="1" applyFont="1" applyBorder="1" applyAlignment="1">
      <alignment horizontal="center" vertical="center" wrapText="1"/>
    </xf>
    <xf numFmtId="0" fontId="33" fillId="4" borderId="40" xfId="1" applyFont="1" applyFill="1" applyBorder="1" applyAlignment="1">
      <alignment horizontal="center" vertical="center" wrapText="1"/>
    </xf>
    <xf numFmtId="0" fontId="23" fillId="0" borderId="40" xfId="1" applyFont="1" applyBorder="1" applyAlignment="1">
      <alignment horizontal="center" vertical="center" wrapText="1"/>
    </xf>
    <xf numFmtId="0" fontId="21" fillId="4" borderId="33" xfId="1" applyFont="1" applyFill="1" applyBorder="1" applyAlignment="1">
      <alignment horizontal="center" vertical="center" wrapText="1"/>
    </xf>
    <xf numFmtId="0" fontId="24" fillId="0" borderId="20" xfId="0" applyFont="1" applyBorder="1" applyAlignment="1">
      <alignment horizontal="center" vertical="center" wrapText="1"/>
    </xf>
    <xf numFmtId="0" fontId="26" fillId="4" borderId="33" xfId="1" applyFont="1" applyFill="1" applyBorder="1" applyAlignment="1">
      <alignment horizontal="center" vertical="center" wrapText="1"/>
    </xf>
    <xf numFmtId="0" fontId="0" fillId="0" borderId="20" xfId="1" applyFont="1" applyBorder="1" applyAlignment="1">
      <alignment horizontal="center" vertical="center"/>
    </xf>
    <xf numFmtId="0" fontId="16" fillId="0" borderId="20" xfId="1" applyFont="1" applyBorder="1" applyAlignment="1">
      <alignment horizontal="center" vertical="center"/>
    </xf>
    <xf numFmtId="0" fontId="16" fillId="0" borderId="20" xfId="1" applyFont="1" applyBorder="1" applyAlignment="1">
      <alignment horizontal="center" vertical="center" wrapText="1"/>
    </xf>
    <xf numFmtId="0" fontId="33" fillId="4" borderId="20" xfId="1" applyFont="1" applyFill="1" applyBorder="1" applyAlignment="1">
      <alignment horizontal="center" vertical="center" wrapText="1"/>
    </xf>
    <xf numFmtId="0" fontId="23" fillId="0" borderId="20" xfId="1" applyFont="1" applyBorder="1" applyAlignment="1">
      <alignment horizontal="center" vertical="center" wrapText="1"/>
    </xf>
    <xf numFmtId="0" fontId="24" fillId="0" borderId="50" xfId="0" applyFont="1" applyBorder="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8" xfId="0" applyFont="1" applyBorder="1" applyAlignment="1">
      <alignment horizontal="center" vertical="center"/>
    </xf>
    <xf numFmtId="0" fontId="1" fillId="0" borderId="8" xfId="1" applyFont="1" applyBorder="1" applyAlignment="1">
      <alignment horizontal="center" vertical="center"/>
    </xf>
    <xf numFmtId="0" fontId="1" fillId="0" borderId="0" xfId="0" applyFont="1" applyAlignment="1">
      <alignment vertical="center"/>
    </xf>
    <xf numFmtId="0" fontId="1" fillId="0" borderId="0" xfId="0" applyFont="1"/>
    <xf numFmtId="0" fontId="20" fillId="5" borderId="10" xfId="10" applyFont="1" applyFill="1" applyBorder="1" applyAlignment="1">
      <alignment horizontal="center"/>
    </xf>
    <xf numFmtId="0" fontId="20" fillId="5" borderId="11" xfId="10" applyFont="1" applyFill="1" applyBorder="1" applyAlignment="1">
      <alignment horizontal="left" vertical="top"/>
    </xf>
    <xf numFmtId="0" fontId="20" fillId="5" borderId="11" xfId="10" applyFont="1" applyFill="1" applyBorder="1" applyAlignment="1">
      <alignment horizontal="center"/>
    </xf>
    <xf numFmtId="0" fontId="30" fillId="5" borderId="11" xfId="10" applyFont="1" applyFill="1" applyBorder="1" applyAlignment="1">
      <alignment horizontal="center"/>
    </xf>
    <xf numFmtId="0" fontId="20" fillId="5" borderId="11" xfId="10" applyFont="1" applyFill="1" applyBorder="1" applyAlignment="1">
      <alignment horizontal="center" vertical="center"/>
    </xf>
    <xf numFmtId="0" fontId="20" fillId="5" borderId="5" xfId="1" applyFont="1" applyFill="1" applyBorder="1" applyAlignment="1">
      <alignment horizontal="center" vertical="center"/>
    </xf>
    <xf numFmtId="0" fontId="20" fillId="5" borderId="19" xfId="1" applyFont="1" applyFill="1" applyBorder="1" applyAlignment="1">
      <alignment horizontal="center" vertical="center"/>
    </xf>
    <xf numFmtId="0" fontId="20" fillId="5" borderId="52" xfId="1" applyFont="1" applyFill="1" applyBorder="1" applyAlignment="1">
      <alignment horizontal="center" vertical="center"/>
    </xf>
    <xf numFmtId="0" fontId="20" fillId="5" borderId="53" xfId="1" applyFont="1" applyFill="1" applyBorder="1" applyAlignment="1">
      <alignment horizontal="center" vertical="center"/>
    </xf>
    <xf numFmtId="0" fontId="20" fillId="5" borderId="29" xfId="1" applyFont="1" applyFill="1" applyBorder="1" applyAlignment="1">
      <alignment horizontal="center" vertical="center"/>
    </xf>
    <xf numFmtId="0" fontId="20" fillId="5" borderId="31" xfId="1" applyFont="1" applyFill="1" applyBorder="1" applyAlignment="1">
      <alignment horizontal="center" vertical="center"/>
    </xf>
    <xf numFmtId="0" fontId="15" fillId="0" borderId="0" xfId="0" applyFont="1" applyAlignment="1">
      <alignment horizontal="right" vertical="center"/>
    </xf>
    <xf numFmtId="0" fontId="21" fillId="0" borderId="0" xfId="10" applyFont="1" applyAlignment="1">
      <alignment horizontal="right" vertical="center"/>
    </xf>
    <xf numFmtId="0" fontId="5" fillId="0" borderId="26" xfId="1" applyFont="1" applyBorder="1" applyAlignment="1">
      <alignment horizontal="center"/>
    </xf>
    <xf numFmtId="0" fontId="5" fillId="0" borderId="9" xfId="1" applyFont="1" applyBorder="1" applyAlignment="1">
      <alignment horizontal="center"/>
    </xf>
    <xf numFmtId="0" fontId="5" fillId="0" borderId="13" xfId="1" applyFont="1" applyBorder="1" applyAlignment="1">
      <alignment horizontal="center"/>
    </xf>
    <xf numFmtId="0" fontId="0" fillId="0" borderId="0" xfId="0" applyAlignment="1">
      <alignment horizontal="center"/>
    </xf>
    <xf numFmtId="0" fontId="0" fillId="0" borderId="0" xfId="0"/>
    <xf numFmtId="0" fontId="13" fillId="5" borderId="0" xfId="10" applyFont="1" applyFill="1" applyAlignment="1">
      <alignment horizontal="center"/>
    </xf>
  </cellXfs>
  <cellStyles count="14">
    <cellStyle name="Normal" xfId="0" builtinId="0"/>
    <cellStyle name="Normal 2" xfId="2" xr:uid="{00000000-0005-0000-0000-000001000000}"/>
    <cellStyle name="Normal 2 2" xfId="3" xr:uid="{00000000-0005-0000-0000-000002000000}"/>
    <cellStyle name="Normal 2 3" xfId="4" xr:uid="{00000000-0005-0000-0000-000003000000}"/>
    <cellStyle name="Normal 2 4" xfId="5" xr:uid="{00000000-0005-0000-0000-000004000000}"/>
    <cellStyle name="Normal 3" xfId="6" xr:uid="{00000000-0005-0000-0000-000005000000}"/>
    <cellStyle name="Normal 4" xfId="7" xr:uid="{00000000-0005-0000-0000-000006000000}"/>
    <cellStyle name="Normal 5" xfId="1" xr:uid="{00000000-0005-0000-0000-000007000000}"/>
    <cellStyle name="Normal 5 2" xfId="10" xr:uid="{00000000-0005-0000-0000-000008000000}"/>
    <cellStyle name="Normal 6" xfId="12" xr:uid="{00000000-0005-0000-0000-000009000000}"/>
    <cellStyle name="Normal 7" xfId="13" xr:uid="{00000000-0005-0000-0000-00000A000000}"/>
    <cellStyle name="Porcentaje 2" xfId="9" xr:uid="{00000000-0005-0000-0000-00000C000000}"/>
    <cellStyle name="Porcentaje 3" xfId="8" xr:uid="{00000000-0005-0000-0000-00000D000000}"/>
    <cellStyle name="Porcentaje 3 2" xfId="11" xr:uid="{00000000-0005-0000-0000-00000E000000}"/>
  </cellStyles>
  <dxfs count="2">
    <dxf>
      <font>
        <color theme="0"/>
      </font>
      <fill>
        <patternFill>
          <bgColor rgb="FFFF0000"/>
        </patternFill>
      </fill>
    </dxf>
    <dxf>
      <fill>
        <patternFill>
          <bgColor rgb="FFFFC9C9"/>
        </patternFill>
      </fill>
    </dxf>
  </dxfs>
  <tableStyles count="0" defaultTableStyle="TableStyleMedium2" defaultPivotStyle="PivotStyleLight16"/>
  <colors>
    <mruColors>
      <color rgb="FFFDE9D9"/>
      <color rgb="FFFFC9C9"/>
      <color rgb="FFFFFFFF"/>
      <color rgb="FF0070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4.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pivotCacheDefinition" Target="pivotCache/pivotCacheDefinition3.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23" Type="http://schemas.openxmlformats.org/officeDocument/2006/relationships/customXml" Target="../customXml/item3.xml"/><Relationship Id="rId10" Type="http://schemas.openxmlformats.org/officeDocument/2006/relationships/pivotCacheDefinition" Target="pivotCache/pivotCacheDefinition1.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pivotSource>
    <c:name>[2504 Accidentes.xlsm]Dinamico Inc.!Tabla dinámica2</c:name>
    <c:fmtId val="2"/>
  </c:pivotSource>
  <c:chart>
    <c:autoTitleDeleted val="1"/>
    <c:pivotFmts>
      <c:pivotFmt>
        <c:idx val="0"/>
        <c:spPr>
          <a:solidFill>
            <a:schemeClr val="accent1"/>
          </a:solidFill>
          <a:ln w="25400">
            <a:solidFill>
              <a:schemeClr val="lt1"/>
            </a:solidFill>
          </a:ln>
          <a:effectLst/>
          <a:sp3d contourW="25400">
            <a:contourClr>
              <a:schemeClr val="lt1"/>
            </a:contourClr>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1"/>
          <c:showSerName val="0"/>
          <c:showPercent val="0"/>
          <c:showBubbleSize val="0"/>
          <c:extLst>
            <c:ext xmlns:c15="http://schemas.microsoft.com/office/drawing/2012/chart" uri="{CE6537A1-D6FC-4f65-9D91-7224C49458BB}"/>
          </c:extLst>
        </c:dLbl>
      </c:pivotFmt>
      <c:pivotFmt>
        <c:idx val="1"/>
        <c:spPr>
          <a:solidFill>
            <a:schemeClr val="accent1"/>
          </a:solidFill>
          <a:ln w="25400">
            <a:solidFill>
              <a:schemeClr val="lt1"/>
            </a:solidFill>
          </a:ln>
          <a:effectLst/>
          <a:sp3d contourW="25400">
            <a:contourClr>
              <a:schemeClr val="lt1"/>
            </a:contourClr>
          </a:sp3d>
        </c:spPr>
      </c:pivotFmt>
      <c:pivotFmt>
        <c:idx val="2"/>
        <c:spPr>
          <a:solidFill>
            <a:schemeClr val="accent1"/>
          </a:solidFill>
          <a:ln w="25400">
            <a:solidFill>
              <a:schemeClr val="lt1"/>
            </a:solidFill>
          </a:ln>
          <a:effectLst/>
          <a:sp3d contourW="25400">
            <a:contourClr>
              <a:schemeClr val="lt1"/>
            </a:contourClr>
          </a:sp3d>
        </c:spPr>
      </c:pivotFmt>
      <c:pivotFmt>
        <c:idx val="3"/>
        <c:spPr>
          <a:solidFill>
            <a:schemeClr val="accent1"/>
          </a:solidFill>
          <a:ln w="25400">
            <a:solidFill>
              <a:schemeClr val="lt1"/>
            </a:solidFill>
          </a:ln>
          <a:effectLst/>
          <a:sp3d contourW="25400">
            <a:contourClr>
              <a:schemeClr val="lt1"/>
            </a:contourClr>
          </a:sp3d>
        </c:spPr>
      </c:pivotFmt>
      <c:pivotFmt>
        <c:idx val="4"/>
        <c:spPr>
          <a:solidFill>
            <a:schemeClr val="accent1"/>
          </a:solidFill>
          <a:ln w="25400">
            <a:solidFill>
              <a:schemeClr val="lt1"/>
            </a:solidFill>
          </a:ln>
          <a:effectLst/>
          <a:sp3d contourW="25400">
            <a:contourClr>
              <a:schemeClr val="lt1"/>
            </a:contourClr>
          </a:sp3d>
        </c:spPr>
      </c:pivotFmt>
      <c:pivotFmt>
        <c:idx val="5"/>
        <c:spPr>
          <a:solidFill>
            <a:schemeClr val="accent1"/>
          </a:solidFill>
          <a:ln w="25400">
            <a:solidFill>
              <a:schemeClr val="lt1"/>
            </a:solidFill>
          </a:ln>
          <a:effectLst/>
          <a:sp3d contourW="25400">
            <a:contourClr>
              <a:schemeClr val="lt1"/>
            </a:contourClr>
          </a:sp3d>
        </c:spPr>
      </c:pivotFmt>
      <c:pivotFmt>
        <c:idx val="6"/>
        <c:spPr>
          <a:solidFill>
            <a:schemeClr val="accent1"/>
          </a:solidFill>
          <a:ln w="25400">
            <a:solidFill>
              <a:schemeClr val="lt1"/>
            </a:solidFill>
          </a:ln>
          <a:effectLst/>
          <a:sp3d contourW="25400">
            <a:contourClr>
              <a:schemeClr val="lt1"/>
            </a:contourClr>
          </a:sp3d>
        </c:spPr>
      </c:pivotFmt>
      <c:pivotFmt>
        <c:idx val="7"/>
        <c:spPr>
          <a:solidFill>
            <a:schemeClr val="accent1"/>
          </a:solidFill>
          <a:ln w="25400">
            <a:solidFill>
              <a:schemeClr val="lt1"/>
            </a:solidFill>
          </a:ln>
          <a:effectLst/>
          <a:sp3d contourW="25400">
            <a:contourClr>
              <a:schemeClr val="lt1"/>
            </a:contourClr>
          </a:sp3d>
        </c:spPr>
      </c:pivotFmt>
      <c:pivotFmt>
        <c:idx val="8"/>
        <c:spPr>
          <a:solidFill>
            <a:schemeClr val="accent1"/>
          </a:solidFill>
          <a:ln w="25400">
            <a:solidFill>
              <a:schemeClr val="lt1"/>
            </a:solidFill>
          </a:ln>
          <a:effectLst/>
          <a:sp3d contourW="25400">
            <a:contourClr>
              <a:schemeClr val="lt1"/>
            </a:contourClr>
          </a:sp3d>
        </c:spPr>
      </c:pivotFmt>
      <c:pivotFmt>
        <c:idx val="9"/>
        <c:spPr>
          <a:solidFill>
            <a:schemeClr val="accent1"/>
          </a:solidFill>
          <a:ln w="25400">
            <a:solidFill>
              <a:schemeClr val="lt1"/>
            </a:solidFill>
          </a:ln>
          <a:effectLst/>
          <a:sp3d contourW="25400">
            <a:contourClr>
              <a:schemeClr val="lt1"/>
            </a:contourClr>
          </a:sp3d>
        </c:spPr>
      </c:pivotFmt>
      <c:pivotFmt>
        <c:idx val="10"/>
        <c:spPr>
          <a:solidFill>
            <a:schemeClr val="accent1"/>
          </a:solidFill>
          <a:ln w="25400">
            <a:solidFill>
              <a:schemeClr val="lt1"/>
            </a:solidFill>
          </a:ln>
          <a:effectLst/>
          <a:sp3d contourW="25400">
            <a:contourClr>
              <a:schemeClr val="lt1"/>
            </a:contourClr>
          </a:sp3d>
        </c:spPr>
      </c:pivotFmt>
      <c:pivotFmt>
        <c:idx val="11"/>
        <c:spPr>
          <a:solidFill>
            <a:schemeClr val="accent1"/>
          </a:solidFill>
          <a:ln w="25400">
            <a:solidFill>
              <a:schemeClr val="lt1"/>
            </a:solidFill>
          </a:ln>
          <a:effectLst/>
          <a:sp3d contourW="25400">
            <a:contourClr>
              <a:schemeClr val="lt1"/>
            </a:contourClr>
          </a:sp3d>
        </c:spPr>
      </c:pivotFmt>
      <c:pivotFmt>
        <c:idx val="12"/>
        <c:spPr>
          <a:solidFill>
            <a:schemeClr val="accent1"/>
          </a:solidFill>
          <a:ln w="25400">
            <a:solidFill>
              <a:schemeClr val="lt1"/>
            </a:solidFill>
          </a:ln>
          <a:effectLst/>
          <a:sp3d contourW="25400">
            <a:contourClr>
              <a:schemeClr val="lt1"/>
            </a:contourClr>
          </a:sp3d>
        </c:spPr>
      </c:pivotFmt>
      <c:pivotFmt>
        <c:idx val="13"/>
        <c:spPr>
          <a:solidFill>
            <a:schemeClr val="accent1"/>
          </a:solidFill>
          <a:ln w="25400">
            <a:solidFill>
              <a:schemeClr val="lt1"/>
            </a:solidFill>
          </a:ln>
          <a:effectLst/>
          <a:sp3d contourW="25400">
            <a:contourClr>
              <a:schemeClr val="lt1"/>
            </a:contourClr>
          </a:sp3d>
        </c:spPr>
      </c:pivotFmt>
      <c:pivotFmt>
        <c:idx val="14"/>
        <c:spPr>
          <a:solidFill>
            <a:schemeClr val="accent1"/>
          </a:solidFill>
          <a:ln w="25400">
            <a:solidFill>
              <a:schemeClr val="lt1"/>
            </a:solidFill>
          </a:ln>
          <a:effectLst/>
          <a:sp3d contourW="25400">
            <a:contourClr>
              <a:schemeClr val="lt1"/>
            </a:contourClr>
          </a:sp3d>
        </c:spPr>
      </c:pivotFmt>
      <c:pivotFmt>
        <c:idx val="15"/>
        <c:spPr>
          <a:solidFill>
            <a:schemeClr val="accent1"/>
          </a:solidFill>
          <a:ln w="25400">
            <a:solidFill>
              <a:schemeClr val="lt1"/>
            </a:solidFill>
          </a:ln>
          <a:effectLst/>
          <a:sp3d contourW="25400">
            <a:contourClr>
              <a:schemeClr val="lt1"/>
            </a:contourClr>
          </a:sp3d>
        </c:spPr>
      </c:pivotFmt>
      <c:pivotFmt>
        <c:idx val="16"/>
        <c:spPr>
          <a:solidFill>
            <a:schemeClr val="accent1"/>
          </a:solidFill>
          <a:ln w="25400">
            <a:solidFill>
              <a:schemeClr val="lt1"/>
            </a:solidFill>
          </a:ln>
          <a:effectLst/>
          <a:sp3d contourW="25400">
            <a:contourClr>
              <a:schemeClr val="lt1"/>
            </a:contourClr>
          </a:sp3d>
        </c:spPr>
      </c:pivotFmt>
      <c:pivotFmt>
        <c:idx val="17"/>
        <c:spPr>
          <a:solidFill>
            <a:schemeClr val="accent1"/>
          </a:solidFill>
          <a:ln w="25400">
            <a:solidFill>
              <a:schemeClr val="lt1"/>
            </a:solidFill>
          </a:ln>
          <a:effectLst/>
          <a:sp3d contourW="25400">
            <a:contourClr>
              <a:schemeClr val="lt1"/>
            </a:contourClr>
          </a:sp3d>
        </c:spPr>
      </c:pivotFmt>
      <c:pivotFmt>
        <c:idx val="18"/>
        <c:spPr>
          <a:solidFill>
            <a:schemeClr val="accent1"/>
          </a:solidFill>
          <a:ln w="25400">
            <a:solidFill>
              <a:schemeClr val="lt1"/>
            </a:solidFill>
          </a:ln>
          <a:effectLst/>
          <a:sp3d contourW="25400">
            <a:contourClr>
              <a:schemeClr val="lt1"/>
            </a:contourClr>
          </a:sp3d>
        </c:spPr>
      </c:pivotFmt>
      <c:pivotFmt>
        <c:idx val="19"/>
        <c:spPr>
          <a:solidFill>
            <a:schemeClr val="accent1"/>
          </a:solidFill>
          <a:ln w="25400">
            <a:solidFill>
              <a:schemeClr val="lt1"/>
            </a:solidFill>
          </a:ln>
          <a:effectLst/>
          <a:sp3d contourW="25400">
            <a:contourClr>
              <a:schemeClr val="lt1"/>
            </a:contourClr>
          </a:sp3d>
        </c:spPr>
      </c:pivotFmt>
      <c:pivotFmt>
        <c:idx val="20"/>
        <c:spPr>
          <a:solidFill>
            <a:schemeClr val="accent1"/>
          </a:solidFill>
          <a:ln w="25400">
            <a:solidFill>
              <a:schemeClr val="lt1"/>
            </a:solidFill>
          </a:ln>
          <a:effectLst/>
          <a:sp3d contourW="25400">
            <a:contourClr>
              <a:schemeClr val="lt1"/>
            </a:contourClr>
          </a:sp3d>
        </c:spPr>
      </c:pivotFmt>
      <c:pivotFmt>
        <c:idx val="21"/>
        <c:spPr>
          <a:solidFill>
            <a:schemeClr val="accent1"/>
          </a:solidFill>
          <a:ln w="25400">
            <a:solidFill>
              <a:schemeClr val="lt1"/>
            </a:solidFill>
          </a:ln>
          <a:effectLst/>
          <a:sp3d contourW="25400">
            <a:contourClr>
              <a:schemeClr val="lt1"/>
            </a:contourClr>
          </a:sp3d>
        </c:spPr>
      </c:pivotFmt>
      <c:pivotFmt>
        <c:idx val="22"/>
        <c:spPr>
          <a:solidFill>
            <a:schemeClr val="accent1"/>
          </a:solidFill>
          <a:ln w="25400">
            <a:solidFill>
              <a:schemeClr val="lt1"/>
            </a:solidFill>
          </a:ln>
          <a:effectLst/>
          <a:sp3d contourW="25400">
            <a:contourClr>
              <a:schemeClr val="lt1"/>
            </a:contourClr>
          </a:sp3d>
        </c:spPr>
      </c:pivotFmt>
      <c:pivotFmt>
        <c:idx val="23"/>
        <c:spPr>
          <a:solidFill>
            <a:schemeClr val="accent1"/>
          </a:solidFill>
          <a:ln w="25400">
            <a:solidFill>
              <a:schemeClr val="lt1"/>
            </a:solidFill>
          </a:ln>
          <a:effectLst/>
          <a:sp3d contourW="25400">
            <a:contourClr>
              <a:schemeClr val="lt1"/>
            </a:contourClr>
          </a:sp3d>
        </c:spPr>
      </c:pivotFmt>
      <c:pivotFmt>
        <c:idx val="24"/>
        <c:spPr>
          <a:solidFill>
            <a:schemeClr val="accent1"/>
          </a:solidFill>
          <a:ln w="25400">
            <a:solidFill>
              <a:schemeClr val="lt1"/>
            </a:solidFill>
          </a:ln>
          <a:effectLst/>
          <a:sp3d contourW="25400">
            <a:contourClr>
              <a:schemeClr val="lt1"/>
            </a:contourClr>
          </a:sp3d>
        </c:spPr>
      </c:pivotFmt>
      <c:pivotFmt>
        <c:idx val="25"/>
        <c:spPr>
          <a:solidFill>
            <a:schemeClr val="accent1"/>
          </a:solidFill>
          <a:ln w="25400">
            <a:solidFill>
              <a:schemeClr val="lt1"/>
            </a:solidFill>
          </a:ln>
          <a:effectLst/>
          <a:sp3d contourW="25400">
            <a:contourClr>
              <a:schemeClr val="lt1"/>
            </a:contourClr>
          </a:sp3d>
        </c:spPr>
      </c:pivotFmt>
      <c:pivotFmt>
        <c:idx val="26"/>
        <c:spPr>
          <a:solidFill>
            <a:schemeClr val="accent1"/>
          </a:solidFill>
          <a:ln w="25400">
            <a:solidFill>
              <a:schemeClr val="lt1"/>
            </a:solidFill>
          </a:ln>
          <a:effectLst/>
          <a:sp3d contourW="25400">
            <a:contourClr>
              <a:schemeClr val="lt1"/>
            </a:contourClr>
          </a:sp3d>
        </c:spPr>
      </c:pivotFmt>
      <c:pivotFmt>
        <c:idx val="27"/>
        <c:spPr>
          <a:solidFill>
            <a:schemeClr val="accent1"/>
          </a:solidFill>
          <a:ln w="25400">
            <a:solidFill>
              <a:schemeClr val="lt1"/>
            </a:solidFill>
          </a:ln>
          <a:effectLst/>
          <a:sp3d contourW="25400">
            <a:contourClr>
              <a:schemeClr val="lt1"/>
            </a:contourClr>
          </a:sp3d>
        </c:spPr>
      </c:pivotFmt>
      <c:pivotFmt>
        <c:idx val="28"/>
        <c:spPr>
          <a:solidFill>
            <a:schemeClr val="accent1"/>
          </a:solidFill>
          <a:ln w="25400">
            <a:solidFill>
              <a:schemeClr val="lt1"/>
            </a:solidFill>
          </a:ln>
          <a:effectLst/>
          <a:sp3d contourW="25400">
            <a:contourClr>
              <a:schemeClr val="lt1"/>
            </a:contourClr>
          </a:sp3d>
        </c:spPr>
      </c:pivotFmt>
      <c:pivotFmt>
        <c:idx val="29"/>
        <c:spPr>
          <a:solidFill>
            <a:schemeClr val="accent1"/>
          </a:solidFill>
          <a:ln w="25400">
            <a:solidFill>
              <a:schemeClr val="lt1"/>
            </a:solidFill>
          </a:ln>
          <a:effectLst/>
          <a:sp3d contourW="25400">
            <a:contourClr>
              <a:schemeClr val="lt1"/>
            </a:contourClr>
          </a:sp3d>
        </c:spPr>
      </c:pivotFmt>
      <c:pivotFmt>
        <c:idx val="30"/>
        <c:spPr>
          <a:solidFill>
            <a:schemeClr val="accent1"/>
          </a:solidFill>
          <a:ln w="25400">
            <a:solidFill>
              <a:schemeClr val="lt1"/>
            </a:solidFill>
          </a:ln>
          <a:effectLst/>
          <a:sp3d contourW="25400">
            <a:contourClr>
              <a:schemeClr val="lt1"/>
            </a:contourClr>
          </a:sp3d>
        </c:spPr>
      </c:pivotFmt>
      <c:pivotFmt>
        <c:idx val="31"/>
        <c:spPr>
          <a:solidFill>
            <a:schemeClr val="accent1"/>
          </a:solidFill>
          <a:ln w="25400">
            <a:solidFill>
              <a:schemeClr val="lt1"/>
            </a:solidFill>
          </a:ln>
          <a:effectLst/>
          <a:sp3d contourW="25400">
            <a:contourClr>
              <a:schemeClr val="lt1"/>
            </a:contourClr>
          </a:sp3d>
        </c:spPr>
      </c:pivotFmt>
      <c:pivotFmt>
        <c:idx val="32"/>
        <c:spPr>
          <a:solidFill>
            <a:schemeClr val="accent1"/>
          </a:solidFill>
          <a:ln w="25400">
            <a:solidFill>
              <a:schemeClr val="lt1"/>
            </a:solidFill>
          </a:ln>
          <a:effectLst/>
          <a:sp3d contourW="25400">
            <a:contourClr>
              <a:schemeClr val="lt1"/>
            </a:contourClr>
          </a:sp3d>
        </c:spPr>
      </c:pivotFmt>
      <c:pivotFmt>
        <c:idx val="33"/>
        <c:spPr>
          <a:solidFill>
            <a:schemeClr val="accent1"/>
          </a:solidFill>
          <a:ln w="25400">
            <a:solidFill>
              <a:schemeClr val="lt1"/>
            </a:solidFill>
          </a:ln>
          <a:effectLst/>
          <a:sp3d contourW="25400">
            <a:contourClr>
              <a:schemeClr val="lt1"/>
            </a:contourClr>
          </a:sp3d>
        </c:spPr>
      </c:pivotFmt>
      <c:pivotFmt>
        <c:idx val="34"/>
        <c:spPr>
          <a:solidFill>
            <a:schemeClr val="accent1"/>
          </a:solidFill>
          <a:ln w="25400">
            <a:solidFill>
              <a:schemeClr val="lt1"/>
            </a:solidFill>
          </a:ln>
          <a:effectLst/>
          <a:sp3d contourW="25400">
            <a:contourClr>
              <a:schemeClr val="lt1"/>
            </a:contourClr>
          </a:sp3d>
        </c:spPr>
      </c:pivotFmt>
      <c:pivotFmt>
        <c:idx val="35"/>
        <c:spPr>
          <a:solidFill>
            <a:schemeClr val="accent1"/>
          </a:solidFill>
          <a:ln w="25400">
            <a:solidFill>
              <a:schemeClr val="lt1"/>
            </a:solidFill>
          </a:ln>
          <a:effectLst/>
          <a:sp3d contourW="25400">
            <a:contourClr>
              <a:schemeClr val="lt1"/>
            </a:contourClr>
          </a:sp3d>
        </c:spPr>
      </c:pivotFmt>
      <c:pivotFmt>
        <c:idx val="36"/>
        <c:spPr>
          <a:solidFill>
            <a:schemeClr val="accent1"/>
          </a:solidFill>
          <a:ln w="25400">
            <a:solidFill>
              <a:schemeClr val="lt1"/>
            </a:solidFill>
          </a:ln>
          <a:effectLst/>
          <a:sp3d contourW="25400">
            <a:contourClr>
              <a:schemeClr val="lt1"/>
            </a:contourClr>
          </a:sp3d>
        </c:spPr>
      </c:pivotFmt>
      <c:pivotFmt>
        <c:idx val="37"/>
        <c:spPr>
          <a:solidFill>
            <a:schemeClr val="accent1"/>
          </a:solidFill>
          <a:ln w="25400">
            <a:solidFill>
              <a:schemeClr val="lt1"/>
            </a:solidFill>
          </a:ln>
          <a:effectLst/>
          <a:sp3d contourW="25400">
            <a:contourClr>
              <a:schemeClr val="lt1"/>
            </a:contourClr>
          </a:sp3d>
        </c:spPr>
      </c:pivotFmt>
      <c:pivotFmt>
        <c:idx val="38"/>
        <c:spPr>
          <a:solidFill>
            <a:schemeClr val="accent1"/>
          </a:solidFill>
          <a:ln w="25400">
            <a:solidFill>
              <a:schemeClr val="lt1"/>
            </a:solidFill>
          </a:ln>
          <a:effectLst/>
          <a:sp3d contourW="25400">
            <a:contourClr>
              <a:schemeClr val="lt1"/>
            </a:contourClr>
          </a:sp3d>
        </c:spPr>
      </c:pivotFmt>
      <c:pivotFmt>
        <c:idx val="39"/>
        <c:spPr>
          <a:solidFill>
            <a:schemeClr val="accent1"/>
          </a:solidFill>
          <a:ln w="25400">
            <a:solidFill>
              <a:schemeClr val="lt1"/>
            </a:solidFill>
          </a:ln>
          <a:effectLst/>
          <a:sp3d contourW="25400">
            <a:contourClr>
              <a:schemeClr val="lt1"/>
            </a:contourClr>
          </a:sp3d>
        </c:spPr>
      </c:pivotFmt>
      <c:pivotFmt>
        <c:idx val="40"/>
        <c:spPr>
          <a:solidFill>
            <a:schemeClr val="accent1"/>
          </a:solidFill>
          <a:ln w="25400">
            <a:solidFill>
              <a:schemeClr val="lt1"/>
            </a:solidFill>
          </a:ln>
          <a:effectLst/>
          <a:sp3d contourW="25400">
            <a:contourClr>
              <a:schemeClr val="lt1"/>
            </a:contourClr>
          </a:sp3d>
        </c:spPr>
      </c:pivotFmt>
      <c:pivotFmt>
        <c:idx val="41"/>
        <c:spPr>
          <a:solidFill>
            <a:schemeClr val="accent1"/>
          </a:solidFill>
          <a:ln w="25400">
            <a:solidFill>
              <a:schemeClr val="lt1"/>
            </a:solidFill>
          </a:ln>
          <a:effectLst/>
          <a:sp3d contourW="25400">
            <a:contourClr>
              <a:schemeClr val="lt1"/>
            </a:contourClr>
          </a:sp3d>
        </c:spPr>
      </c:pivotFmt>
      <c:pivotFmt>
        <c:idx val="42"/>
        <c:spPr>
          <a:solidFill>
            <a:schemeClr val="accent1"/>
          </a:solidFill>
          <a:ln w="25400">
            <a:solidFill>
              <a:schemeClr val="lt1"/>
            </a:solidFill>
          </a:ln>
          <a:effectLst/>
          <a:sp3d contourW="25400">
            <a:contourClr>
              <a:schemeClr val="lt1"/>
            </a:contourClr>
          </a:sp3d>
        </c:spPr>
      </c:pivotFmt>
      <c:pivotFmt>
        <c:idx val="43"/>
        <c:spPr>
          <a:solidFill>
            <a:schemeClr val="accent1"/>
          </a:solidFill>
          <a:ln w="25400">
            <a:solidFill>
              <a:schemeClr val="lt1"/>
            </a:solidFill>
          </a:ln>
          <a:effectLst/>
          <a:sp3d contourW="25400">
            <a:contourClr>
              <a:schemeClr val="lt1"/>
            </a:contourClr>
          </a:sp3d>
        </c:spPr>
      </c:pivotFmt>
      <c:pivotFmt>
        <c:idx val="44"/>
        <c:spPr>
          <a:solidFill>
            <a:schemeClr val="accent1"/>
          </a:solidFill>
          <a:ln w="25400">
            <a:solidFill>
              <a:schemeClr val="lt1"/>
            </a:solidFill>
          </a:ln>
          <a:effectLst/>
          <a:sp3d contourW="25400">
            <a:contourClr>
              <a:schemeClr val="lt1"/>
            </a:contourClr>
          </a:sp3d>
        </c:spPr>
      </c:pivotFmt>
      <c:pivotFmt>
        <c:idx val="45"/>
        <c:spPr>
          <a:solidFill>
            <a:schemeClr val="accent1"/>
          </a:solidFill>
          <a:ln w="25400">
            <a:solidFill>
              <a:schemeClr val="lt1"/>
            </a:solidFill>
          </a:ln>
          <a:effectLst/>
          <a:sp3d contourW="25400">
            <a:contourClr>
              <a:schemeClr val="lt1"/>
            </a:contourClr>
          </a:sp3d>
        </c:spPr>
      </c:pivotFmt>
      <c:pivotFmt>
        <c:idx val="46"/>
        <c:spPr>
          <a:solidFill>
            <a:schemeClr val="accent1"/>
          </a:solidFill>
          <a:ln w="25400">
            <a:solidFill>
              <a:schemeClr val="lt1"/>
            </a:solidFill>
          </a:ln>
          <a:effectLst/>
          <a:sp3d contourW="25400">
            <a:contourClr>
              <a:schemeClr val="lt1"/>
            </a:contourClr>
          </a:sp3d>
        </c:spPr>
      </c:pivotFmt>
      <c:pivotFmt>
        <c:idx val="47"/>
        <c:spPr>
          <a:solidFill>
            <a:schemeClr val="accent1"/>
          </a:solidFill>
          <a:ln w="25400">
            <a:solidFill>
              <a:schemeClr val="lt1"/>
            </a:solidFill>
          </a:ln>
          <a:effectLst/>
          <a:sp3d contourW="25400">
            <a:contourClr>
              <a:schemeClr val="lt1"/>
            </a:contourClr>
          </a:sp3d>
        </c:spPr>
      </c:pivotFmt>
      <c:pivotFmt>
        <c:idx val="48"/>
        <c:spPr>
          <a:solidFill>
            <a:schemeClr val="accent1"/>
          </a:solidFill>
          <a:ln w="25400">
            <a:solidFill>
              <a:schemeClr val="lt1"/>
            </a:solidFill>
          </a:ln>
          <a:effectLst/>
          <a:sp3d contourW="25400">
            <a:contourClr>
              <a:schemeClr val="lt1"/>
            </a:contourClr>
          </a:sp3d>
        </c:spPr>
      </c:pivotFmt>
      <c:pivotFmt>
        <c:idx val="49"/>
        <c:spPr>
          <a:solidFill>
            <a:schemeClr val="accent1"/>
          </a:solidFill>
          <a:ln w="25400">
            <a:solidFill>
              <a:schemeClr val="lt1"/>
            </a:solidFill>
          </a:ln>
          <a:effectLst/>
          <a:sp3d contourW="25400">
            <a:contourClr>
              <a:schemeClr val="lt1"/>
            </a:contourClr>
          </a:sp3d>
        </c:spPr>
      </c:pivotFmt>
      <c:pivotFmt>
        <c:idx val="50"/>
        <c:spPr>
          <a:solidFill>
            <a:schemeClr val="accent1"/>
          </a:solidFill>
          <a:ln w="25400">
            <a:solidFill>
              <a:schemeClr val="lt1"/>
            </a:solidFill>
          </a:ln>
          <a:effectLst/>
          <a:sp3d contourW="25400">
            <a:contourClr>
              <a:schemeClr val="lt1"/>
            </a:contourClr>
          </a:sp3d>
        </c:spPr>
      </c:pivotFmt>
      <c:pivotFmt>
        <c:idx val="51"/>
        <c:spPr>
          <a:solidFill>
            <a:schemeClr val="accent1"/>
          </a:solidFill>
          <a:ln w="25400">
            <a:solidFill>
              <a:schemeClr val="lt1"/>
            </a:solidFill>
          </a:ln>
          <a:effectLst/>
          <a:sp3d contourW="25400">
            <a:contourClr>
              <a:schemeClr val="lt1"/>
            </a:contourClr>
          </a:sp3d>
        </c:spPr>
      </c:pivotFmt>
      <c:pivotFmt>
        <c:idx val="52"/>
        <c:spPr>
          <a:solidFill>
            <a:schemeClr val="accent1"/>
          </a:solidFill>
          <a:ln w="25400">
            <a:solidFill>
              <a:schemeClr val="lt1"/>
            </a:solidFill>
          </a:ln>
          <a:effectLst/>
          <a:sp3d contourW="25400">
            <a:contourClr>
              <a:schemeClr val="lt1"/>
            </a:contourClr>
          </a:sp3d>
        </c:spPr>
      </c:pivotFmt>
      <c:pivotFmt>
        <c:idx val="53"/>
        <c:spPr>
          <a:solidFill>
            <a:schemeClr val="accent1"/>
          </a:solidFill>
          <a:ln w="25400">
            <a:solidFill>
              <a:schemeClr val="lt1"/>
            </a:solidFill>
          </a:ln>
          <a:effectLst/>
          <a:sp3d contourW="25400">
            <a:contourClr>
              <a:schemeClr val="lt1"/>
            </a:contourClr>
          </a:sp3d>
        </c:spPr>
      </c:pivotFmt>
      <c:pivotFmt>
        <c:idx val="54"/>
        <c:spPr>
          <a:solidFill>
            <a:schemeClr val="accent1"/>
          </a:solidFill>
          <a:ln w="25400">
            <a:solidFill>
              <a:schemeClr val="lt1"/>
            </a:solidFill>
          </a:ln>
          <a:effectLst/>
          <a:sp3d contourW="25400">
            <a:contourClr>
              <a:schemeClr val="lt1"/>
            </a:contourClr>
          </a:sp3d>
        </c:spPr>
      </c:pivotFmt>
      <c:pivotFmt>
        <c:idx val="55"/>
        <c:spPr>
          <a:solidFill>
            <a:schemeClr val="accent1"/>
          </a:solidFill>
          <a:ln w="25400">
            <a:solidFill>
              <a:schemeClr val="lt1"/>
            </a:solidFill>
          </a:ln>
          <a:effectLst/>
          <a:sp3d contourW="25400">
            <a:contourClr>
              <a:schemeClr val="lt1"/>
            </a:contourClr>
          </a:sp3d>
        </c:spPr>
      </c:pivotFmt>
      <c:pivotFmt>
        <c:idx val="56"/>
        <c:spPr>
          <a:solidFill>
            <a:schemeClr val="accent1"/>
          </a:solidFill>
          <a:ln w="25400">
            <a:solidFill>
              <a:schemeClr val="lt1"/>
            </a:solidFill>
          </a:ln>
          <a:effectLst/>
          <a:sp3d contourW="25400">
            <a:contourClr>
              <a:schemeClr val="lt1"/>
            </a:contourClr>
          </a:sp3d>
        </c:spPr>
      </c:pivotFmt>
      <c:pivotFmt>
        <c:idx val="57"/>
        <c:spPr>
          <a:solidFill>
            <a:schemeClr val="accent1"/>
          </a:solidFill>
          <a:ln w="25400">
            <a:solidFill>
              <a:schemeClr val="lt1"/>
            </a:solidFill>
          </a:ln>
          <a:effectLst/>
          <a:sp3d contourW="25400">
            <a:contourClr>
              <a:schemeClr val="lt1"/>
            </a:contourClr>
          </a:sp3d>
        </c:spPr>
      </c:pivotFmt>
      <c:pivotFmt>
        <c:idx val="58"/>
        <c:spPr>
          <a:solidFill>
            <a:schemeClr val="accent1"/>
          </a:solidFill>
          <a:ln w="25400">
            <a:solidFill>
              <a:schemeClr val="lt1"/>
            </a:solidFill>
          </a:ln>
          <a:effectLst/>
          <a:sp3d contourW="25400">
            <a:contourClr>
              <a:schemeClr val="lt1"/>
            </a:contourClr>
          </a:sp3d>
        </c:spPr>
      </c:pivotFmt>
      <c:pivotFmt>
        <c:idx val="59"/>
        <c:spPr>
          <a:solidFill>
            <a:schemeClr val="accent1"/>
          </a:solidFill>
          <a:ln w="25400">
            <a:solidFill>
              <a:schemeClr val="lt1"/>
            </a:solidFill>
          </a:ln>
          <a:effectLst/>
          <a:sp3d contourW="25400">
            <a:contourClr>
              <a:schemeClr val="lt1"/>
            </a:contourClr>
          </a:sp3d>
        </c:spPr>
      </c:pivotFmt>
      <c:pivotFmt>
        <c:idx val="60"/>
        <c:spPr>
          <a:solidFill>
            <a:schemeClr val="accent1"/>
          </a:solidFill>
          <a:ln w="25400">
            <a:solidFill>
              <a:schemeClr val="lt1"/>
            </a:solidFill>
          </a:ln>
          <a:effectLst/>
          <a:sp3d contourW="25400">
            <a:contourClr>
              <a:schemeClr val="lt1"/>
            </a:contourClr>
          </a:sp3d>
        </c:spPr>
      </c:pivotFmt>
      <c:pivotFmt>
        <c:idx val="61"/>
        <c:spPr>
          <a:solidFill>
            <a:schemeClr val="accent1"/>
          </a:solidFill>
          <a:ln w="25400">
            <a:solidFill>
              <a:schemeClr val="lt1"/>
            </a:solidFill>
          </a:ln>
          <a:effectLst/>
          <a:sp3d contourW="25400">
            <a:contourClr>
              <a:schemeClr val="lt1"/>
            </a:contourClr>
          </a:sp3d>
        </c:spPr>
      </c:pivotFmt>
      <c:pivotFmt>
        <c:idx val="62"/>
        <c:spPr>
          <a:solidFill>
            <a:schemeClr val="accent1"/>
          </a:solidFill>
          <a:ln w="25400">
            <a:solidFill>
              <a:schemeClr val="lt1"/>
            </a:solidFill>
          </a:ln>
          <a:effectLst/>
          <a:sp3d contourW="25400">
            <a:contourClr>
              <a:schemeClr val="lt1"/>
            </a:contourClr>
          </a:sp3d>
        </c:spPr>
      </c:pivotFmt>
      <c:pivotFmt>
        <c:idx val="63"/>
        <c:spPr>
          <a:solidFill>
            <a:schemeClr val="accent1"/>
          </a:solidFill>
          <a:ln w="25400">
            <a:solidFill>
              <a:schemeClr val="lt1"/>
            </a:solidFill>
          </a:ln>
          <a:effectLst/>
          <a:sp3d contourW="25400">
            <a:contourClr>
              <a:schemeClr val="lt1"/>
            </a:contourClr>
          </a:sp3d>
        </c:spPr>
      </c:pivotFmt>
      <c:pivotFmt>
        <c:idx val="64"/>
        <c:spPr>
          <a:solidFill>
            <a:schemeClr val="accent1"/>
          </a:solidFill>
          <a:ln w="25400">
            <a:solidFill>
              <a:schemeClr val="lt1"/>
            </a:solidFill>
          </a:ln>
          <a:effectLst/>
          <a:sp3d contourW="25400">
            <a:contourClr>
              <a:schemeClr val="lt1"/>
            </a:contourClr>
          </a:sp3d>
        </c:spPr>
      </c:pivotFmt>
      <c:pivotFmt>
        <c:idx val="65"/>
        <c:spPr>
          <a:solidFill>
            <a:schemeClr val="accent1"/>
          </a:solidFill>
          <a:ln w="25400">
            <a:solidFill>
              <a:schemeClr val="lt1"/>
            </a:solidFill>
          </a:ln>
          <a:effectLst/>
          <a:sp3d contourW="25400">
            <a:contourClr>
              <a:schemeClr val="lt1"/>
            </a:contourClr>
          </a:sp3d>
        </c:spPr>
      </c:pivotFmt>
      <c:pivotFmt>
        <c:idx val="66"/>
        <c:spPr>
          <a:solidFill>
            <a:schemeClr val="accent1"/>
          </a:solidFill>
          <a:ln w="25400">
            <a:solidFill>
              <a:schemeClr val="lt1"/>
            </a:solidFill>
          </a:ln>
          <a:effectLst/>
          <a:sp3d contourW="25400">
            <a:contourClr>
              <a:schemeClr val="lt1"/>
            </a:contourClr>
          </a:sp3d>
        </c:spPr>
      </c:pivotFmt>
      <c:pivotFmt>
        <c:idx val="67"/>
        <c:spPr>
          <a:solidFill>
            <a:schemeClr val="accent1"/>
          </a:solidFill>
          <a:ln w="25400">
            <a:solidFill>
              <a:schemeClr val="lt1"/>
            </a:solidFill>
          </a:ln>
          <a:effectLst/>
          <a:sp3d contourW="25400">
            <a:contourClr>
              <a:schemeClr val="lt1"/>
            </a:contourClr>
          </a:sp3d>
        </c:spPr>
      </c:pivotFmt>
      <c:pivotFmt>
        <c:idx val="68"/>
        <c:spPr>
          <a:solidFill>
            <a:schemeClr val="accent1"/>
          </a:solidFill>
          <a:ln w="25400">
            <a:solidFill>
              <a:schemeClr val="lt1"/>
            </a:solidFill>
          </a:ln>
          <a:effectLst/>
          <a:sp3d contourW="25400">
            <a:contourClr>
              <a:schemeClr val="lt1"/>
            </a:contourClr>
          </a:sp3d>
        </c:spPr>
      </c:pivotFmt>
      <c:pivotFmt>
        <c:idx val="69"/>
        <c:spPr>
          <a:solidFill>
            <a:schemeClr val="accent1"/>
          </a:solidFill>
          <a:ln w="25400">
            <a:solidFill>
              <a:schemeClr val="lt1"/>
            </a:solidFill>
          </a:ln>
          <a:effectLst/>
          <a:sp3d contourW="25400">
            <a:contourClr>
              <a:schemeClr val="lt1"/>
            </a:contourClr>
          </a:sp3d>
        </c:spPr>
      </c:pivotFmt>
      <c:pivotFmt>
        <c:idx val="70"/>
        <c:spPr>
          <a:solidFill>
            <a:schemeClr val="accent1"/>
          </a:solidFill>
          <a:ln w="25400">
            <a:solidFill>
              <a:schemeClr val="lt1"/>
            </a:solidFill>
          </a:ln>
          <a:effectLst/>
          <a:sp3d contourW="25400">
            <a:contourClr>
              <a:schemeClr val="lt1"/>
            </a:contourClr>
          </a:sp3d>
        </c:spPr>
      </c:pivotFmt>
      <c:pivotFmt>
        <c:idx val="71"/>
        <c:spPr>
          <a:solidFill>
            <a:schemeClr val="accent1"/>
          </a:solidFill>
          <a:ln w="25400">
            <a:solidFill>
              <a:schemeClr val="lt1"/>
            </a:solidFill>
          </a:ln>
          <a:effectLst/>
          <a:sp3d contourW="25400">
            <a:contourClr>
              <a:schemeClr val="lt1"/>
            </a:contourClr>
          </a:sp3d>
        </c:spPr>
      </c:pivotFmt>
      <c:pivotFmt>
        <c:idx val="72"/>
        <c:spPr>
          <a:solidFill>
            <a:schemeClr val="accent1"/>
          </a:solidFill>
          <a:ln w="25400">
            <a:solidFill>
              <a:schemeClr val="lt1"/>
            </a:solidFill>
          </a:ln>
          <a:effectLst/>
          <a:sp3d contourW="25400">
            <a:contourClr>
              <a:schemeClr val="lt1"/>
            </a:contourClr>
          </a:sp3d>
        </c:spPr>
      </c:pivotFmt>
      <c:pivotFmt>
        <c:idx val="73"/>
        <c:spPr>
          <a:solidFill>
            <a:schemeClr val="accent1"/>
          </a:solidFill>
          <a:ln w="25400">
            <a:solidFill>
              <a:schemeClr val="lt1"/>
            </a:solidFill>
          </a:ln>
          <a:effectLst/>
          <a:sp3d contourW="25400">
            <a:contourClr>
              <a:schemeClr val="lt1"/>
            </a:contourClr>
          </a:sp3d>
        </c:spPr>
      </c:pivotFmt>
      <c:pivotFmt>
        <c:idx val="74"/>
        <c:spPr>
          <a:solidFill>
            <a:schemeClr val="accent1"/>
          </a:solidFill>
          <a:ln w="25400">
            <a:solidFill>
              <a:schemeClr val="lt1"/>
            </a:solidFill>
          </a:ln>
          <a:effectLst/>
          <a:sp3d contourW="25400">
            <a:contourClr>
              <a:schemeClr val="lt1"/>
            </a:contourClr>
          </a:sp3d>
        </c:spPr>
      </c:pivotFmt>
      <c:pivotFmt>
        <c:idx val="75"/>
        <c:spPr>
          <a:solidFill>
            <a:schemeClr val="accent1"/>
          </a:solidFill>
          <a:ln w="25400">
            <a:solidFill>
              <a:schemeClr val="lt1"/>
            </a:solidFill>
          </a:ln>
          <a:effectLst/>
          <a:sp3d contourW="25400">
            <a:contourClr>
              <a:schemeClr val="lt1"/>
            </a:contourClr>
          </a:sp3d>
        </c:spPr>
      </c:pivotFmt>
      <c:pivotFmt>
        <c:idx val="76"/>
        <c:spPr>
          <a:solidFill>
            <a:schemeClr val="accent1"/>
          </a:solidFill>
          <a:ln w="25400">
            <a:solidFill>
              <a:schemeClr val="lt1"/>
            </a:solidFill>
          </a:ln>
          <a:effectLst/>
          <a:sp3d contourW="25400">
            <a:contourClr>
              <a:schemeClr val="lt1"/>
            </a:contourClr>
          </a:sp3d>
        </c:spPr>
      </c:pivotFmt>
      <c:pivotFmt>
        <c:idx val="77"/>
        <c:spPr>
          <a:solidFill>
            <a:schemeClr val="accent1"/>
          </a:solidFill>
          <a:ln w="25400">
            <a:solidFill>
              <a:schemeClr val="lt1"/>
            </a:solidFill>
          </a:ln>
          <a:effectLst/>
          <a:sp3d contourW="25400">
            <a:contourClr>
              <a:schemeClr val="lt1"/>
            </a:contourClr>
          </a:sp3d>
        </c:spPr>
      </c:pivotFmt>
      <c:pivotFmt>
        <c:idx val="78"/>
        <c:spPr>
          <a:solidFill>
            <a:schemeClr val="accent1"/>
          </a:solidFill>
          <a:ln w="25400">
            <a:solidFill>
              <a:schemeClr val="lt1"/>
            </a:solidFill>
          </a:ln>
          <a:effectLst/>
          <a:sp3d contourW="25400">
            <a:contourClr>
              <a:schemeClr val="lt1"/>
            </a:contourClr>
          </a:sp3d>
        </c:spPr>
      </c:pivotFmt>
      <c:pivotFmt>
        <c:idx val="79"/>
        <c:spPr>
          <a:solidFill>
            <a:schemeClr val="accent1"/>
          </a:solidFill>
          <a:ln w="25400">
            <a:solidFill>
              <a:schemeClr val="lt1"/>
            </a:solidFill>
          </a:ln>
          <a:effectLst/>
          <a:sp3d contourW="25400">
            <a:contourClr>
              <a:schemeClr val="lt1"/>
            </a:contourClr>
          </a:sp3d>
        </c:spPr>
      </c:pivotFmt>
      <c:pivotFmt>
        <c:idx val="80"/>
        <c:spPr>
          <a:solidFill>
            <a:schemeClr val="accent1"/>
          </a:solidFill>
          <a:ln w="25400">
            <a:solidFill>
              <a:schemeClr val="lt1"/>
            </a:solidFill>
          </a:ln>
          <a:effectLst/>
          <a:sp3d contourW="25400">
            <a:contourClr>
              <a:schemeClr val="lt1"/>
            </a:contourClr>
          </a:sp3d>
        </c:spPr>
      </c:pivotFmt>
      <c:pivotFmt>
        <c:idx val="81"/>
        <c:spPr>
          <a:solidFill>
            <a:schemeClr val="accent1"/>
          </a:solidFill>
          <a:ln w="25400">
            <a:solidFill>
              <a:schemeClr val="lt1"/>
            </a:solidFill>
          </a:ln>
          <a:effectLst/>
          <a:sp3d contourW="25400">
            <a:contourClr>
              <a:schemeClr val="lt1"/>
            </a:contourClr>
          </a:sp3d>
        </c:spPr>
      </c:pivotFmt>
      <c:pivotFmt>
        <c:idx val="82"/>
        <c:spPr>
          <a:solidFill>
            <a:schemeClr val="accent1"/>
          </a:solidFill>
          <a:ln w="25400">
            <a:solidFill>
              <a:schemeClr val="lt1"/>
            </a:solidFill>
          </a:ln>
          <a:effectLst/>
          <a:sp3d contourW="25400">
            <a:contourClr>
              <a:schemeClr val="lt1"/>
            </a:contourClr>
          </a:sp3d>
        </c:spPr>
      </c:pivotFmt>
      <c:pivotFmt>
        <c:idx val="83"/>
        <c:spPr>
          <a:solidFill>
            <a:schemeClr val="accent1"/>
          </a:solidFill>
          <a:ln w="25400">
            <a:solidFill>
              <a:schemeClr val="lt1"/>
            </a:solidFill>
          </a:ln>
          <a:effectLst/>
          <a:sp3d contourW="25400">
            <a:contourClr>
              <a:schemeClr val="lt1"/>
            </a:contourClr>
          </a:sp3d>
        </c:spPr>
      </c:pivotFmt>
      <c:pivotFmt>
        <c:idx val="84"/>
        <c:spPr>
          <a:solidFill>
            <a:schemeClr val="accent1"/>
          </a:solidFill>
          <a:ln w="25400">
            <a:solidFill>
              <a:schemeClr val="lt1"/>
            </a:solidFill>
          </a:ln>
          <a:effectLst/>
          <a:sp3d contourW="25400">
            <a:contourClr>
              <a:schemeClr val="lt1"/>
            </a:contourClr>
          </a:sp3d>
        </c:spPr>
      </c:pivotFmt>
      <c:pivotFmt>
        <c:idx val="85"/>
        <c:spPr>
          <a:solidFill>
            <a:schemeClr val="accent1"/>
          </a:solidFill>
          <a:ln w="25400">
            <a:solidFill>
              <a:schemeClr val="lt1"/>
            </a:solidFill>
          </a:ln>
          <a:effectLst/>
          <a:sp3d contourW="25400">
            <a:contourClr>
              <a:schemeClr val="lt1"/>
            </a:contourClr>
          </a:sp3d>
        </c:spPr>
      </c:pivotFmt>
      <c:pivotFmt>
        <c:idx val="86"/>
        <c:spPr>
          <a:solidFill>
            <a:schemeClr val="accent1"/>
          </a:solidFill>
          <a:ln w="25400">
            <a:solidFill>
              <a:schemeClr val="lt1"/>
            </a:solidFill>
          </a:ln>
          <a:effectLst/>
          <a:sp3d contourW="25400">
            <a:contourClr>
              <a:schemeClr val="lt1"/>
            </a:contourClr>
          </a:sp3d>
        </c:spPr>
      </c:pivotFmt>
      <c:pivotFmt>
        <c:idx val="87"/>
        <c:spPr>
          <a:solidFill>
            <a:schemeClr val="accent1"/>
          </a:solidFill>
          <a:ln w="25400">
            <a:solidFill>
              <a:schemeClr val="lt1"/>
            </a:solidFill>
          </a:ln>
          <a:effectLst/>
          <a:sp3d contourW="25400">
            <a:contourClr>
              <a:schemeClr val="lt1"/>
            </a:contourClr>
          </a:sp3d>
        </c:spPr>
      </c:pivotFmt>
      <c:pivotFmt>
        <c:idx val="88"/>
        <c:spPr>
          <a:solidFill>
            <a:schemeClr val="accent1"/>
          </a:solidFill>
          <a:ln w="25400">
            <a:solidFill>
              <a:schemeClr val="lt1"/>
            </a:solidFill>
          </a:ln>
          <a:effectLst/>
          <a:sp3d contourW="25400">
            <a:contourClr>
              <a:schemeClr val="lt1"/>
            </a:contourClr>
          </a:sp3d>
        </c:spPr>
      </c:pivotFmt>
      <c:pivotFmt>
        <c:idx val="89"/>
        <c:spPr>
          <a:solidFill>
            <a:schemeClr val="accent1"/>
          </a:solidFill>
          <a:ln w="25400">
            <a:solidFill>
              <a:schemeClr val="lt1"/>
            </a:solidFill>
          </a:ln>
          <a:effectLst/>
          <a:sp3d contourW="25400">
            <a:contourClr>
              <a:schemeClr val="lt1"/>
            </a:contourClr>
          </a:sp3d>
        </c:spPr>
      </c:pivotFmt>
      <c:pivotFmt>
        <c:idx val="90"/>
        <c:spPr>
          <a:solidFill>
            <a:schemeClr val="accent1"/>
          </a:solidFill>
          <a:ln w="25400">
            <a:solidFill>
              <a:schemeClr val="lt1"/>
            </a:solidFill>
          </a:ln>
          <a:effectLst/>
          <a:sp3d contourW="25400">
            <a:contourClr>
              <a:schemeClr val="lt1"/>
            </a:contourClr>
          </a:sp3d>
        </c:spPr>
      </c:pivotFmt>
      <c:pivotFmt>
        <c:idx val="91"/>
        <c:spPr>
          <a:solidFill>
            <a:schemeClr val="accent1"/>
          </a:solidFill>
          <a:ln w="25400">
            <a:solidFill>
              <a:schemeClr val="lt1"/>
            </a:solidFill>
          </a:ln>
          <a:effectLst/>
          <a:sp3d contourW="25400">
            <a:contourClr>
              <a:schemeClr val="lt1"/>
            </a:contourClr>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1.9937419587257477E-2"/>
          <c:y val="0.30531666302058519"/>
          <c:w val="0.71834264834542727"/>
          <c:h val="0.65409687125635629"/>
        </c:manualLayout>
      </c:layout>
      <c:pie3DChart>
        <c:varyColors val="1"/>
        <c:ser>
          <c:idx val="0"/>
          <c:order val="0"/>
          <c:tx>
            <c:strRef>
              <c:f>'Dinamico Inc.'!$B$3</c:f>
              <c:strCache>
                <c:ptCount val="1"/>
                <c:pt idx="0">
                  <c:v>Total</c:v>
                </c:pt>
              </c:strCache>
            </c:strRef>
          </c:tx>
          <c:explosion val="4"/>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F92-4A80-9EB4-7223212BB22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F92-4A80-9EB4-7223212BB22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F92-4A80-9EB4-7223212BB22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F92-4A80-9EB4-7223212BB22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3F92-4A80-9EB4-7223212BB22C}"/>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3F92-4A80-9EB4-7223212BB22C}"/>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3F92-4A80-9EB4-7223212BB22C}"/>
              </c:ext>
            </c:extLst>
          </c:dPt>
          <c:dLbls>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'Dinamico Inc.'!$A$4</c:f>
              <c:strCache>
                <c:ptCount val="1"/>
                <c:pt idx="0">
                  <c:v>Total general</c:v>
                </c:pt>
              </c:strCache>
            </c:strRef>
          </c:cat>
          <c:val>
            <c:numRef>
              <c:f>'Dinamico Inc.'!$B$4</c:f>
              <c:numCache>
                <c:formatCode>General</c:formatCode>
                <c:ptCount val="1"/>
              </c:numCache>
            </c:numRef>
          </c:val>
          <c:extLst>
            <c:ext xmlns:c16="http://schemas.microsoft.com/office/drawing/2014/chart" uri="{C3380CC4-5D6E-409C-BE32-E72D297353CC}">
              <c16:uniqueId val="{0000000E-3F92-4A80-9EB4-7223212BB22C}"/>
            </c:ext>
          </c:extLst>
        </c:ser>
        <c:dLbls>
          <c:showLegendKey val="0"/>
          <c:showVal val="0"/>
          <c:showCatName val="0"/>
          <c:showSerName val="0"/>
          <c:showPercent val="0"/>
          <c:showBubbleSize val="0"/>
          <c:showLeaderLines val="1"/>
        </c:dLbls>
      </c:pie3DChart>
      <c:spPr>
        <a:noFill/>
        <a:ln>
          <a:noFill/>
        </a:ln>
        <a:effectLst/>
      </c:spPr>
    </c:plotArea>
    <c:legend>
      <c:legendPos val="r"/>
      <c:layout>
        <c:manualLayout>
          <c:xMode val="edge"/>
          <c:yMode val="edge"/>
          <c:x val="0.73730245484020374"/>
          <c:y val="6.4130233747070609E-2"/>
          <c:w val="0.24701127064999229"/>
          <c:h val="0.5696417902474139"/>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s-CL">
                <a:solidFill>
                  <a:srgbClr val="002060"/>
                </a:solidFill>
              </a:rPr>
              <a:t>Indicador</a:t>
            </a:r>
            <a:r>
              <a:rPr lang="es-CL" baseline="0">
                <a:solidFill>
                  <a:srgbClr val="002060"/>
                </a:solidFill>
              </a:rPr>
              <a:t> reactivo transferencia de contenedores 2024 </a:t>
            </a:r>
            <a:endParaRPr lang="es-CL">
              <a:solidFill>
                <a:srgbClr val="002060"/>
              </a:solidFill>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s-CL"/>
        </a:p>
      </c:txPr>
    </c:title>
    <c:autoTitleDeleted val="0"/>
    <c:plotArea>
      <c:layout/>
      <c:barChart>
        <c:barDir val="col"/>
        <c:grouping val="clustered"/>
        <c:varyColors val="0"/>
        <c:ser>
          <c:idx val="0"/>
          <c:order val="0"/>
          <c:tx>
            <c:strRef>
              <c:f>Hoja1!$B$39</c:f>
              <c:strCache>
                <c:ptCount val="1"/>
                <c:pt idx="0">
                  <c:v>CTP</c:v>
                </c:pt>
              </c:strCache>
            </c:strRef>
          </c:tx>
          <c:spPr>
            <a:solidFill>
              <a:schemeClr val="accent1">
                <a:shade val="53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Hoja1!$A$40:$A$50</c:f>
              <c:strCache>
                <c:ptCount val="11"/>
                <c:pt idx="0">
                  <c:v>ene</c:v>
                </c:pt>
                <c:pt idx="1">
                  <c:v>feb</c:v>
                </c:pt>
                <c:pt idx="2">
                  <c:v>mar</c:v>
                </c:pt>
                <c:pt idx="3">
                  <c:v>abr</c:v>
                </c:pt>
                <c:pt idx="4">
                  <c:v>may</c:v>
                </c:pt>
                <c:pt idx="5">
                  <c:v>jun</c:v>
                </c:pt>
                <c:pt idx="6">
                  <c:v>jul</c:v>
                </c:pt>
                <c:pt idx="7">
                  <c:v>ago</c:v>
                </c:pt>
                <c:pt idx="8">
                  <c:v>oct</c:v>
                </c:pt>
                <c:pt idx="9">
                  <c:v>nov</c:v>
                </c:pt>
                <c:pt idx="10">
                  <c:v>Total general</c:v>
                </c:pt>
              </c:strCache>
            </c:strRef>
          </c:cat>
          <c:val>
            <c:numRef>
              <c:f>Hoja1!$B$40:$B$50</c:f>
              <c:numCache>
                <c:formatCode>General</c:formatCode>
                <c:ptCount val="11"/>
                <c:pt idx="8">
                  <c:v>1</c:v>
                </c:pt>
                <c:pt idx="10">
                  <c:v>1</c:v>
                </c:pt>
              </c:numCache>
            </c:numRef>
          </c:val>
          <c:extLst>
            <c:ext xmlns:c16="http://schemas.microsoft.com/office/drawing/2014/chart" uri="{C3380CC4-5D6E-409C-BE32-E72D297353CC}">
              <c16:uniqueId val="{00000000-097D-4F48-8846-70B60520271D}"/>
            </c:ext>
          </c:extLst>
        </c:ser>
        <c:ser>
          <c:idx val="1"/>
          <c:order val="1"/>
          <c:tx>
            <c:strRef>
              <c:f>Hoja1!$C$39</c:f>
              <c:strCache>
                <c:ptCount val="1"/>
                <c:pt idx="0">
                  <c:v>CUASI INCIDENTE</c:v>
                </c:pt>
              </c:strCache>
            </c:strRef>
          </c:tx>
          <c:spPr>
            <a:solidFill>
              <a:schemeClr val="accent1">
                <a:shade val="7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Hoja1!$A$40:$A$50</c:f>
              <c:strCache>
                <c:ptCount val="11"/>
                <c:pt idx="0">
                  <c:v>ene</c:v>
                </c:pt>
                <c:pt idx="1">
                  <c:v>feb</c:v>
                </c:pt>
                <c:pt idx="2">
                  <c:v>mar</c:v>
                </c:pt>
                <c:pt idx="3">
                  <c:v>abr</c:v>
                </c:pt>
                <c:pt idx="4">
                  <c:v>may</c:v>
                </c:pt>
                <c:pt idx="5">
                  <c:v>jun</c:v>
                </c:pt>
                <c:pt idx="6">
                  <c:v>jul</c:v>
                </c:pt>
                <c:pt idx="7">
                  <c:v>ago</c:v>
                </c:pt>
                <c:pt idx="8">
                  <c:v>oct</c:v>
                </c:pt>
                <c:pt idx="9">
                  <c:v>nov</c:v>
                </c:pt>
                <c:pt idx="10">
                  <c:v>Total general</c:v>
                </c:pt>
              </c:strCache>
            </c:strRef>
          </c:cat>
          <c:val>
            <c:numRef>
              <c:f>Hoja1!$C$40:$C$50</c:f>
              <c:numCache>
                <c:formatCode>General</c:formatCode>
                <c:ptCount val="11"/>
                <c:pt idx="0">
                  <c:v>3</c:v>
                </c:pt>
                <c:pt idx="1">
                  <c:v>2</c:v>
                </c:pt>
                <c:pt idx="2">
                  <c:v>1</c:v>
                </c:pt>
                <c:pt idx="3">
                  <c:v>3</c:v>
                </c:pt>
                <c:pt idx="4">
                  <c:v>4</c:v>
                </c:pt>
                <c:pt idx="5">
                  <c:v>1</c:v>
                </c:pt>
                <c:pt idx="6">
                  <c:v>2</c:v>
                </c:pt>
                <c:pt idx="8">
                  <c:v>1</c:v>
                </c:pt>
                <c:pt idx="9">
                  <c:v>2</c:v>
                </c:pt>
                <c:pt idx="10">
                  <c:v>19</c:v>
                </c:pt>
              </c:numCache>
            </c:numRef>
          </c:val>
          <c:extLst>
            <c:ext xmlns:c16="http://schemas.microsoft.com/office/drawing/2014/chart" uri="{C3380CC4-5D6E-409C-BE32-E72D297353CC}">
              <c16:uniqueId val="{00000001-097D-4F48-8846-70B60520271D}"/>
            </c:ext>
          </c:extLst>
        </c:ser>
        <c:ser>
          <c:idx val="2"/>
          <c:order val="2"/>
          <c:tx>
            <c:strRef>
              <c:f>Hoja1!$D$39</c:f>
              <c:strCache>
                <c:ptCount val="1"/>
                <c:pt idx="0">
                  <c:v>MEDIO AMBIENTE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Hoja1!$A$40:$A$50</c:f>
              <c:strCache>
                <c:ptCount val="11"/>
                <c:pt idx="0">
                  <c:v>ene</c:v>
                </c:pt>
                <c:pt idx="1">
                  <c:v>feb</c:v>
                </c:pt>
                <c:pt idx="2">
                  <c:v>mar</c:v>
                </c:pt>
                <c:pt idx="3">
                  <c:v>abr</c:v>
                </c:pt>
                <c:pt idx="4">
                  <c:v>may</c:v>
                </c:pt>
                <c:pt idx="5">
                  <c:v>jun</c:v>
                </c:pt>
                <c:pt idx="6">
                  <c:v>jul</c:v>
                </c:pt>
                <c:pt idx="7">
                  <c:v>ago</c:v>
                </c:pt>
                <c:pt idx="8">
                  <c:v>oct</c:v>
                </c:pt>
                <c:pt idx="9">
                  <c:v>nov</c:v>
                </c:pt>
                <c:pt idx="10">
                  <c:v>Total general</c:v>
                </c:pt>
              </c:strCache>
            </c:strRef>
          </c:cat>
          <c:val>
            <c:numRef>
              <c:f>Hoja1!$D$40:$D$50</c:f>
              <c:numCache>
                <c:formatCode>General</c:formatCode>
                <c:ptCount val="11"/>
                <c:pt idx="2">
                  <c:v>1</c:v>
                </c:pt>
                <c:pt idx="3">
                  <c:v>2</c:v>
                </c:pt>
                <c:pt idx="4">
                  <c:v>1</c:v>
                </c:pt>
                <c:pt idx="7">
                  <c:v>1</c:v>
                </c:pt>
                <c:pt idx="10">
                  <c:v>5</c:v>
                </c:pt>
              </c:numCache>
            </c:numRef>
          </c:val>
          <c:extLst>
            <c:ext xmlns:c16="http://schemas.microsoft.com/office/drawing/2014/chart" uri="{C3380CC4-5D6E-409C-BE32-E72D297353CC}">
              <c16:uniqueId val="{00000002-097D-4F48-8846-70B60520271D}"/>
            </c:ext>
          </c:extLst>
        </c:ser>
        <c:ser>
          <c:idx val="3"/>
          <c:order val="3"/>
          <c:tx>
            <c:strRef>
              <c:f>Hoja1!$E$39</c:f>
              <c:strCache>
                <c:ptCount val="1"/>
                <c:pt idx="0">
                  <c:v>STP</c:v>
                </c:pt>
              </c:strCache>
            </c:strRef>
          </c:tx>
          <c:spPr>
            <a:solidFill>
              <a:schemeClr val="accent1">
                <a:tint val="77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Hoja1!$A$40:$A$50</c:f>
              <c:strCache>
                <c:ptCount val="11"/>
                <c:pt idx="0">
                  <c:v>ene</c:v>
                </c:pt>
                <c:pt idx="1">
                  <c:v>feb</c:v>
                </c:pt>
                <c:pt idx="2">
                  <c:v>mar</c:v>
                </c:pt>
                <c:pt idx="3">
                  <c:v>abr</c:v>
                </c:pt>
                <c:pt idx="4">
                  <c:v>may</c:v>
                </c:pt>
                <c:pt idx="5">
                  <c:v>jun</c:v>
                </c:pt>
                <c:pt idx="6">
                  <c:v>jul</c:v>
                </c:pt>
                <c:pt idx="7">
                  <c:v>ago</c:v>
                </c:pt>
                <c:pt idx="8">
                  <c:v>oct</c:v>
                </c:pt>
                <c:pt idx="9">
                  <c:v>nov</c:v>
                </c:pt>
                <c:pt idx="10">
                  <c:v>Total general</c:v>
                </c:pt>
              </c:strCache>
            </c:strRef>
          </c:cat>
          <c:val>
            <c:numRef>
              <c:f>Hoja1!$E$40:$E$50</c:f>
              <c:numCache>
                <c:formatCode>General</c:formatCode>
                <c:ptCount val="11"/>
                <c:pt idx="4">
                  <c:v>1</c:v>
                </c:pt>
                <c:pt idx="10">
                  <c:v>1</c:v>
                </c:pt>
              </c:numCache>
            </c:numRef>
          </c:val>
          <c:extLst>
            <c:ext xmlns:c16="http://schemas.microsoft.com/office/drawing/2014/chart" uri="{C3380CC4-5D6E-409C-BE32-E72D297353CC}">
              <c16:uniqueId val="{00000003-097D-4F48-8846-70B60520271D}"/>
            </c:ext>
          </c:extLst>
        </c:ser>
        <c:dLbls>
          <c:showLegendKey val="0"/>
          <c:showVal val="1"/>
          <c:showCatName val="0"/>
          <c:showSerName val="0"/>
          <c:showPercent val="0"/>
          <c:showBubbleSize val="0"/>
        </c:dLbls>
        <c:gapWidth val="219"/>
        <c:axId val="887290352"/>
        <c:axId val="887279792"/>
      </c:barChart>
      <c:lineChart>
        <c:grouping val="standard"/>
        <c:varyColors val="0"/>
        <c:ser>
          <c:idx val="4"/>
          <c:order val="4"/>
          <c:tx>
            <c:strRef>
              <c:f>Hoja1!$F$39</c:f>
              <c:strCache>
                <c:ptCount val="1"/>
                <c:pt idx="0">
                  <c:v>Total general</c:v>
                </c:pt>
              </c:strCache>
            </c:strRef>
          </c:tx>
          <c:spPr>
            <a:ln w="28575" cap="rnd">
              <a:solidFill>
                <a:schemeClr val="accent1">
                  <a:tint val="54000"/>
                </a:schemeClr>
              </a:solidFill>
              <a:round/>
            </a:ln>
            <a:effectLst/>
          </c:spPr>
          <c:marker>
            <c:symbol val="none"/>
          </c:marker>
          <c:dLbls>
            <c:spPr>
              <a:noFill/>
              <a:ln w="12700">
                <a:solidFill>
                  <a:srgbClr val="FF0000"/>
                </a:solidFill>
                <a:prstDash val="sysDash"/>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CL"/>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Hoja1!$A$40:$A$50</c:f>
              <c:strCache>
                <c:ptCount val="11"/>
                <c:pt idx="0">
                  <c:v>ene</c:v>
                </c:pt>
                <c:pt idx="1">
                  <c:v>feb</c:v>
                </c:pt>
                <c:pt idx="2">
                  <c:v>mar</c:v>
                </c:pt>
                <c:pt idx="3">
                  <c:v>abr</c:v>
                </c:pt>
                <c:pt idx="4">
                  <c:v>may</c:v>
                </c:pt>
                <c:pt idx="5">
                  <c:v>jun</c:v>
                </c:pt>
                <c:pt idx="6">
                  <c:v>jul</c:v>
                </c:pt>
                <c:pt idx="7">
                  <c:v>ago</c:v>
                </c:pt>
                <c:pt idx="8">
                  <c:v>oct</c:v>
                </c:pt>
                <c:pt idx="9">
                  <c:v>nov</c:v>
                </c:pt>
                <c:pt idx="10">
                  <c:v>Total general</c:v>
                </c:pt>
              </c:strCache>
            </c:strRef>
          </c:cat>
          <c:val>
            <c:numRef>
              <c:f>Hoja1!$F$40:$F$50</c:f>
              <c:numCache>
                <c:formatCode>General</c:formatCode>
                <c:ptCount val="11"/>
                <c:pt idx="0">
                  <c:v>3</c:v>
                </c:pt>
                <c:pt idx="1">
                  <c:v>2</c:v>
                </c:pt>
                <c:pt idx="2">
                  <c:v>2</c:v>
                </c:pt>
                <c:pt idx="3">
                  <c:v>5</c:v>
                </c:pt>
                <c:pt idx="4">
                  <c:v>6</c:v>
                </c:pt>
                <c:pt idx="5">
                  <c:v>1</c:v>
                </c:pt>
                <c:pt idx="6">
                  <c:v>2</c:v>
                </c:pt>
                <c:pt idx="7">
                  <c:v>1</c:v>
                </c:pt>
                <c:pt idx="8">
                  <c:v>2</c:v>
                </c:pt>
                <c:pt idx="9">
                  <c:v>2</c:v>
                </c:pt>
                <c:pt idx="10">
                  <c:v>26</c:v>
                </c:pt>
              </c:numCache>
            </c:numRef>
          </c:val>
          <c:smooth val="0"/>
          <c:extLst>
            <c:ext xmlns:c16="http://schemas.microsoft.com/office/drawing/2014/chart" uri="{C3380CC4-5D6E-409C-BE32-E72D297353CC}">
              <c16:uniqueId val="{00000004-097D-4F48-8846-70B60520271D}"/>
            </c:ext>
          </c:extLst>
        </c:ser>
        <c:dLbls>
          <c:showLegendKey val="0"/>
          <c:showVal val="1"/>
          <c:showCatName val="0"/>
          <c:showSerName val="0"/>
          <c:showPercent val="0"/>
          <c:showBubbleSize val="0"/>
        </c:dLbls>
        <c:marker val="1"/>
        <c:smooth val="0"/>
        <c:axId val="887290352"/>
        <c:axId val="887279792"/>
      </c:lineChart>
      <c:catAx>
        <c:axId val="8872903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crossAx val="887279792"/>
        <c:crosses val="autoZero"/>
        <c:auto val="1"/>
        <c:lblAlgn val="ctr"/>
        <c:lblOffset val="100"/>
        <c:noMultiLvlLbl val="0"/>
      </c:catAx>
      <c:valAx>
        <c:axId val="887279792"/>
        <c:scaling>
          <c:orientation val="minMax"/>
        </c:scaling>
        <c:delete val="1"/>
        <c:axPos val="l"/>
        <c:numFmt formatCode="General" sourceLinked="1"/>
        <c:majorTickMark val="none"/>
        <c:minorTickMark val="none"/>
        <c:tickLblPos val="nextTo"/>
        <c:crossAx val="8872903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CL"/>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18039497962986645"/>
          <c:w val="0.93548387096774188"/>
          <c:h val="0.68418364177795643"/>
        </c:manualLayout>
      </c:layout>
      <c:barChart>
        <c:barDir val="col"/>
        <c:grouping val="clustered"/>
        <c:varyColors val="0"/>
        <c:ser>
          <c:idx val="0"/>
          <c:order val="0"/>
          <c:tx>
            <c:strRef>
              <c:f>Hoja5!$A$12</c:f>
              <c:strCache>
                <c:ptCount val="1"/>
                <c:pt idx="0">
                  <c:v>Conducta Insegura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Hoja5!$B$11:$E$11</c:f>
              <c:strCache>
                <c:ptCount val="4"/>
                <c:pt idx="0">
                  <c:v>Entre 1 y 3 años</c:v>
                </c:pt>
                <c:pt idx="1">
                  <c:v>Mayor a 3 años</c:v>
                </c:pt>
                <c:pt idx="2">
                  <c:v>Práctica validación MC</c:v>
                </c:pt>
                <c:pt idx="3">
                  <c:v>Total general</c:v>
                </c:pt>
              </c:strCache>
            </c:strRef>
          </c:cat>
          <c:val>
            <c:numRef>
              <c:f>Hoja5!$B$12:$E$12</c:f>
              <c:numCache>
                <c:formatCode>General</c:formatCode>
                <c:ptCount val="4"/>
                <c:pt idx="1">
                  <c:v>1</c:v>
                </c:pt>
                <c:pt idx="3">
                  <c:v>1</c:v>
                </c:pt>
              </c:numCache>
            </c:numRef>
          </c:val>
          <c:extLst>
            <c:ext xmlns:c16="http://schemas.microsoft.com/office/drawing/2014/chart" uri="{C3380CC4-5D6E-409C-BE32-E72D297353CC}">
              <c16:uniqueId val="{00000000-0506-4660-9697-02D0527A0D63}"/>
            </c:ext>
          </c:extLst>
        </c:ser>
        <c:ser>
          <c:idx val="1"/>
          <c:order val="1"/>
          <c:tx>
            <c:strRef>
              <c:f>Hoja5!$A$13</c:f>
              <c:strCache>
                <c:ptCount val="1"/>
                <c:pt idx="0">
                  <c:v>Cuasi Accidente</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Hoja5!$B$11:$E$11</c:f>
              <c:strCache>
                <c:ptCount val="4"/>
                <c:pt idx="0">
                  <c:v>Entre 1 y 3 años</c:v>
                </c:pt>
                <c:pt idx="1">
                  <c:v>Mayor a 3 años</c:v>
                </c:pt>
                <c:pt idx="2">
                  <c:v>Práctica validación MC</c:v>
                </c:pt>
                <c:pt idx="3">
                  <c:v>Total general</c:v>
                </c:pt>
              </c:strCache>
            </c:strRef>
          </c:cat>
          <c:val>
            <c:numRef>
              <c:f>Hoja5!$B$13:$E$13</c:f>
              <c:numCache>
                <c:formatCode>General</c:formatCode>
                <c:ptCount val="4"/>
                <c:pt idx="0">
                  <c:v>1</c:v>
                </c:pt>
                <c:pt idx="1">
                  <c:v>8</c:v>
                </c:pt>
                <c:pt idx="2">
                  <c:v>1</c:v>
                </c:pt>
                <c:pt idx="3">
                  <c:v>10</c:v>
                </c:pt>
              </c:numCache>
            </c:numRef>
          </c:val>
          <c:extLst>
            <c:ext xmlns:c16="http://schemas.microsoft.com/office/drawing/2014/chart" uri="{C3380CC4-5D6E-409C-BE32-E72D297353CC}">
              <c16:uniqueId val="{00000001-0506-4660-9697-02D0527A0D63}"/>
            </c:ext>
          </c:extLst>
        </c:ser>
        <c:ser>
          <c:idx val="2"/>
          <c:order val="2"/>
          <c:tx>
            <c:strRef>
              <c:f>Hoja5!$A$14</c:f>
              <c:strCache>
                <c:ptCount val="1"/>
                <c:pt idx="0">
                  <c:v>STP</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Hoja5!$B$11:$E$11</c:f>
              <c:strCache>
                <c:ptCount val="4"/>
                <c:pt idx="0">
                  <c:v>Entre 1 y 3 años</c:v>
                </c:pt>
                <c:pt idx="1">
                  <c:v>Mayor a 3 años</c:v>
                </c:pt>
                <c:pt idx="2">
                  <c:v>Práctica validación MC</c:v>
                </c:pt>
                <c:pt idx="3">
                  <c:v>Total general</c:v>
                </c:pt>
              </c:strCache>
            </c:strRef>
          </c:cat>
          <c:val>
            <c:numRef>
              <c:f>Hoja5!$B$14:$E$14</c:f>
              <c:numCache>
                <c:formatCode>General</c:formatCode>
                <c:ptCount val="4"/>
                <c:pt idx="1">
                  <c:v>1</c:v>
                </c:pt>
                <c:pt idx="3">
                  <c:v>1</c:v>
                </c:pt>
              </c:numCache>
            </c:numRef>
          </c:val>
          <c:extLst>
            <c:ext xmlns:c16="http://schemas.microsoft.com/office/drawing/2014/chart" uri="{C3380CC4-5D6E-409C-BE32-E72D297353CC}">
              <c16:uniqueId val="{00000002-0506-4660-9697-02D0527A0D63}"/>
            </c:ext>
          </c:extLst>
        </c:ser>
        <c:ser>
          <c:idx val="3"/>
          <c:order val="3"/>
          <c:tx>
            <c:strRef>
              <c:f>Hoja5!$A$15</c:f>
              <c:strCache>
                <c:ptCount val="1"/>
                <c:pt idx="0">
                  <c:v>Total general</c:v>
                </c:pt>
              </c:strCache>
            </c:strRef>
          </c:tx>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Hoja5!$B$11:$E$11</c:f>
              <c:strCache>
                <c:ptCount val="4"/>
                <c:pt idx="0">
                  <c:v>Entre 1 y 3 años</c:v>
                </c:pt>
                <c:pt idx="1">
                  <c:v>Mayor a 3 años</c:v>
                </c:pt>
                <c:pt idx="2">
                  <c:v>Práctica validación MC</c:v>
                </c:pt>
                <c:pt idx="3">
                  <c:v>Total general</c:v>
                </c:pt>
              </c:strCache>
            </c:strRef>
          </c:cat>
          <c:val>
            <c:numRef>
              <c:f>Hoja5!$B$15:$E$15</c:f>
              <c:numCache>
                <c:formatCode>General</c:formatCode>
                <c:ptCount val="4"/>
                <c:pt idx="0">
                  <c:v>1</c:v>
                </c:pt>
                <c:pt idx="1">
                  <c:v>10</c:v>
                </c:pt>
                <c:pt idx="2">
                  <c:v>1</c:v>
                </c:pt>
                <c:pt idx="3">
                  <c:v>12</c:v>
                </c:pt>
              </c:numCache>
            </c:numRef>
          </c:val>
          <c:extLst>
            <c:ext xmlns:c16="http://schemas.microsoft.com/office/drawing/2014/chart" uri="{C3380CC4-5D6E-409C-BE32-E72D297353CC}">
              <c16:uniqueId val="{00000003-0506-4660-9697-02D0527A0D63}"/>
            </c:ext>
          </c:extLst>
        </c:ser>
        <c:dLbls>
          <c:dLblPos val="outEnd"/>
          <c:showLegendKey val="0"/>
          <c:showVal val="1"/>
          <c:showCatName val="0"/>
          <c:showSerName val="0"/>
          <c:showPercent val="0"/>
          <c:showBubbleSize val="0"/>
        </c:dLbls>
        <c:gapWidth val="100"/>
        <c:overlap val="-24"/>
        <c:axId val="177783120"/>
        <c:axId val="177772560"/>
      </c:barChart>
      <c:catAx>
        <c:axId val="17778312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L"/>
          </a:p>
        </c:txPr>
        <c:crossAx val="177772560"/>
        <c:crosses val="autoZero"/>
        <c:auto val="1"/>
        <c:lblAlgn val="ctr"/>
        <c:lblOffset val="100"/>
        <c:noMultiLvlLbl val="0"/>
      </c:catAx>
      <c:valAx>
        <c:axId val="177772560"/>
        <c:scaling>
          <c:orientation val="minMax"/>
        </c:scaling>
        <c:delete val="1"/>
        <c:axPos val="l"/>
        <c:numFmt formatCode="General" sourceLinked="1"/>
        <c:majorTickMark val="none"/>
        <c:minorTickMark val="none"/>
        <c:tickLblPos val="nextTo"/>
        <c:crossAx val="1777831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L"/>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Hoja5!$H$13</c:f>
              <c:strCache>
                <c:ptCount val="1"/>
                <c:pt idx="0">
                  <c:v>Conducta Insegura</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Hoja5!$I$12:$L$12</c:f>
              <c:strCache>
                <c:ptCount val="4"/>
                <c:pt idx="0">
                  <c:v>1°</c:v>
                </c:pt>
                <c:pt idx="1">
                  <c:v>2°</c:v>
                </c:pt>
                <c:pt idx="2">
                  <c:v>3°</c:v>
                </c:pt>
                <c:pt idx="3">
                  <c:v>Total general</c:v>
                </c:pt>
              </c:strCache>
            </c:strRef>
          </c:cat>
          <c:val>
            <c:numRef>
              <c:f>Hoja5!$I$13:$L$13</c:f>
              <c:numCache>
                <c:formatCode>General</c:formatCode>
                <c:ptCount val="4"/>
                <c:pt idx="0">
                  <c:v>1</c:v>
                </c:pt>
                <c:pt idx="3">
                  <c:v>1</c:v>
                </c:pt>
              </c:numCache>
            </c:numRef>
          </c:val>
          <c:extLst>
            <c:ext xmlns:c16="http://schemas.microsoft.com/office/drawing/2014/chart" uri="{C3380CC4-5D6E-409C-BE32-E72D297353CC}">
              <c16:uniqueId val="{00000000-89F1-42E2-828E-8C5C5EF2D9D3}"/>
            </c:ext>
          </c:extLst>
        </c:ser>
        <c:ser>
          <c:idx val="1"/>
          <c:order val="1"/>
          <c:tx>
            <c:strRef>
              <c:f>Hoja5!$H$14</c:f>
              <c:strCache>
                <c:ptCount val="1"/>
                <c:pt idx="0">
                  <c:v>Cuasi Accidente</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Hoja5!$I$12:$L$12</c:f>
              <c:strCache>
                <c:ptCount val="4"/>
                <c:pt idx="0">
                  <c:v>1°</c:v>
                </c:pt>
                <c:pt idx="1">
                  <c:v>2°</c:v>
                </c:pt>
                <c:pt idx="2">
                  <c:v>3°</c:v>
                </c:pt>
                <c:pt idx="3">
                  <c:v>Total general</c:v>
                </c:pt>
              </c:strCache>
            </c:strRef>
          </c:cat>
          <c:val>
            <c:numRef>
              <c:f>Hoja5!$I$14:$L$14</c:f>
              <c:numCache>
                <c:formatCode>General</c:formatCode>
                <c:ptCount val="4"/>
                <c:pt idx="0">
                  <c:v>4</c:v>
                </c:pt>
                <c:pt idx="1">
                  <c:v>4</c:v>
                </c:pt>
                <c:pt idx="2">
                  <c:v>2</c:v>
                </c:pt>
                <c:pt idx="3">
                  <c:v>10</c:v>
                </c:pt>
              </c:numCache>
            </c:numRef>
          </c:val>
          <c:extLst>
            <c:ext xmlns:c16="http://schemas.microsoft.com/office/drawing/2014/chart" uri="{C3380CC4-5D6E-409C-BE32-E72D297353CC}">
              <c16:uniqueId val="{00000001-89F1-42E2-828E-8C5C5EF2D9D3}"/>
            </c:ext>
          </c:extLst>
        </c:ser>
        <c:ser>
          <c:idx val="2"/>
          <c:order val="2"/>
          <c:tx>
            <c:strRef>
              <c:f>Hoja5!$H$15</c:f>
              <c:strCache>
                <c:ptCount val="1"/>
                <c:pt idx="0">
                  <c:v>STP</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Hoja5!$I$12:$L$12</c:f>
              <c:strCache>
                <c:ptCount val="4"/>
                <c:pt idx="0">
                  <c:v>1°</c:v>
                </c:pt>
                <c:pt idx="1">
                  <c:v>2°</c:v>
                </c:pt>
                <c:pt idx="2">
                  <c:v>3°</c:v>
                </c:pt>
                <c:pt idx="3">
                  <c:v>Total general</c:v>
                </c:pt>
              </c:strCache>
            </c:strRef>
          </c:cat>
          <c:val>
            <c:numRef>
              <c:f>Hoja5!$I$15:$L$15</c:f>
              <c:numCache>
                <c:formatCode>General</c:formatCode>
                <c:ptCount val="4"/>
                <c:pt idx="0">
                  <c:v>1</c:v>
                </c:pt>
                <c:pt idx="3">
                  <c:v>1</c:v>
                </c:pt>
              </c:numCache>
            </c:numRef>
          </c:val>
          <c:extLst>
            <c:ext xmlns:c16="http://schemas.microsoft.com/office/drawing/2014/chart" uri="{C3380CC4-5D6E-409C-BE32-E72D297353CC}">
              <c16:uniqueId val="{00000002-89F1-42E2-828E-8C5C5EF2D9D3}"/>
            </c:ext>
          </c:extLst>
        </c:ser>
        <c:ser>
          <c:idx val="3"/>
          <c:order val="3"/>
          <c:tx>
            <c:strRef>
              <c:f>Hoja5!$H$16</c:f>
              <c:strCache>
                <c:ptCount val="1"/>
                <c:pt idx="0">
                  <c:v>Total general</c:v>
                </c:pt>
              </c:strCache>
            </c:strRef>
          </c:tx>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2"/>
                    </a:solidFill>
                    <a:latin typeface="+mn-lt"/>
                    <a:ea typeface="+mn-ea"/>
                    <a:cs typeface="+mn-cs"/>
                  </a:defRPr>
                </a:pPr>
                <a:endParaRPr lang="es-CL"/>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2">
                          <a:lumMod val="35000"/>
                          <a:lumOff val="65000"/>
                        </a:schemeClr>
                      </a:solidFill>
                    </a:ln>
                    <a:effectLst/>
                  </c:spPr>
                </c15:leaderLines>
              </c:ext>
            </c:extLst>
          </c:dLbls>
          <c:cat>
            <c:strRef>
              <c:f>Hoja5!$I$12:$L$12</c:f>
              <c:strCache>
                <c:ptCount val="4"/>
                <c:pt idx="0">
                  <c:v>1°</c:v>
                </c:pt>
                <c:pt idx="1">
                  <c:v>2°</c:v>
                </c:pt>
                <c:pt idx="2">
                  <c:v>3°</c:v>
                </c:pt>
                <c:pt idx="3">
                  <c:v>Total general</c:v>
                </c:pt>
              </c:strCache>
            </c:strRef>
          </c:cat>
          <c:val>
            <c:numRef>
              <c:f>Hoja5!$I$16:$L$16</c:f>
              <c:numCache>
                <c:formatCode>General</c:formatCode>
                <c:ptCount val="4"/>
                <c:pt idx="0">
                  <c:v>6</c:v>
                </c:pt>
                <c:pt idx="1">
                  <c:v>4</c:v>
                </c:pt>
                <c:pt idx="2">
                  <c:v>2</c:v>
                </c:pt>
                <c:pt idx="3">
                  <c:v>12</c:v>
                </c:pt>
              </c:numCache>
            </c:numRef>
          </c:val>
          <c:extLst>
            <c:ext xmlns:c16="http://schemas.microsoft.com/office/drawing/2014/chart" uri="{C3380CC4-5D6E-409C-BE32-E72D297353CC}">
              <c16:uniqueId val="{00000003-89F1-42E2-828E-8C5C5EF2D9D3}"/>
            </c:ext>
          </c:extLst>
        </c:ser>
        <c:dLbls>
          <c:dLblPos val="outEnd"/>
          <c:showLegendKey val="0"/>
          <c:showVal val="1"/>
          <c:showCatName val="0"/>
          <c:showSerName val="0"/>
          <c:showPercent val="0"/>
          <c:showBubbleSize val="0"/>
        </c:dLbls>
        <c:gapWidth val="100"/>
        <c:overlap val="-24"/>
        <c:axId val="1427599632"/>
        <c:axId val="1427590032"/>
      </c:barChart>
      <c:catAx>
        <c:axId val="142759963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L"/>
          </a:p>
        </c:txPr>
        <c:crossAx val="1427590032"/>
        <c:crosses val="autoZero"/>
        <c:auto val="1"/>
        <c:lblAlgn val="ctr"/>
        <c:lblOffset val="100"/>
        <c:noMultiLvlLbl val="0"/>
      </c:catAx>
      <c:valAx>
        <c:axId val="1427590032"/>
        <c:scaling>
          <c:orientation val="minMax"/>
        </c:scaling>
        <c:delete val="1"/>
        <c:axPos val="l"/>
        <c:numFmt formatCode="General" sourceLinked="1"/>
        <c:majorTickMark val="none"/>
        <c:minorTickMark val="none"/>
        <c:tickLblPos val="nextTo"/>
        <c:crossAx val="1427599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es-CL"/>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es-CL"/>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MX"/>
  <c:roundedCorners val="0"/>
  <mc:AlternateContent xmlns:mc="http://schemas.openxmlformats.org/markup-compatibility/2006">
    <mc:Choice xmlns:c14="http://schemas.microsoft.com/office/drawing/2007/8/2/chart" Requires="c14">
      <c14:style val="126"/>
    </mc:Choice>
    <mc:Fallback>
      <c:style val="26"/>
    </mc:Fallback>
  </mc:AlternateContent>
  <c:chart>
    <c:title>
      <c:tx>
        <c:rich>
          <a:bodyPr/>
          <a:lstStyle/>
          <a:p>
            <a:pPr>
              <a:defRPr lang="es-CL"/>
            </a:pPr>
            <a:r>
              <a:rPr lang="es-CL"/>
              <a:t>Incidentes</a:t>
            </a:r>
            <a:r>
              <a:rPr lang="es-CL" baseline="0"/>
              <a:t> por Tipo de Contrato</a:t>
            </a:r>
            <a:endParaRPr lang="es-CL"/>
          </a:p>
        </c:rich>
      </c:tx>
      <c:layout>
        <c:manualLayout>
          <c:xMode val="edge"/>
          <c:yMode val="edge"/>
          <c:x val="0.38964348615301592"/>
          <c:y val="3.5989375830013853E-2"/>
        </c:manualLayout>
      </c:layout>
      <c:overlay val="0"/>
    </c:title>
    <c:autoTitleDeleted val="0"/>
    <c:plotArea>
      <c:layout>
        <c:manualLayout>
          <c:layoutTarget val="inner"/>
          <c:xMode val="edge"/>
          <c:yMode val="edge"/>
          <c:x val="0.13770069817760044"/>
          <c:y val="0.16543610335560643"/>
          <c:w val="0.84528339764894822"/>
          <c:h val="0.60062473367299674"/>
        </c:manualLayout>
      </c:layout>
      <c:barChart>
        <c:barDir val="col"/>
        <c:grouping val="clustered"/>
        <c:varyColors val="0"/>
        <c:ser>
          <c:idx val="0"/>
          <c:order val="0"/>
          <c:tx>
            <c:strRef>
              <c:f>'RESUMEN ESTADISTICO'!$C$10</c:f>
              <c:strCache>
                <c:ptCount val="1"/>
                <c:pt idx="0">
                  <c:v>Renta fija</c:v>
                </c:pt>
              </c:strCache>
            </c:strRef>
          </c:tx>
          <c:spPr>
            <a:solidFill>
              <a:srgbClr val="FF0000"/>
            </a:solidFill>
          </c:spPr>
          <c:invertIfNegative val="0"/>
          <c:cat>
            <c:strRef>
              <c:f>'RESUMEN ESTADISTICO'!$B$11:$B$22</c:f>
              <c:strCache>
                <c:ptCount val="12"/>
                <c:pt idx="0">
                  <c:v>FATAL/GRAVE</c:v>
                </c:pt>
                <c:pt idx="1">
                  <c:v>CTP</c:v>
                </c:pt>
                <c:pt idx="2">
                  <c:v>STP</c:v>
                </c:pt>
                <c:pt idx="3">
                  <c:v>TRAYECTO</c:v>
                </c:pt>
                <c:pt idx="4">
                  <c:v>AM</c:v>
                </c:pt>
                <c:pt idx="5">
                  <c:v>DAÑO EQUIPO</c:v>
                </c:pt>
                <c:pt idx="6">
                  <c:v>DAÑO MEDIO AMBIENTE</c:v>
                </c:pt>
                <c:pt idx="7">
                  <c:v>DAÑO MATERIAL / A LA CARGA</c:v>
                </c:pt>
                <c:pt idx="8">
                  <c:v>DAÑO INSTALACION</c:v>
                </c:pt>
                <c:pt idx="9">
                  <c:v>FALLA OPERACIONAL</c:v>
                </c:pt>
                <c:pt idx="10">
                  <c:v>CUASI-ACCIDENTE</c:v>
                </c:pt>
                <c:pt idx="11">
                  <c:v>NAT</c:v>
                </c:pt>
              </c:strCache>
            </c:strRef>
          </c:cat>
          <c:val>
            <c:numRef>
              <c:f>'RESUMEN ESTADISTICO'!$C$11:$C$22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557-4C60-BD1F-1CE0D2E6F265}"/>
            </c:ext>
          </c:extLst>
        </c:ser>
        <c:ser>
          <c:idx val="1"/>
          <c:order val="1"/>
          <c:tx>
            <c:strRef>
              <c:f>'RESUMEN ESTADISTICO'!$D$10</c:f>
              <c:strCache>
                <c:ptCount val="1"/>
                <c:pt idx="0">
                  <c:v>Bono turno</c:v>
                </c:pt>
              </c:strCache>
            </c:strRef>
          </c:tx>
          <c:spPr>
            <a:solidFill>
              <a:schemeClr val="accent6"/>
            </a:solidFill>
          </c:spPr>
          <c:invertIfNegative val="0"/>
          <c:cat>
            <c:strRef>
              <c:f>'RESUMEN ESTADISTICO'!$B$11:$B$22</c:f>
              <c:strCache>
                <c:ptCount val="12"/>
                <c:pt idx="0">
                  <c:v>FATAL/GRAVE</c:v>
                </c:pt>
                <c:pt idx="1">
                  <c:v>CTP</c:v>
                </c:pt>
                <c:pt idx="2">
                  <c:v>STP</c:v>
                </c:pt>
                <c:pt idx="3">
                  <c:v>TRAYECTO</c:v>
                </c:pt>
                <c:pt idx="4">
                  <c:v>AM</c:v>
                </c:pt>
                <c:pt idx="5">
                  <c:v>DAÑO EQUIPO</c:v>
                </c:pt>
                <c:pt idx="6">
                  <c:v>DAÑO MEDIO AMBIENTE</c:v>
                </c:pt>
                <c:pt idx="7">
                  <c:v>DAÑO MATERIAL / A LA CARGA</c:v>
                </c:pt>
                <c:pt idx="8">
                  <c:v>DAÑO INSTALACION</c:v>
                </c:pt>
                <c:pt idx="9">
                  <c:v>FALLA OPERACIONAL</c:v>
                </c:pt>
                <c:pt idx="10">
                  <c:v>CUASI-ACCIDENTE</c:v>
                </c:pt>
                <c:pt idx="11">
                  <c:v>NAT</c:v>
                </c:pt>
              </c:strCache>
            </c:strRef>
          </c:cat>
          <c:val>
            <c:numRef>
              <c:f>'RESUMEN ESTADISTICO'!$D$11:$D$22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1-B557-4C60-BD1F-1CE0D2E6F265}"/>
            </c:ext>
          </c:extLst>
        </c:ser>
        <c:ser>
          <c:idx val="3"/>
          <c:order val="2"/>
          <c:tx>
            <c:strRef>
              <c:f>'RESUMEN ESTADISTICO'!$E$10</c:f>
              <c:strCache>
                <c:ptCount val="1"/>
                <c:pt idx="0">
                  <c:v>CPPT</c:v>
                </c:pt>
              </c:strCache>
            </c:strRef>
          </c:tx>
          <c:spPr>
            <a:solidFill>
              <a:srgbClr val="FFFF00"/>
            </a:solidFill>
          </c:spPr>
          <c:invertIfNegative val="0"/>
          <c:cat>
            <c:strRef>
              <c:f>'RESUMEN ESTADISTICO'!$B$11:$B$22</c:f>
              <c:strCache>
                <c:ptCount val="12"/>
                <c:pt idx="0">
                  <c:v>FATAL/GRAVE</c:v>
                </c:pt>
                <c:pt idx="1">
                  <c:v>CTP</c:v>
                </c:pt>
                <c:pt idx="2">
                  <c:v>STP</c:v>
                </c:pt>
                <c:pt idx="3">
                  <c:v>TRAYECTO</c:v>
                </c:pt>
                <c:pt idx="4">
                  <c:v>AM</c:v>
                </c:pt>
                <c:pt idx="5">
                  <c:v>DAÑO EQUIPO</c:v>
                </c:pt>
                <c:pt idx="6">
                  <c:v>DAÑO MEDIO AMBIENTE</c:v>
                </c:pt>
                <c:pt idx="7">
                  <c:v>DAÑO MATERIAL / A LA CARGA</c:v>
                </c:pt>
                <c:pt idx="8">
                  <c:v>DAÑO INSTALACION</c:v>
                </c:pt>
                <c:pt idx="9">
                  <c:v>FALLA OPERACIONAL</c:v>
                </c:pt>
                <c:pt idx="10">
                  <c:v>CUASI-ACCIDENTE</c:v>
                </c:pt>
                <c:pt idx="11">
                  <c:v>NAT</c:v>
                </c:pt>
              </c:strCache>
            </c:strRef>
          </c:cat>
          <c:val>
            <c:numRef>
              <c:f>'RESUMEN ESTADISTICO'!$E$11:$E$22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2-B557-4C60-BD1F-1CE0D2E6F265}"/>
            </c:ext>
          </c:extLst>
        </c:ser>
        <c:ser>
          <c:idx val="4"/>
          <c:order val="3"/>
          <c:tx>
            <c:strRef>
              <c:f>'RESUMEN ESTADISTICO'!$F$10</c:f>
              <c:strCache>
                <c:ptCount val="1"/>
                <c:pt idx="0">
                  <c:v>Contratista</c:v>
                </c:pt>
              </c:strCache>
            </c:strRef>
          </c:tx>
          <c:invertIfNegative val="0"/>
          <c:cat>
            <c:strRef>
              <c:f>'RESUMEN ESTADISTICO'!$B$11:$B$22</c:f>
              <c:strCache>
                <c:ptCount val="12"/>
                <c:pt idx="0">
                  <c:v>FATAL/GRAVE</c:v>
                </c:pt>
                <c:pt idx="1">
                  <c:v>CTP</c:v>
                </c:pt>
                <c:pt idx="2">
                  <c:v>STP</c:v>
                </c:pt>
                <c:pt idx="3">
                  <c:v>TRAYECTO</c:v>
                </c:pt>
                <c:pt idx="4">
                  <c:v>AM</c:v>
                </c:pt>
                <c:pt idx="5">
                  <c:v>DAÑO EQUIPO</c:v>
                </c:pt>
                <c:pt idx="6">
                  <c:v>DAÑO MEDIO AMBIENTE</c:v>
                </c:pt>
                <c:pt idx="7">
                  <c:v>DAÑO MATERIAL / A LA CARGA</c:v>
                </c:pt>
                <c:pt idx="8">
                  <c:v>DAÑO INSTALACION</c:v>
                </c:pt>
                <c:pt idx="9">
                  <c:v>FALLA OPERACIONAL</c:v>
                </c:pt>
                <c:pt idx="10">
                  <c:v>CUASI-ACCIDENTE</c:v>
                </c:pt>
                <c:pt idx="11">
                  <c:v>NAT</c:v>
                </c:pt>
              </c:strCache>
            </c:strRef>
          </c:cat>
          <c:val>
            <c:numRef>
              <c:f>'RESUMEN ESTADISTICO'!$F$11:$F$22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3-B557-4C60-BD1F-1CE0D2E6F265}"/>
            </c:ext>
          </c:extLst>
        </c:ser>
        <c:ser>
          <c:idx val="5"/>
          <c:order val="4"/>
          <c:tx>
            <c:strRef>
              <c:f>'RESUMEN ESTADISTICO'!$G$10</c:f>
              <c:strCache>
                <c:ptCount val="1"/>
                <c:pt idx="0">
                  <c:v>Eventual</c:v>
                </c:pt>
              </c:strCache>
            </c:strRef>
          </c:tx>
          <c:invertIfNegative val="0"/>
          <c:cat>
            <c:strRef>
              <c:f>'RESUMEN ESTADISTICO'!$B$11:$B$22</c:f>
              <c:strCache>
                <c:ptCount val="12"/>
                <c:pt idx="0">
                  <c:v>FATAL/GRAVE</c:v>
                </c:pt>
                <c:pt idx="1">
                  <c:v>CTP</c:v>
                </c:pt>
                <c:pt idx="2">
                  <c:v>STP</c:v>
                </c:pt>
                <c:pt idx="3">
                  <c:v>TRAYECTO</c:v>
                </c:pt>
                <c:pt idx="4">
                  <c:v>AM</c:v>
                </c:pt>
                <c:pt idx="5">
                  <c:v>DAÑO EQUIPO</c:v>
                </c:pt>
                <c:pt idx="6">
                  <c:v>DAÑO MEDIO AMBIENTE</c:v>
                </c:pt>
                <c:pt idx="7">
                  <c:v>DAÑO MATERIAL / A LA CARGA</c:v>
                </c:pt>
                <c:pt idx="8">
                  <c:v>DAÑO INSTALACION</c:v>
                </c:pt>
                <c:pt idx="9">
                  <c:v>FALLA OPERACIONAL</c:v>
                </c:pt>
                <c:pt idx="10">
                  <c:v>CUASI-ACCIDENTE</c:v>
                </c:pt>
                <c:pt idx="11">
                  <c:v>NAT</c:v>
                </c:pt>
              </c:strCache>
            </c:strRef>
          </c:cat>
          <c:val>
            <c:numRef>
              <c:f>'RESUMEN ESTADISTICO'!$G$11:$G$22</c:f>
              <c:numCache>
                <c:formatCode>General</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4-B557-4C60-BD1F-1CE0D2E6F265}"/>
            </c:ext>
          </c:extLst>
        </c:ser>
        <c:dLbls>
          <c:showLegendKey val="0"/>
          <c:showVal val="0"/>
          <c:showCatName val="0"/>
          <c:showSerName val="0"/>
          <c:showPercent val="0"/>
          <c:showBubbleSize val="0"/>
        </c:dLbls>
        <c:gapWidth val="150"/>
        <c:axId val="-1437535184"/>
        <c:axId val="-1437535728"/>
      </c:barChart>
      <c:catAx>
        <c:axId val="-1437535184"/>
        <c:scaling>
          <c:orientation val="minMax"/>
        </c:scaling>
        <c:delete val="0"/>
        <c:axPos val="b"/>
        <c:numFmt formatCode="General" sourceLinked="1"/>
        <c:majorTickMark val="out"/>
        <c:minorTickMark val="none"/>
        <c:tickLblPos val="nextTo"/>
        <c:txPr>
          <a:bodyPr rot="-5400000" vert="horz"/>
          <a:lstStyle/>
          <a:p>
            <a:pPr>
              <a:defRPr lang="es-CL"/>
            </a:pPr>
            <a:endParaRPr lang="es-CL"/>
          </a:p>
        </c:txPr>
        <c:crossAx val="-1437535728"/>
        <c:crosses val="autoZero"/>
        <c:auto val="1"/>
        <c:lblAlgn val="ctr"/>
        <c:lblOffset val="100"/>
        <c:tickMarkSkip val="1"/>
        <c:noMultiLvlLbl val="0"/>
      </c:catAx>
      <c:valAx>
        <c:axId val="-1437535728"/>
        <c:scaling>
          <c:orientation val="minMax"/>
        </c:scaling>
        <c:delete val="0"/>
        <c:axPos val="l"/>
        <c:majorGridlines/>
        <c:numFmt formatCode="General" sourceLinked="1"/>
        <c:majorTickMark val="out"/>
        <c:minorTickMark val="none"/>
        <c:tickLblPos val="nextTo"/>
        <c:txPr>
          <a:bodyPr rot="0" vert="horz"/>
          <a:lstStyle/>
          <a:p>
            <a:pPr>
              <a:defRPr lang="es-CL"/>
            </a:pPr>
            <a:endParaRPr lang="es-CL"/>
          </a:p>
        </c:txPr>
        <c:crossAx val="-1437535184"/>
        <c:crosses val="autoZero"/>
        <c:crossBetween val="between"/>
      </c:valAx>
      <c:dTable>
        <c:showHorzBorder val="1"/>
        <c:showVertBorder val="1"/>
        <c:showOutline val="1"/>
        <c:showKeys val="1"/>
        <c:txPr>
          <a:bodyPr/>
          <a:lstStyle/>
          <a:p>
            <a:pPr rtl="0">
              <a:defRPr lang="es-CL" sz="600"/>
            </a:pPr>
            <a:endParaRPr lang="es-CL"/>
          </a:p>
        </c:txPr>
      </c:dTable>
    </c:plotArea>
    <c:plotVisOnly val="1"/>
    <c:dispBlanksAs val="gap"/>
    <c:showDLblsOverMax val="0"/>
  </c:chart>
  <c:printSettings>
    <c:headerFooter alignWithMargins="0"/>
    <c:pageMargins b="1" l="0.75000000000000777" r="0.75000000000000777" t="1" header="0" footer="0"/>
    <c:pageSetup orientation="landscape" horizontalDpi="200" verticalDpi="200" copies="0"/>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 id="14">
  <a:schemeClr val="accent1"/>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2</xdr:col>
      <xdr:colOff>552450</xdr:colOff>
      <xdr:row>1</xdr:row>
      <xdr:rowOff>100011</xdr:rowOff>
    </xdr:from>
    <xdr:to>
      <xdr:col>9</xdr:col>
      <xdr:colOff>76200</xdr:colOff>
      <xdr:row>17</xdr:row>
      <xdr:rowOff>9524</xdr:rowOff>
    </xdr:to>
    <xdr:graphicFrame macro="">
      <xdr:nvGraphicFramePr>
        <xdr:cNvPr id="2" name="Gráfico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361950</xdr:colOff>
      <xdr:row>32</xdr:row>
      <xdr:rowOff>9525</xdr:rowOff>
    </xdr:from>
    <xdr:to>
      <xdr:col>16</xdr:col>
      <xdr:colOff>647700</xdr:colOff>
      <xdr:row>50</xdr:row>
      <xdr:rowOff>171450</xdr:rowOff>
    </xdr:to>
    <xdr:graphicFrame macro="">
      <xdr:nvGraphicFramePr>
        <xdr:cNvPr id="123" name="Gráfico 2">
          <a:extLst>
            <a:ext uri="{FF2B5EF4-FFF2-40B4-BE49-F238E27FC236}">
              <a16:creationId xmlns:a16="http://schemas.microsoft.com/office/drawing/2014/main" id="{CAC1F314-FEB2-5521-ABE0-938201C2DB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2</xdr:col>
      <xdr:colOff>534987</xdr:colOff>
      <xdr:row>21</xdr:row>
      <xdr:rowOff>7937</xdr:rowOff>
    </xdr:from>
    <xdr:to>
      <xdr:col>6</xdr:col>
      <xdr:colOff>674687</xdr:colOff>
      <xdr:row>36</xdr:row>
      <xdr:rowOff>30162</xdr:rowOff>
    </xdr:to>
    <xdr:graphicFrame macro="">
      <xdr:nvGraphicFramePr>
        <xdr:cNvPr id="3" name="Gráfico 2">
          <a:extLst>
            <a:ext uri="{FF2B5EF4-FFF2-40B4-BE49-F238E27FC236}">
              <a16:creationId xmlns:a16="http://schemas.microsoft.com/office/drawing/2014/main" id="{F87F8D00-3F93-BD72-EFB3-0170D01D0C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1114425</xdr:colOff>
      <xdr:row>11</xdr:row>
      <xdr:rowOff>4762</xdr:rowOff>
    </xdr:from>
    <xdr:to>
      <xdr:col>13</xdr:col>
      <xdr:colOff>514350</xdr:colOff>
      <xdr:row>26</xdr:row>
      <xdr:rowOff>33337</xdr:rowOff>
    </xdr:to>
    <xdr:graphicFrame macro="">
      <xdr:nvGraphicFramePr>
        <xdr:cNvPr id="5" name="Gráfico 4">
          <a:extLst>
            <a:ext uri="{FF2B5EF4-FFF2-40B4-BE49-F238E27FC236}">
              <a16:creationId xmlns:a16="http://schemas.microsoft.com/office/drawing/2014/main" id="{952DC20E-1932-643C-AC25-450138B3CF8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19050</xdr:colOff>
      <xdr:row>23</xdr:row>
      <xdr:rowOff>104775</xdr:rowOff>
    </xdr:from>
    <xdr:to>
      <xdr:col>8</xdr:col>
      <xdr:colOff>28575</xdr:colOff>
      <xdr:row>44</xdr:row>
      <xdr:rowOff>152400</xdr:rowOff>
    </xdr:to>
    <xdr:graphicFrame macro="">
      <xdr:nvGraphicFramePr>
        <xdr:cNvPr id="4" name="Chart 12">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95250</xdr:rowOff>
    </xdr:from>
    <xdr:to>
      <xdr:col>1</xdr:col>
      <xdr:colOff>2231230</xdr:colOff>
      <xdr:row>1</xdr:row>
      <xdr:rowOff>180974</xdr:rowOff>
    </xdr:to>
    <xdr:pic>
      <xdr:nvPicPr>
        <xdr:cNvPr id="5" name="Imagen 4" descr="http://www.ultraport.cl/piede_de_firma/ultraport/header.jpg">
          <a:extLst>
            <a:ext uri="{FF2B5EF4-FFF2-40B4-BE49-F238E27FC236}">
              <a16:creationId xmlns:a16="http://schemas.microsoft.com/office/drawing/2014/main" id="{00000000-0008-0000-0800-000005000000}"/>
            </a:ext>
          </a:extLst>
        </xdr:cNvPr>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75000" b="2174"/>
        <a:stretch/>
      </xdr:blipFill>
      <xdr:spPr bwMode="auto">
        <a:xfrm>
          <a:off x="0" y="95250"/>
          <a:ext cx="2393155" cy="285749"/>
        </a:xfrm>
        <a:prstGeom prst="rect">
          <a:avLst/>
        </a:prstGeom>
        <a:noFill/>
        <a:ln>
          <a:noFill/>
        </a:ln>
      </xdr:spPr>
    </xdr:pic>
    <xdr:clientData/>
  </xdr:twoCellAnchor>
</xdr:wsDr>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Excel Services" refreshedDate="44818.548413888886" backgroundQuery="1" createdVersion="5" refreshedVersion="8" minRefreshableVersion="3" recordCount="0" supportSubquery="1" supportAdvancedDrill="1" xr:uid="{00000000-000A-0000-FFFF-FFFF0A000000}">
  <cacheSource type="external" connectionId="1"/>
  <cacheFields count="0"/>
  <cacheHierarchies count="18">
    <cacheHierarchy uniqueName="[Rango].[‌Asociado a COVID]" caption="‌Asociado a COVID" attribute="1" defaultMemberUniqueName="[Rango].[‌Asociado a COVID].[All]" allUniqueName="[Rango].[‌Asociado a COVID].[All]" dimensionUniqueName="[Rango]" displayFolder="" count="0" memberValueDatatype="130" unbalanced="0"/>
    <cacheHierarchy uniqueName="[Rango].[‌Se sorprende a conductor Boliviano caminando sin mascarilla , se le recuerda que estamos en pandemi]" caption="‌Se sorprende a conductor Boliviano caminando sin mascarilla , se le recuerda que estamos en pandemi" attribute="1" defaultMemberUniqueName="[Rango].[‌Se sorprende a conductor Boliviano caminando sin mascarilla , se le recuerda que estamos en pandemi].[All]" allUniqueName="[Rango].[‌Se sorprende a conductor Boliviano caminando sin mascarilla , se le recuerda que estamos en pandemi].[All]" dimensionUniqueName="[Rango]" displayFolder="" count="0" memberValueDatatype="130" unbalanced="0"/>
    <cacheHierarchy uniqueName="[Rango].[‌Leve]" caption="‌Leve" attribute="1" defaultMemberUniqueName="[Rango].[‌Leve].[All]" allUniqueName="[Rango].[‌Leve].[All]" dimensionUniqueName="[Rango]" displayFolder="" count="0" memberValueDatatype="130" unbalanced="0"/>
    <cacheHierarchy uniqueName="[Rango].[‌Arica]" caption="‌Arica" attribute="1" defaultMemberUniqueName="[Rango].[‌Arica].[All]" allUniqueName="[Rango].[‌Arica].[All]" dimensionUniqueName="[Rango]" displayFolder="" count="0" memberValueDatatype="130" unbalanced="0"/>
    <cacheHierarchy uniqueName="[Rango].[‌Sitio 5 - Arica]" caption="‌Sitio 5 - Arica" attribute="1" defaultMemberUniqueName="[Rango].[‌Sitio 5 - Arica].[All]" allUniqueName="[Rango].[‌Sitio 5 - Arica].[All]" dimensionUniqueName="[Rango]" displayFolder="" count="0" memberValueDatatype="130" unbalanced="0"/>
    <cacheHierarchy uniqueName="[Rango].[‌Jose Echalar]" caption="‌Jose Echalar" attribute="1" defaultMemberUniqueName="[Rango].[‌Jose Echalar].[All]" allUniqueName="[Rango].[‌Jose Echalar].[All]" dimensionUniqueName="[Rango]" displayFolder="" count="0" memberValueDatatype="130" unbalanced="0"/>
    <cacheHierarchy uniqueName="[Rango].[‌30-07-2021 18:38]" caption="‌30-07-2021 18:38" attribute="1" defaultMemberUniqueName="[Rango].[‌30-07-2021 18:38].[All]" allUniqueName="[Rango].[‌30-07-2021 18:38].[All]" dimensionUniqueName="[Rango]" displayFolder="" count="0" memberValueDatatype="130" unbalanced="0"/>
    <cacheHierarchy uniqueName="[Rango].[‌Jose Echalar 2]" caption="‌Jose Echalar 2" attribute="1" defaultMemberUniqueName="[Rango].[‌Jose Echalar 2].[All]" allUniqueName="[Rango].[‌Jose Echalar 2].[All]" dimensionUniqueName="[Rango]" displayFolder="" count="0" memberValueDatatype="130" unbalanced="0"/>
    <cacheHierarchy uniqueName="[Rango].[‌-]" caption="‌-" attribute="1" defaultMemberUniqueName="[Rango].[‌-].[All]" allUniqueName="[Rango].[‌-].[All]" dimensionUniqueName="[Rango]" displayFolder="" count="0" memberValueDatatype="130" unbalanced="0"/>
    <cacheHierarchy uniqueName="[Rango].[‌- 2]" caption="‌- 2" attribute="1" defaultMemberUniqueName="[Rango].[‌- 2].[All]" allUniqueName="[Rango].[‌- 2].[All]" dimensionUniqueName="[Rango]" displayFolder="" count="0" memberValueDatatype="130" unbalanced="0"/>
    <cacheHierarchy uniqueName="[Rango].[‌- 3]" caption="‌- 3" attribute="1" defaultMemberUniqueName="[Rango].[‌- 3].[All]" allUniqueName="[Rango].[‌- 3].[All]" dimensionUniqueName="[Rango]" displayFolder="" count="0" memberValueDatatype="130" unbalanced="0"/>
    <cacheHierarchy uniqueName="[Rango].[‌Abierto]" caption="‌Abierto" attribute="1" defaultMemberUniqueName="[Rango].[‌Abierto].[All]" allUniqueName="[Rango].[‌Abierto].[All]" dimensionUniqueName="[Rango]" displayFolder="" count="0" memberValueDatatype="130" unbalanced="0"/>
    <cacheHierarchy uniqueName="[Rango].[‌Ultraport]" caption="‌Ultraport" attribute="1" defaultMemberUniqueName="[Rango].[‌Ultraport].[All]" allUniqueName="[Rango].[‌Ultraport].[All]" dimensionUniqueName="[Rango]" displayFolder="" count="0" memberValueDatatype="130" unbalanced="0"/>
    <cacheHierarchy uniqueName="[Rango].[‌Ultraport 2]" caption="‌Ultraport 2" attribute="1" defaultMemberUniqueName="[Rango].[‌Ultraport 2].[All]" allUniqueName="[Rango].[‌Ultraport 2].[All]" dimensionUniqueName="[Rango]" displayFolder="" count="0" memberValueDatatype="130" unbalanced="0"/>
    <cacheHierarchy uniqueName="[Rango].[‌- 4]" caption="‌- 4" attribute="1" defaultMemberUniqueName="[Rango].[‌- 4].[All]" allUniqueName="[Rango].[‌- 4].[All]" dimensionUniqueName="[Rango]" displayFolder="" count="0" memberValueDatatype="130" unbalanced="0"/>
    <cacheHierarchy uniqueName="[Measures].[Count of ‌Asociado a COVID]" caption="Count of ‌Asociado a COVID" measure="1" displayFolder="" measureGroup="Rango" count="0"/>
    <cacheHierarchy uniqueName="[Measures].[__XL_Count Rango]" caption="__XL_Count Rango" measure="1" displayFolder="" measureGroup="Rango" count="0" hidden="1"/>
    <cacheHierarchy uniqueName="[Measures].[__XL_Count of Models]" caption="__XL_Count of Models" measure="1" displayFolder="" count="0" hidden="1"/>
  </cacheHierarchies>
  <kpis count="0"/>
  <dimensions count="2">
    <dimension measure="1" name="Measures" uniqueName="[Measures]" caption="Measures"/>
    <dimension name="Rango" uniqueName="[Rango]" caption="Rango"/>
  </dimensions>
  <measureGroups count="1">
    <measureGroup name="Rango" caption="Rango"/>
  </measureGroups>
  <maps count="1">
    <map measureGroup="0" dimension="1"/>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818.558173032405" createdVersion="5" refreshedVersion="8" minRefreshableVersion="3" recordCount="43" xr:uid="{00000000-000A-0000-FFFF-FFFF0B000000}">
  <cacheSource type="worksheet">
    <worksheetSource ref="C28:Q132" sheet="HALLAZGOS"/>
  </cacheSource>
  <cacheFields count="15">
    <cacheField name="‌Asociado a COVID" numFmtId="0">
      <sharedItems containsBlank="1"/>
    </cacheField>
    <cacheField name="‌Se sorprende a conductor Boliviano caminando sin mascarilla , se le recuerda que estamos en pandemia y que su uso es obligatorio." numFmtId="0">
      <sharedItems containsBlank="1" longText="1"/>
    </cacheField>
    <cacheField name="‌Leve" numFmtId="0">
      <sharedItems containsBlank="1"/>
    </cacheField>
    <cacheField name="‌Arica" numFmtId="0">
      <sharedItems containsBlank="1"/>
    </cacheField>
    <cacheField name="‌Sitio 5 - Arica" numFmtId="0">
      <sharedItems containsBlank="1"/>
    </cacheField>
    <cacheField name="‌Jose Echalar" numFmtId="0">
      <sharedItems containsBlank="1"/>
    </cacheField>
    <cacheField name="‌30-07-2021 18:38" numFmtId="0">
      <sharedItems containsBlank="1"/>
    </cacheField>
    <cacheField name="‌Jose Echalar2" numFmtId="0">
      <sharedItems containsBlank="1"/>
    </cacheField>
    <cacheField name="‌-" numFmtId="0">
      <sharedItems containsBlank="1"/>
    </cacheField>
    <cacheField name="‌-2" numFmtId="0">
      <sharedItems containsBlank="1"/>
    </cacheField>
    <cacheField name="‌-3" numFmtId="0">
      <sharedItems containsBlank="1"/>
    </cacheField>
    <cacheField name="‌Abierto" numFmtId="0">
      <sharedItems containsBlank="1"/>
    </cacheField>
    <cacheField name="‌Ultraport" numFmtId="0">
      <sharedItems containsBlank="1"/>
    </cacheField>
    <cacheField name="‌Ultraport2" numFmtId="0">
      <sharedItems containsBlank="1"/>
    </cacheField>
    <cacheField name="‌-4" numFmtId="0">
      <sharedItems containsBlank="1"/>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4818.558173032405" createdVersion="5" refreshedVersion="8" minRefreshableVersion="3" recordCount="111" xr:uid="{00000000-000A-0000-FFFF-FFFF0C000000}">
  <cacheSource type="worksheet">
    <worksheetSource ref="A11:AK194" sheet="Resumen 1"/>
  </cacheSource>
  <cacheFields count="18">
    <cacheField name="N°" numFmtId="0">
      <sharedItems containsString="0" containsBlank="1" containsNumber="1" containsInteger="1" minValue="1" maxValue="106"/>
    </cacheField>
    <cacheField name="NOMBRE" numFmtId="0">
      <sharedItems/>
    </cacheField>
    <cacheField name="Edad" numFmtId="0">
      <sharedItems containsString="0" containsBlank="1" containsNumber="1" containsInteger="1" minValue="19" maxValue="64"/>
    </cacheField>
    <cacheField name="RUT" numFmtId="0">
      <sharedItems/>
    </cacheField>
    <cacheField name="Puesto de trabajo" numFmtId="0">
      <sharedItems/>
    </cacheField>
    <cacheField name="Antigüedad en la función Siniestrada" numFmtId="0">
      <sharedItems containsDate="1" containsBlank="1" containsMixedTypes="1" minDate="1900-01-08T00:00:00" maxDate="1900-01-09T00:00:00"/>
    </cacheField>
    <cacheField name="MESES" numFmtId="0">
      <sharedItems containsBlank="1" longText="1"/>
    </cacheField>
    <cacheField name="Descripción breve del evento" numFmtId="0">
      <sharedItems containsBlank="1" longText="1"/>
    </cacheField>
    <cacheField name="FECHA" numFmtId="14">
      <sharedItems containsDate="1" containsBlank="1" containsMixedTypes="1" minDate="2019-01-09T00:00:00" maxDate="2022-08-05T00:00:00" count="136">
        <d v="2022-01-03T00:00:00"/>
        <d v="2022-01-04T00:00:00"/>
        <d v="2022-01-05T00:00:00"/>
        <d v="2022-01-07T00:00:00"/>
        <d v="2022-01-08T00:00:00"/>
        <d v="2022-01-12T00:00:00"/>
        <d v="2022-01-13T00:00:00"/>
        <d v="2022-01-19T00:00:00"/>
        <d v="2022-01-20T00:00:00"/>
        <d v="2022-01-24T00:00:00"/>
        <d v="2022-01-25T00:00:00"/>
        <d v="2022-01-29T00:00:00"/>
        <d v="2022-01-31T00:00:00"/>
        <d v="2022-02-01T00:00:00"/>
        <d v="2022-02-02T00:00:00"/>
        <m/>
        <d v="2022-02-04T00:00:00"/>
        <d v="2022-02-06T00:00:00"/>
        <d v="2022-02-13T00:00:00"/>
        <d v="2022-02-14T00:00:00"/>
        <d v="2022-02-15T00:00:00"/>
        <d v="2022-02-17T00:00:00"/>
        <d v="2022-02-19T00:00:00"/>
        <d v="2022-02-20T00:00:00"/>
        <d v="2022-03-03T00:00:00"/>
        <d v="2022-03-07T00:00:00"/>
        <d v="2022-03-08T00:00:00"/>
        <d v="2022-03-10T00:00:00"/>
        <d v="2022-03-12T00:00:00"/>
        <d v="2022-03-15T00:00:00"/>
        <d v="2022-03-17T00:00:00"/>
        <d v="2022-03-18T00:00:00"/>
        <d v="2022-03-22T00:00:00"/>
        <d v="2022-03-25T00:00:00"/>
        <d v="2022-03-27T00:00:00"/>
        <d v="2022-03-28T00:00:00"/>
        <d v="2022-03-30T00:00:00"/>
        <d v="2022-04-06T00:00:00"/>
        <d v="2022-04-08T00:00:00"/>
        <d v="2022-04-10T00:00:00"/>
        <d v="2022-04-13T00:00:00"/>
        <d v="2022-04-15T00:00:00"/>
        <d v="2022-04-17T00:00:00"/>
        <d v="2022-04-19T00:00:00"/>
        <d v="2022-04-20T00:00:00"/>
        <d v="2022-04-22T00:00:00"/>
        <d v="2022-04-24T00:00:00"/>
        <d v="2022-04-28T00:00:00"/>
        <d v="2022-04-30T00:00:00"/>
        <d v="2022-05-05T00:00:00"/>
        <d v="2022-05-06T00:00:00"/>
        <d v="2022-05-12T00:00:00"/>
        <d v="2022-05-14T00:00:00"/>
        <d v="2022-05-16T00:00:00"/>
        <d v="2022-05-17T00:00:00"/>
        <d v="2022-05-18T00:00:00"/>
        <d v="2022-05-20T00:00:00"/>
        <d v="2022-05-22T00:00:00"/>
        <d v="2022-05-23T00:00:00"/>
        <d v="2022-05-28T00:00:00"/>
        <d v="2022-05-29T00:00:00"/>
        <d v="2022-05-30T00:00:00"/>
        <d v="2022-05-31T00:00:00"/>
        <d v="2022-06-01T00:00:00"/>
        <d v="2022-06-05T00:00:00"/>
        <d v="2022-06-10T00:00:00"/>
        <d v="2022-06-14T00:00:00"/>
        <d v="2022-06-26T00:00:00"/>
        <d v="2022-07-01T00:00:00"/>
        <d v="2022-07-02T00:00:00"/>
        <d v="2022-07-04T00:00:00"/>
        <d v="2022-07-05T00:00:00"/>
        <d v="2022-07-07T00:00:00"/>
        <d v="2022-07-09T00:00:00"/>
        <s v="10/07/20222"/>
        <d v="2022-07-11T00:00:00"/>
        <d v="2022-07-16T00:00:00"/>
        <d v="2022-07-28T00:00:00"/>
        <d v="2022-08-01T00:00:00"/>
        <d v="2022-08-02T00:00:00"/>
        <d v="2022-08-04T00:00:00"/>
        <d v="2019-07-29T00:00:00" u="1"/>
        <d v="2019-02-09T00:00:00" u="1"/>
        <d v="2019-05-31T00:00:00" u="1"/>
        <d v="2019-01-23T00:00:00" u="1"/>
        <d v="2019-07-15T00:00:00" u="1"/>
        <d v="2019-03-07T00:00:00" u="1"/>
        <d v="2019-06-29T00:00:00" u="1"/>
        <d v="2019-05-17T00:00:00" u="1"/>
        <d v="2019-07-08T00:00:00" u="1"/>
        <d v="2019-01-09T00:00:00" u="1"/>
        <d v="2019-06-22T00:00:00" u="1"/>
        <d v="2019-07-27T00:00:00" u="1"/>
        <d v="2019-03-19T00:00:00" u="1"/>
        <d v="2019-06-15T00:00:00" u="1"/>
        <d v="2019-02-07T00:00:00" u="1"/>
        <d v="2019-06-27T00:00:00" u="1"/>
        <d v="2019-04-10T00:00:00" u="1"/>
        <d v="2019-05-15T00:00:00" u="1"/>
        <d v="2019-07-06T00:00:00" u="1"/>
        <d v="2019-04-29T00:00:00" u="1"/>
        <d v="2019-07-25T00:00:00" u="1"/>
        <d v="2019-01-26T00:00:00" u="1"/>
        <d v="2019-04-22T00:00:00" u="1"/>
        <d v="2019-06-13T00:00:00" u="1"/>
        <d v="2019-02-05T00:00:00" u="1"/>
        <d v="2019-05-27T00:00:00" u="1"/>
        <d v="2019-05-20T00:00:00" u="1"/>
        <d v="2019-08-16T00:00:00" u="1"/>
        <d v="2019-07-04T00:00:00" u="1"/>
        <d v="2019-02-10T00:00:00" u="1"/>
        <d v="2019-01-24T00:00:00" u="1"/>
        <d v="2019-08-02T00:00:00" u="1"/>
        <d v="2019-07-16T00:00:00" u="1"/>
        <d v="2019-03-01T00:00:00" u="1"/>
        <d v="2019-05-11T00:00:00" u="1"/>
        <d v="2019-06-16T00:00:00" u="1"/>
        <d v="2019-05-30T00:00:00" u="1"/>
        <d v="2019-02-01T00:00:00" u="1"/>
        <d v="2019-06-28T00:00:00" u="1"/>
        <d v="2019-04-11T00:00:00" u="1"/>
        <d v="2019-08-12T00:00:00" u="1"/>
        <d v="2019-08-31T00:00:00" u="1"/>
        <d v="2019-04-23T00:00:00" u="1"/>
        <d v="2019-06-14T00:00:00" u="1"/>
        <d v="2019-07-19T00:00:00" u="1"/>
        <d v="2019-08-24T00:00:00" u="1"/>
        <d v="2019-08-17T00:00:00" u="1"/>
        <d v="2019-07-05T00:00:00" u="1"/>
        <d v="2019-06-19T00:00:00" u="1"/>
        <d v="2019-08-10T00:00:00" u="1"/>
        <d v="2019-08-29T00:00:00" u="1"/>
        <d v="2019-06-12T00:00:00" u="1"/>
        <d v="2019-07-10T00:00:00" u="1"/>
        <d v="2019-01-11T00:00:00" u="1"/>
        <d v="2019-08-15T00:00:00" u="1"/>
      </sharedItems>
    </cacheField>
    <cacheField name="HORA EN QUE OCURRIO" numFmtId="0">
      <sharedItems containsDate="1" containsBlank="1" containsMixedTypes="1" minDate="1899-12-30T00:20:00" maxDate="1899-12-30T22:20:00"/>
    </cacheField>
    <cacheField name="AREA DONDE OCURRE EL ACC." numFmtId="0">
      <sharedItems containsBlank="1"/>
    </cacheField>
    <cacheField name="¿Porqué Ocurrio?" numFmtId="0">
      <sharedItems containsBlank="1"/>
    </cacheField>
    <cacheField name="TIPO ACC" numFmtId="0">
      <sharedItems containsBlank="1" count="18">
        <s v="DAÑO MATERIAL / A LA CARGA"/>
        <s v="DAÑO EQUIPO"/>
        <s v="DAÑO INSTALACIÓN"/>
        <s v="DAÑO MEDIO AMBIENTE"/>
        <s v="STP"/>
        <s v="CTP"/>
        <m/>
        <s v="FATAL/GRAVE"/>
        <s v="CUASI-ACCIDENTE"/>
        <s v="AM"/>
        <s v="FALLA OPERACIONAL" u="1"/>
        <s v="DAÑO INSTALACION" u="1"/>
        <s v="DAÑO MATERIAL" u="1"/>
        <s v="Medio Ambiente" u="1"/>
        <s v="Daño a equipo" u="1"/>
        <s v="TRAYECTO" u="1"/>
        <s v="DAÑO A LA CARGA" u="1"/>
        <s v="Daño eq. e instal" u="1"/>
      </sharedItems>
    </cacheField>
    <cacheField name="ZYGHT" numFmtId="0">
      <sharedItems containsBlank="1"/>
    </cacheField>
    <cacheField name="Gravedad" numFmtId="0">
      <sharedItems containsBlank="1"/>
    </cacheField>
    <cacheField name="Potencialidad" numFmtId="0">
      <sharedItems containsBlank="1"/>
    </cacheField>
    <cacheField name="Riesgo Critico Asociado" numFmtId="0">
      <sharedItems containsBlank="1"/>
    </cacheField>
    <cacheField name="PARTE AFECTADA" numFmtId="0">
      <sharedItems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therine Castillo (ARI UPOR)" refreshedDate="45636.728787268519" createdVersion="8" refreshedVersion="8" minRefreshableVersion="3" recordCount="206" xr:uid="{68879AFD-244F-48DE-ADDE-646786570F70}">
  <cacheSource type="worksheet">
    <worksheetSource ref="A11:AQ280" sheet="Resumen 1"/>
  </cacheSource>
  <cacheFields count="41">
    <cacheField name="N°" numFmtId="0">
      <sharedItems containsSemiMixedTypes="0" containsString="0" containsNumber="1" containsInteger="1" minValue="1" maxValue="207"/>
    </cacheField>
    <cacheField name="NOMBRE" numFmtId="0">
      <sharedItems/>
    </cacheField>
    <cacheField name="Edad" numFmtId="0">
      <sharedItems containsMixedTypes="1" containsNumber="1" containsInteger="1" minValue="20" maxValue="65"/>
    </cacheField>
    <cacheField name="RUT" numFmtId="0">
      <sharedItems/>
    </cacheField>
    <cacheField name="GENERO" numFmtId="0">
      <sharedItems/>
    </cacheField>
    <cacheField name="Puesto de trabajo" numFmtId="0">
      <sharedItems/>
    </cacheField>
    <cacheField name="Antigüedad en la función Siniestrada" numFmtId="0">
      <sharedItems/>
    </cacheField>
    <cacheField name="MESES" numFmtId="0">
      <sharedItems containsBlank="1"/>
    </cacheField>
    <cacheField name="Descripción breve del evento" numFmtId="0">
      <sharedItems longText="1"/>
    </cacheField>
    <cacheField name="FECHA" numFmtId="0">
      <sharedItems containsSemiMixedTypes="0" containsNonDate="0" containsDate="1" containsString="0" minDate="2024-01-03T00:00:00" maxDate="2024-11-30T00:00:00" count="136">
        <d v="2024-01-03T00:00:00"/>
        <d v="2024-01-05T00:00:00"/>
        <d v="2024-01-09T00:00:00"/>
        <d v="2024-01-11T00:00:00"/>
        <d v="2024-01-12T00:00:00"/>
        <d v="2024-01-13T00:00:00"/>
        <d v="2024-01-14T00:00:00"/>
        <d v="2024-01-15T00:00:00"/>
        <d v="2024-01-17T00:00:00"/>
        <d v="2024-01-19T00:00:00"/>
        <d v="2024-01-20T00:00:00"/>
        <d v="2024-01-22T00:00:00"/>
        <d v="2024-01-29T00:00:00"/>
        <d v="2024-02-02T00:00:00"/>
        <d v="2024-02-07T00:00:00"/>
        <d v="2024-02-08T00:00:00"/>
        <d v="2024-02-12T00:00:00"/>
        <d v="2024-02-14T00:00:00"/>
        <d v="2024-02-15T00:00:00"/>
        <d v="2024-02-20T00:00:00"/>
        <d v="2024-02-28T00:00:00"/>
        <d v="2024-03-06T00:00:00"/>
        <d v="2024-03-07T00:00:00"/>
        <d v="2024-03-12T00:00:00"/>
        <d v="2024-03-15T00:00:00"/>
        <d v="2024-03-20T00:00:00"/>
        <d v="2024-03-23T00:00:00"/>
        <d v="2024-03-27T00:00:00"/>
        <d v="2024-03-28T00:00:00"/>
        <d v="2024-03-29T00:00:00"/>
        <d v="2024-04-01T00:00:00"/>
        <d v="2024-04-02T00:00:00"/>
        <d v="2024-04-03T00:00:00"/>
        <d v="2024-04-04T00:00:00"/>
        <d v="2024-04-05T00:00:00"/>
        <d v="2024-04-06T00:00:00"/>
        <d v="2024-04-10T00:00:00"/>
        <d v="2024-04-11T00:00:00"/>
        <d v="2024-04-13T00:00:00"/>
        <d v="2024-04-15T00:00:00"/>
        <d v="2024-04-16T00:00:00"/>
        <d v="2024-04-19T00:00:00"/>
        <d v="2024-04-20T00:00:00"/>
        <d v="2024-04-21T00:00:00"/>
        <d v="2024-04-22T00:00:00"/>
        <d v="2024-04-23T00:00:00"/>
        <d v="2024-04-25T00:00:00"/>
        <d v="2024-04-27T00:00:00"/>
        <d v="2024-04-30T00:00:00"/>
        <d v="2024-05-01T00:00:00"/>
        <d v="2024-05-03T00:00:00"/>
        <d v="2024-05-08T00:00:00"/>
        <d v="2024-05-13T00:00:00"/>
        <d v="2024-05-17T00:00:00"/>
        <d v="2024-05-18T00:00:00"/>
        <d v="2024-05-21T00:00:00"/>
        <d v="2024-05-23T00:00:00"/>
        <d v="2024-05-24T00:00:00"/>
        <d v="2024-05-25T00:00:00"/>
        <d v="2024-05-27T00:00:00"/>
        <d v="2024-05-29T00:00:00"/>
        <d v="2024-06-01T00:00:00"/>
        <d v="2024-06-03T00:00:00"/>
        <d v="2024-06-05T00:00:00"/>
        <d v="2024-06-08T00:00:00"/>
        <d v="2024-06-11T00:00:00"/>
        <d v="2024-06-19T00:00:00"/>
        <d v="2024-06-20T00:00:00"/>
        <d v="2024-06-22T00:00:00"/>
        <d v="2024-06-23T00:00:00"/>
        <d v="2024-06-25T00:00:00"/>
        <d v="2024-06-26T00:00:00"/>
        <d v="2024-06-27T00:00:00"/>
        <d v="2024-06-28T00:00:00"/>
        <d v="2024-07-02T00:00:00"/>
        <d v="2024-07-03T00:00:00"/>
        <d v="2024-07-04T00:00:00"/>
        <d v="2024-07-05T00:00:00"/>
        <d v="2024-07-08T00:00:00"/>
        <d v="2024-07-09T00:00:00"/>
        <d v="2024-07-10T00:00:00"/>
        <d v="2024-07-13T00:00:00"/>
        <d v="2024-07-15T00:00:00"/>
        <d v="2024-07-16T00:00:00"/>
        <d v="2024-07-17T00:00:00"/>
        <d v="2024-07-19T00:00:00"/>
        <d v="2024-07-20T00:00:00"/>
        <d v="2024-07-25T00:00:00"/>
        <d v="2024-07-26T00:00:00"/>
        <d v="2024-07-29T00:00:00"/>
        <d v="2024-07-30T00:00:00"/>
        <d v="2024-08-01T00:00:00"/>
        <d v="2024-08-04T00:00:00"/>
        <d v="2024-08-06T00:00:00"/>
        <d v="2024-08-09T00:00:00"/>
        <d v="2024-08-13T00:00:00"/>
        <d v="2024-08-16T00:00:00"/>
        <d v="2024-08-18T00:00:00"/>
        <d v="2024-08-23T00:00:00"/>
        <d v="2024-08-25T00:00:00"/>
        <d v="2024-08-28T00:00:00"/>
        <d v="2024-08-29T00:00:00"/>
        <d v="2024-08-30T00:00:00"/>
        <d v="2024-09-01T00:00:00"/>
        <d v="2024-09-02T00:00:00"/>
        <d v="2024-09-07T00:00:00"/>
        <d v="2024-09-09T00:00:00"/>
        <d v="2024-09-10T00:00:00"/>
        <d v="2024-09-11T00:00:00"/>
        <d v="2024-09-12T00:00:00"/>
        <d v="2024-09-13T00:00:00"/>
        <d v="2024-09-16T00:00:00"/>
        <d v="2024-09-17T00:00:00"/>
        <d v="2024-09-20T00:00:00"/>
        <d v="2024-09-24T00:00:00"/>
        <d v="2024-09-25T00:00:00"/>
        <d v="2024-09-27T00:00:00"/>
        <d v="2024-10-01T00:00:00"/>
        <d v="2024-10-03T00:00:00"/>
        <d v="2024-10-04T00:00:00"/>
        <d v="2024-10-05T00:00:00"/>
        <d v="2024-10-08T00:00:00"/>
        <d v="2024-10-09T00:00:00"/>
        <d v="2024-10-11T00:00:00"/>
        <d v="2024-10-12T00:00:00"/>
        <d v="2024-10-14T00:00:00"/>
        <d v="2024-10-19T00:00:00"/>
        <d v="2024-10-24T00:00:00"/>
        <d v="2024-10-26T00:00:00"/>
        <d v="2024-11-02T00:00:00"/>
        <d v="2024-11-11T00:00:00"/>
        <d v="2024-11-18T00:00:00"/>
        <d v="2024-11-22T00:00:00"/>
        <d v="2024-11-23T00:00:00"/>
        <d v="2024-11-27T00:00:00"/>
        <d v="2024-11-29T00:00:00"/>
      </sharedItems>
      <fieldGroup par="40"/>
    </cacheField>
    <cacheField name="HORA EN QUE OCURRIO" numFmtId="20">
      <sharedItems containsSemiMixedTypes="0" containsNonDate="0" containsDate="1" containsString="0" minDate="1899-12-30T00:00:00" maxDate="1899-12-30T23:50:00"/>
    </cacheField>
    <cacheField name="AREA DONDE OCURRE EL ACC." numFmtId="0">
      <sharedItems/>
    </cacheField>
    <cacheField name="¿Por qué Ocurrió?" numFmtId="0">
      <sharedItems containsBlank="1"/>
    </cacheField>
    <cacheField name="TIPO ACC" numFmtId="0">
      <sharedItems count="8">
        <s v="CUASI INCIDENTE"/>
        <s v="MEDIO AMBIENTE"/>
        <s v="STP"/>
        <s v="NAT"/>
        <s v="CUASI INCIDENTE CON PERDIDA ECONOMICA"/>
        <s v="ACCIDENTE TRAYECTO"/>
        <s v="OBS CONDUCTA"/>
        <s v="CTP"/>
      </sharedItems>
    </cacheField>
    <cacheField name="INCIDENTE DECLARADO (ADN)" numFmtId="0">
      <sharedItems/>
    </cacheField>
    <cacheField name="Protocolo Reactivo_x000a_SI / NO" numFmtId="0">
      <sharedItems/>
    </cacheField>
    <cacheField name="ZYGHT" numFmtId="0">
      <sharedItems containsBlank="1"/>
    </cacheField>
    <cacheField name="Gravedad" numFmtId="0">
      <sharedItems/>
    </cacheField>
    <cacheField name="Potencialidad" numFmtId="0">
      <sharedItems/>
    </cacheField>
    <cacheField name="Riesgo Critico Asociado" numFmtId="0">
      <sharedItems/>
    </cacheField>
    <cacheField name="PARTE AFECTADA" numFmtId="0">
      <sharedItems/>
    </cacheField>
    <cacheField name="EMPRESA" numFmtId="0">
      <sharedItems/>
    </cacheField>
    <cacheField name="TIPO DE CONTRATO" numFmtId="0">
      <sharedItems/>
    </cacheField>
    <cacheField name="Resultado de A&amp;D" numFmtId="0">
      <sharedItems/>
    </cacheField>
    <cacheField name="Motivo (Solo si no hubo exámenes)" numFmtId="0">
      <sharedItems containsBlank="1"/>
    </cacheField>
    <cacheField name="Proceso" numFmtId="0">
      <sharedItems/>
    </cacheField>
    <cacheField name="Actividad" numFmtId="0">
      <sharedItems count="121" longText="1">
        <s v="Desconsolidado y Estiba de Carga Fraccionada: Desconsolidado y Estiba de cajas, saquería, bidones, palos de escoba, fardos (cierres), rollos de alambre (galvanizado y de construcción) y paquetes de neumáticos de moto y/o neumáticos (aro 12 hasta aro 20) sobre plataforma de camión"/>
        <s v="Transferencia desde Grúa Tierra: Despacho de contenedores diferidos, full y vacíos"/>
        <s v="Carguío de camiones"/>
        <s v="Recepción de camiones con granel en plataforma volteadora: Remonte con cargador Frontal y Balde"/>
        <s v="Descarga de Granes Limpios: Camiones Abiertos"/>
        <s v="Desconsolidado y Estiba de Carga Unitizada: Desconsolidado y Estiba de cajas, saquería, bidones, papel, maxi sacos, rollos de goma y tambores en pallet sobre plataforma de camión"/>
        <s v="Proceso de consolidado de Sacas"/>
        <s v="Transferencia desde Grúa Nave: Descarga Contenedores de Cubierta 20'/40'"/>
        <s v="Descarga de Tolvas (camiones)"/>
        <s v="Cambio de elemento con equipo de levante"/>
        <s v="Consolidación de Graneles Limpios: Consolidado de graneles limpios con Cargador Frontal y Minicargador"/>
        <s v="N/A"/>
        <s v="Consolidado de Sacas"/>
        <s v="Descarga de Clinker"/>
        <s v="Descarga de camión"/>
        <s v="Transferencia de mini Cargador Frontal en bodega de nave para trimming"/>
        <s v="Desconsolidado y Estiba de Carga Unitizada"/>
        <s v="Desconsolidado y Estiba de Carga General."/>
        <s v="Embarque de Contenedores"/>
        <s v="Despacho de carga proyecto"/>
        <s v="Embarque de granel"/>
        <s v="Desconsolidado de Carga Unitizada: Desconsolidado de Carga Unitizada - BIG BAGS"/>
        <s v="Uso surtidor de GLP en gruas horquillas"/>
        <s v="Inflado de neumaticos"/>
        <s v="Recepción de camiones en sacos, Big Bag o granel, sacado de arcos y Tapado de Rumas: Tapado y Destapado de Rumas"/>
        <s v="Desconsolidado y Estiba de Carga Unitizada: Desconsolidado y Estiba de fardos (acrílico, papel, ropa, fibra textíl) sobre plataforma de camión"/>
        <s v="Transferencia desde Grúa Tierra: Porteo Embarque"/>
        <s v="Faenas Aforo / SAG"/>
        <s v="Limpieza y Mantención de carga y almacenes: Limpieza de almacenes, cortina y sectores de trabajo"/>
        <s v="Recepción e Inspección de Maniobras"/>
        <s v="Carguío de contenedores"/>
        <s v="Recepción y almacenamiento de Sacas desde camión"/>
        <s v="Transferencia desde Grúa Tierra: Porteo Estación de Twistlock a Patio de Contenedores"/>
        <s v="Remate de Bodega: Acopio de Carga al centro de la bodega"/>
        <s v="remonte de soya"/>
        <s v="Carga de soya a camión"/>
        <s v="Traslado y Asignación de Personal e Inicio de Faena / Personal a Bordo"/>
        <s v="Transferencia desde Grúa Tierra: Descarga/Embarque de Contenedores sobre dimensionados (open top, flat rack)"/>
        <s v="Desconsolidado Almacen Descubierto (Maniobras)"/>
        <s v="Orden, Limpieza y Sellado de Contenedores (Antes, Durante y Después)"/>
        <s v="Transferencia desde Grúa Tierra: Porteo Descarga (Costado de Nave a Estación de Twistlock)"/>
        <s v="Descarga de camiones"/>
        <s v="Carguío de Tolvas"/>
        <s v="Recepción de camiones en sacos, Big Bag o granel, sacado de arcos y Tapado de Rumas: Posicionamiento de camión en sector de descarga"/>
        <s v="Transferencia desde Grúa Tierra: Descarga de Contenedores - Contenedores de cubierta y Bajo cubierta"/>
        <s v="Limpieza de Sitio al Remate de nave"/>
        <s v="Transferencia desde Grúa Nave: Descarga y embarque con Grúa Nave en Molo"/>
        <s v="control material"/>
        <s v="Remonte de soya a costado de camión"/>
        <s v="Desconsolidado y Estiba de Carga Unitizada: Desconsolidado y Estiba de tambores (metálicos y plásticos) sobre plataforma de camión"/>
        <s v="Desconsolidado y Estiba de Carga Unitizada: Desconsolidado y Estiba de Motos sobre plataforma de camión"/>
        <s v="Recepción de graneles limpios"/>
        <s v="Recepción de contenedores"/>
        <s v="Despacho de contenedores Full / Empty: Ingreso Camiones a Puerto y Porteo"/>
        <s v="Descarga de contenedores"/>
        <s v="consolidado"/>
        <s v="Traslado a media hora"/>
        <s v="Cierre de puertas"/>
        <s v="Traslado contenedor con soya"/>
        <s v="posicionamiento new jersey"/>
        <s v="Apertura de puertas"/>
        <s v="Internación de carga"/>
        <s v="Barrido con minicargador"/>
        <s v="Consolidado "/>
        <s v="Barrido"/>
        <s v="Transferencia de graneles limpios"/>
        <s v="Acopio big bag"/>
        <s v="Descarga de camiones con soya"/>
        <s v="Descarga TTC"/>
        <s v="Acopio de Big Bag"/>
        <s v="Consolidado Indirecto Mineral"/>
        <s v="Transferencia de cotnenedores"/>
        <s v="Consolidado en sacas"/>
        <s v="Transferencia de clinker"/>
        <s v="Recepcion de big bag mineral"/>
        <s v="Transferencia de asfalto"/>
        <s v="Transferencia de contenedores"/>
        <s v="Traslado de big bag"/>
        <s v="Traslado de escalera"/>
        <s v="Consolidadode grano de soya"/>
        <s v="Recepción de soya a granel"/>
        <s v="Recepción BigBag"/>
        <s v="Consolidado de grano de Soya"/>
        <s v="Carguio de minerales a buzon"/>
        <s v="Prelingado de sacos"/>
        <s v="Descarga de soya"/>
        <s v="Revisión SAG"/>
        <s v="Sacado de Arcos"/>
        <s v="Embalado"/>
        <s v="Despeje para embarque"/>
        <s v="Descarga Contenedores"/>
        <s v="Carguío de contenedor a tracto"/>
        <s v="Enganche de tracto con rampla"/>
        <s v="Desenganche de chinguillo"/>
        <s v="Movimiento de contenedores"/>
        <s v="Recepción de cajas en chinguillo"/>
        <s v="Traslado de Utilería Portuaria (Materialero)"/>
        <s v="Desconsolidado y estiba de carga fraccionada"/>
        <s v="Desconsolidado y estiba de carga unitizada: Desconsolidado y estiba de sacas y bigbag sobre plataforma de camion"/>
        <s v="Traslado de contenedores"/>
        <s v="Desconsolidado"/>
        <s v="Barrido de soya"/>
        <s v="Recepcion de cajas en chinguillo"/>
        <s v="Faenas Aforo / Aduana"/>
        <s v="Repeción de soya"/>
        <s v="Recepción graneles limpios"/>
        <s v="Desconsolidado, estiba de carga"/>
        <s v="Recepción soya a granel"/>
        <s v="Embarque"/>
        <s v="Acopio graneles"/>
        <s v="Tapado de ruma de soya"/>
        <s v="Movimiento de soya"/>
        <s v="Deconsolidado"/>
        <s v="Consolidado big bag"/>
        <s v="Desconsolidado y manipulación de carga general"/>
        <s v="Transferencia de cajas de pescado"/>
        <s v="Manipulación y despacho de carga suelta"/>
        <s v="Acopio de mineral"/>
        <s v="Consolidado big bag mineral"/>
        <s v="Desconsolidado directo"/>
        <s v="Estiba de pallet sobre camión"/>
      </sharedItems>
    </cacheField>
    <cacheField name="Tarea" numFmtId="0">
      <sharedItems containsBlank="1"/>
    </cacheField>
    <cacheField name="NOMBRE2" numFmtId="0">
      <sharedItems containsBlank="1"/>
    </cacheField>
    <cacheField name="EMPRESA2" numFmtId="0">
      <sharedItems containsBlank="1"/>
    </cacheField>
    <cacheField name="TIPO DE CONTRATO2" numFmtId="0">
      <sharedItems containsBlank="1"/>
    </cacheField>
    <cacheField name="NOMBRE3" numFmtId="0">
      <sharedItems containsBlank="1"/>
    </cacheField>
    <cacheField name="EMPRESA3" numFmtId="0">
      <sharedItems containsBlank="1"/>
    </cacheField>
    <cacheField name="DIA" numFmtId="0">
      <sharedItems/>
    </cacheField>
    <cacheField name="TURNO" numFmtId="0">
      <sharedItems containsBlank="1"/>
    </cacheField>
    <cacheField name="D.P." numFmtId="0">
      <sharedItems containsBlank="1" containsMixedTypes="1" containsNumber="1" containsInteger="1" minValue="0" maxValue="33"/>
    </cacheField>
    <cacheField name="Tiempo de detención (horas)" numFmtId="0">
      <sharedItems containsBlank="1" containsMixedTypes="1" containsNumber="1" minValue="0" maxValue="1"/>
    </cacheField>
    <cacheField name="Litros o kg derramados" numFmtId="0">
      <sharedItems containsBlank="1" containsMixedTypes="1" containsNumber="1" containsInteger="1" minValue="0" maxValue="5"/>
    </cacheField>
    <cacheField name="Código SAP _x000a_(SOLO MA)" numFmtId="0">
      <sharedItems containsBlank="1"/>
    </cacheField>
    <cacheField name="Días (FECHA)" numFmtId="0" databaseField="0">
      <fieldGroup base="9">
        <rangePr groupBy="days" startDate="2024-01-03T00:00:00" endDate="2024-11-30T00:00:00"/>
        <groupItems count="368">
          <s v="&lt;03-01-2024"/>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t"/>
          <s v="02-sept"/>
          <s v="03-sept"/>
          <s v="04-sept"/>
          <s v="05-sept"/>
          <s v="06-sept"/>
          <s v="07-sept"/>
          <s v="08-sept"/>
          <s v="09-sept"/>
          <s v="10-sept"/>
          <s v="11-sept"/>
          <s v="12-sept"/>
          <s v="13-sept"/>
          <s v="14-sept"/>
          <s v="15-sept"/>
          <s v="16-sept"/>
          <s v="17-sept"/>
          <s v="18-sept"/>
          <s v="19-sept"/>
          <s v="20-sept"/>
          <s v="21-sept"/>
          <s v="22-sept"/>
          <s v="23-sept"/>
          <s v="24-sept"/>
          <s v="25-sept"/>
          <s v="26-sept"/>
          <s v="27-sept"/>
          <s v="28-sept"/>
          <s v="29-sept"/>
          <s v="30-sept"/>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30-11-2024"/>
        </groupItems>
      </fieldGroup>
    </cacheField>
    <cacheField name="Meses (FECHA)" numFmtId="0" databaseField="0">
      <fieldGroup base="9">
        <rangePr groupBy="months" startDate="2024-01-03T00:00:00" endDate="2024-11-30T00:00:00"/>
        <groupItems count="14">
          <s v="&lt;03-01-2024"/>
          <s v="ene"/>
          <s v="feb"/>
          <s v="mar"/>
          <s v="abr"/>
          <s v="may"/>
          <s v="jun"/>
          <s v="jul"/>
          <s v="ago"/>
          <s v="sept"/>
          <s v="oct"/>
          <s v="nov"/>
          <s v="dic"/>
          <s v="&gt;30-11-2024"/>
        </groupItems>
      </fieldGroup>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therine Castillo (ARI UPOR)" refreshedDate="45708.668241550928" createdVersion="8" refreshedVersion="8" minRefreshableVersion="3" recordCount="29" xr:uid="{264F7D62-3B06-4239-9C5C-0B8F1A56B9F9}">
  <cacheSource type="worksheet">
    <worksheetSource ref="A11:AQ40" sheet="Resumen 1"/>
  </cacheSource>
  <cacheFields count="43">
    <cacheField name="N°" numFmtId="0">
      <sharedItems containsSemiMixedTypes="0" containsString="0" containsNumber="1" containsInteger="1" minValue="1" maxValue="29"/>
    </cacheField>
    <cacheField name="NOMBRE" numFmtId="0">
      <sharedItems containsBlank="1"/>
    </cacheField>
    <cacheField name="RUT" numFmtId="0">
      <sharedItems containsBlank="1"/>
    </cacheField>
    <cacheField name="Puesto de trabajo" numFmtId="0">
      <sharedItems containsBlank="1"/>
    </cacheField>
    <cacheField name="Antigüedad en la función Siniestrada" numFmtId="0">
      <sharedItems containsBlank="1" count="5">
        <s v="Mayor a 3 años"/>
        <s v="N/A"/>
        <s v="Práctica validación MC"/>
        <s v="Entre 1 y 3 años"/>
        <m/>
      </sharedItems>
    </cacheField>
    <cacheField name="Género" numFmtId="0">
      <sharedItems containsBlank="1" count="2">
        <s v="Masculino"/>
        <m/>
      </sharedItems>
    </cacheField>
    <cacheField name="Edad" numFmtId="0">
      <sharedItems containsString="0" containsBlank="1" containsNumber="1" containsInteger="1" minValue="26" maxValue="58"/>
    </cacheField>
    <cacheField name="Código" numFmtId="0">
      <sharedItems containsString="0" containsBlank="1" containsNumber="1" containsInteger="1" minValue="260" maxValue="11254"/>
    </cacheField>
    <cacheField name="Descripción breve del evento" numFmtId="0">
      <sharedItems containsBlank="1" longText="1"/>
    </cacheField>
    <cacheField name="FECHA" numFmtId="14">
      <sharedItems containsNonDate="0" containsDate="1" containsString="0" containsBlank="1" minDate="2025-01-03T00:00:00" maxDate="2025-02-19T00:00:00" count="21">
        <d v="2025-01-03T00:00:00"/>
        <d v="2025-01-06T00:00:00"/>
        <d v="2025-01-07T00:00:00"/>
        <d v="2025-01-08T00:00:00"/>
        <d v="2025-01-14T00:00:00"/>
        <d v="2025-01-15T00:00:00"/>
        <d v="2025-01-17T00:00:00"/>
        <d v="2025-01-18T00:00:00"/>
        <d v="2025-01-20T00:00:00"/>
        <d v="2025-01-21T00:00:00"/>
        <d v="2025-01-23T00:00:00"/>
        <d v="2025-01-27T00:00:00"/>
        <d v="2025-01-28T00:00:00"/>
        <d v="2025-01-30T00:00:00"/>
        <d v="2025-02-01T00:00:00"/>
        <d v="2025-02-04T00:00:00"/>
        <d v="2025-02-05T00:00:00"/>
        <d v="2025-02-08T00:00:00"/>
        <d v="2025-02-13T00:00:00"/>
        <d v="2025-02-18T00:00:00"/>
        <m/>
      </sharedItems>
    </cacheField>
    <cacheField name="HORA EN QUE OCURRIO" numFmtId="20">
      <sharedItems containsNonDate="0" containsDate="1" containsString="0" containsBlank="1" minDate="1899-12-30T00:30:00" maxDate="1899-12-30T20:10:00"/>
    </cacheField>
    <cacheField name="¿Por qué Ocurrió?" numFmtId="0">
      <sharedItems containsBlank="1"/>
    </cacheField>
    <cacheField name="TIPO ACC" numFmtId="0">
      <sharedItems containsBlank="1" count="7">
        <s v="Cuasi Accidente"/>
        <s v="Accidente de Trayecto"/>
        <s v="AM"/>
        <s v="Incidente Ambiental"/>
        <s v="STP"/>
        <s v="Conducta Insegura"/>
        <m/>
      </sharedItems>
    </cacheField>
    <cacheField name="Gravedad" numFmtId="0">
      <sharedItems containsBlank="1"/>
    </cacheField>
    <cacheField name="Potencialidad" numFmtId="0">
      <sharedItems containsBlank="1"/>
    </cacheField>
    <cacheField name="Riesgo Critico Asociado" numFmtId="0">
      <sharedItems containsBlank="1"/>
    </cacheField>
    <cacheField name="PARTE AFECTADA" numFmtId="0">
      <sharedItems containsBlank="1"/>
    </cacheField>
    <cacheField name="EMPRESA" numFmtId="0">
      <sharedItems containsBlank="1"/>
    </cacheField>
    <cacheField name="TIPO DE CONTRATO" numFmtId="0">
      <sharedItems containsBlank="1"/>
    </cacheField>
    <cacheField name="Resultado de A&amp;D" numFmtId="0">
      <sharedItems containsBlank="1"/>
    </cacheField>
    <cacheField name="Motivo (Solo si no hubo exámenes)" numFmtId="0">
      <sharedItems containsBlank="1"/>
    </cacheField>
    <cacheField name="ÁREA DONDE OCURRE EL ACC." numFmtId="0">
      <sharedItems containsBlank="1"/>
    </cacheField>
    <cacheField name="Proceso" numFmtId="0">
      <sharedItems containsBlank="1"/>
    </cacheField>
    <cacheField name="Actividad" numFmtId="0">
      <sharedItems containsBlank="1"/>
    </cacheField>
    <cacheField name="Tarea" numFmtId="0">
      <sharedItems containsBlank="1"/>
    </cacheField>
    <cacheField name="DIA" numFmtId="0">
      <sharedItems containsBlank="1"/>
    </cacheField>
    <cacheField name="TURNO" numFmtId="0">
      <sharedItems containsBlank="1" count="4">
        <s v="2°"/>
        <s v="1°"/>
        <s v="3°"/>
        <m/>
      </sharedItems>
    </cacheField>
    <cacheField name="D.P." numFmtId="0">
      <sharedItems containsString="0" containsBlank="1" containsNumber="1" containsInteger="1" minValue="0" maxValue="1"/>
    </cacheField>
    <cacheField name="Tiempo de detención (horas)" numFmtId="0">
      <sharedItems containsBlank="1" containsMixedTypes="1" containsNumber="1" minValue="0" maxValue="2"/>
    </cacheField>
    <cacheField name="Litros o kg derramados" numFmtId="0">
      <sharedItems containsBlank="1" containsMixedTypes="1" containsNumber="1" minValue="0.5" maxValue="10"/>
    </cacheField>
    <cacheField name="Para incidentes de Equipos" numFmtId="0">
      <sharedItems containsBlank="1"/>
    </cacheField>
    <cacheField name="INCIDENTE DECLARADO (ADN)" numFmtId="0">
      <sharedItems containsBlank="1"/>
    </cacheField>
    <cacheField name="Protocolo Reactivo_x000a_SI / NO" numFmtId="0">
      <sharedItems containsBlank="1"/>
    </cacheField>
    <cacheField name="ZYGHT" numFmtId="0">
      <sharedItems containsBlank="1"/>
    </cacheField>
    <cacheField name="ID Zyght" numFmtId="0">
      <sharedItems containsString="0" containsBlank="1" containsNumber="1" containsInteger="1" minValue="2700" maxValue="2818"/>
    </cacheField>
    <cacheField name="Investigación (Zyght)" numFmtId="0">
      <sharedItems containsBlank="1"/>
    </cacheField>
    <cacheField name="Prescripción de medidas" numFmtId="0">
      <sharedItems containsBlank="1"/>
    </cacheField>
    <cacheField name="NOMBRE2" numFmtId="0">
      <sharedItems containsBlank="1"/>
    </cacheField>
    <cacheField name="EMPRESA2" numFmtId="0">
      <sharedItems containsBlank="1"/>
    </cacheField>
    <cacheField name="TIPO DE CONTRATO2" numFmtId="0">
      <sharedItems containsBlank="1"/>
    </cacheField>
    <cacheField name="NOMBRE3" numFmtId="0">
      <sharedItems containsBlank="1"/>
    </cacheField>
    <cacheField name="EMPRESA3" numFmtId="0">
      <sharedItems containsBlank="1"/>
    </cacheField>
    <cacheField name="Código SAP _x000a_(SOLO MA)"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3">
  <r>
    <s v="‌Otro"/>
    <s v="‌Extintor subida  escalera segundo piso vencido del 2020"/>
    <s v="‌Leve"/>
    <s v="‌Arica"/>
    <s v="‌Oficina Administración - Arica"/>
    <s v="‌Gonzalo Zapata"/>
    <s v="‌21-07-2021 12:14"/>
    <s v="‌Paola Salas"/>
    <s v="‌-"/>
    <s v="‌-"/>
    <s v="‌-"/>
    <s v="‌Abierto"/>
    <s v="‌Ultraport"/>
    <s v="‌Ultraport/Axinntus"/>
    <s v="‌-"/>
  </r>
  <r>
    <s v="‌Otro"/>
    <s v="‌Vía de evacuación obstaculizado por los vehículos lo cual dificultaría una evacuación expedita en caso de una alerta de Tsunami"/>
    <s v="‌Serio"/>
    <s v="‌Arica"/>
    <s v="‌Oficinas de Operaciones y Mantención"/>
    <s v="‌Gonzalo Zapata"/>
    <s v="‌20-07-2021 09:57"/>
    <s v="‌Cesar Rodriguez"/>
    <s v="‌-"/>
    <s v="‌-"/>
    <s v="‌-"/>
    <s v="‌Abierto"/>
    <s v="‌Ultraport"/>
    <s v="‌Ultraport"/>
    <s v="‌-"/>
  </r>
  <r>
    <s v="‌Otro"/>
    <s v="‌Se visualizan vehículos mal estacionados sobre paso peatonal, se le informa a Jefe de operaciones del terminal para corregir esta mala acción."/>
    <s v="‌Leve"/>
    <s v="‌Arica"/>
    <s v="‌Terminal de contenedores - Arica"/>
    <s v="‌Jose Echalar"/>
    <s v="‌15-07-2021 18:30"/>
    <s v="‌Jose Echalar"/>
    <s v="‌-"/>
    <s v="‌-"/>
    <s v="‌-"/>
    <s v="‌Abierto"/>
    <s v="‌Ultraport"/>
    <s v="‌Ultraport"/>
    <s v="‌-"/>
  </r>
  <r>
    <s v="‌Otro"/>
    <s v="‌En Almacen cuatro se detecta a conductores Bolivianos sacando cuerdas y fajas, se conversa con ellos y con encargado del Almacen donde se les explica que de acuerdo a nuestros procedimientos de trabajo en la recepción de Soya a granel somos nosotros los que asemos el trabajo y no ellos."/>
    <s v="‌Leve"/>
    <s v="‌Arica"/>
    <s v="‌almacén 4 - Arica"/>
    <s v="‌Jose Echalar"/>
    <s v="‌15-07-2021 12:16"/>
    <s v="‌Jose Echalar"/>
    <s v="‌-"/>
    <s v="‌-"/>
    <s v="‌-"/>
    <s v="‌Abierto"/>
    <s v="‌Ultraport"/>
    <s v="‌Ultraport"/>
    <s v="‌-"/>
  </r>
  <r>
    <s v="‌Asociado a COVID"/>
    <s v="‌En trabajos de mejora del piso al interior de puerto se sorprende a trabajador de empresa externa no usando su mascarilla de la manera correcta manteniendo un contacto estrecho con uno de sus compañeros, Se conversa con encargada del personal y se corrige esta mala acción."/>
    <s v="‌Leve"/>
    <s v="‌Arica"/>
    <s v="‌Terminal de contenedores - Arica"/>
    <s v="‌Jose Echalar"/>
    <s v="‌15-07-2021 11:33"/>
    <s v="‌Jose Echalar"/>
    <s v="‌-"/>
    <s v="‌-"/>
    <s v="‌-"/>
    <s v="‌Abierto"/>
    <s v="‌Ultraport"/>
    <s v="‌Ultraport"/>
    <s v="‌-"/>
  </r>
  <r>
    <s v="‌Otro"/>
    <s v="‌Se detecta en zona de tránsito peatonal dos puntas de fierro las cuales pueden provocar tropiezos o caídas del mismo nivel, se le comunica a área de exelencia y Op de terminal de turno para mejorar dicha condición."/>
    <s v="‌Leve"/>
    <s v="‌Arica"/>
    <s v="‌Puerto en General Arica"/>
    <s v="‌Jose Echalar"/>
    <s v="‌13-07-2021 17:14"/>
    <s v="‌Jose Echalar"/>
    <s v="‌-"/>
    <s v="‌-"/>
    <s v="‌-"/>
    <s v="‌Abierto"/>
    <s v="‌Ultraport"/>
    <s v="‌Ultraport"/>
    <s v="‌-"/>
  </r>
  <r>
    <s v="‌Asociado a EPA Agua"/>
    <s v="‌Llave de duchas en mal estado"/>
    <s v="‌Leve"/>
    <s v="‌Arica"/>
    <s v="‌Taller mantenimiento Arica"/>
    <s v="‌Gonzalo Zapata"/>
    <s v="‌13-07-2021 12:52"/>
    <s v="‌Gonzalo Zapata"/>
    <s v="‌13-07-2021 20:51"/>
    <s v="‌Romin-ha Deifilia Urzua Jorquera"/>
    <s v="‌-"/>
    <s v="‌Cerrado"/>
    <s v="‌Ultraport"/>
    <s v="‌Ultraport"/>
    <s v="‌Ultraport"/>
  </r>
  <r>
    <s v="‌Otro"/>
    <s v="‌En faena de despacho de fierro en atados se evidencia camiones con placa Boliviana estacionados al costado de línea amarilla lo que puede provocar caída al agua del conductor ante una mala acción del mismo, se cruza información con supervisor de la faena para buscar una solución inmediata que fue reposicionar los camiones tres metros hacia adentro del delantal del muelle."/>
    <s v="‌Grave"/>
    <s v="‌Arica"/>
    <s v="‌Sitio 3 - Arica"/>
    <s v="‌Jose Echalar"/>
    <s v="‌08-07-2021 02:27"/>
    <s v="‌Jose Echalar"/>
    <s v="‌-"/>
    <s v="‌-"/>
    <s v="‌-"/>
    <s v="‌Abierto"/>
    <s v="‌Ultraport"/>
    <s v="‌Ultraport"/>
    <s v="‌-"/>
  </r>
  <r>
    <s v="‌Detención Responsable (STOP WORK)"/>
    <s v="‌Movilizador se encontraba manipulando cajas con etiqueta indicando IMO 8 corrosivo, sin los guantes y con mascarilla de papel."/>
    <s v="‌Grave"/>
    <s v="‌Arica"/>
    <s v="‌Sector IMO - Arica"/>
    <s v="‌Roberto Valenzuela"/>
    <s v="‌07-07-2021 20:49"/>
    <s v="‌Roberto Valenzuela"/>
    <s v="‌-"/>
    <s v="‌-"/>
    <s v="‌-"/>
    <s v="‌Abierto"/>
    <s v="‌Ultraport"/>
    <s v="‌Ultraport"/>
    <s v="‌-"/>
  </r>
  <r>
    <s v="‌Asociado a Altura"/>
    <s v="‌Uso de arnés , sobre el 1,8 metros de altura."/>
    <s v="‌Grave"/>
    <s v="‌Arica"/>
    <s v="‌Sitio 4 - Arica"/>
    <s v="‌Roberto Valenzuela"/>
    <s v="‌07-07-2021 20:02"/>
    <s v="‌Roberto Valenzuela"/>
    <s v="‌-"/>
    <s v="‌-"/>
    <s v="‌-"/>
    <s v="‌Abierto"/>
    <s v="‌Ultraport"/>
    <s v="‌Ultraport"/>
    <s v="‌-"/>
  </r>
  <r>
    <s v="‌Asociado a COVID"/>
    <s v="‌Oxigenación de aire en oficina."/>
    <s v="‌Serio"/>
    <s v="‌Arica"/>
    <s v="‌Oficinas de Operaciones y Mantención"/>
    <s v="‌Roberto Valenzuela"/>
    <s v="‌07-07-2021 19:54"/>
    <s v="‌Roberto Valenzuela"/>
    <s v="‌-"/>
    <s v="‌-"/>
    <s v="‌-"/>
    <s v="‌Abierto"/>
    <s v="‌Ultraport"/>
    <s v="‌Ultraport"/>
    <s v="‌-"/>
  </r>
  <r>
    <s v="‌Asociado a Aplastamiento"/>
    <s v="‌En calle principal a la altura de Almacen cuatro se detecta cortina de contenedores donde uno de ellos se encuentra a tres de alto (Chimenea), se cordina con Dispatcher de turno para su mejora en el transcurso del turno."/>
    <s v="‌Grave"/>
    <s v="‌Arica"/>
    <s v="‌almacén 4 - Arica"/>
    <s v="‌Jose Echalar"/>
    <s v="‌06-07-2021 02:57"/>
    <s v="‌Jose Echalar"/>
    <s v="‌-"/>
    <s v="‌-"/>
    <s v="‌-"/>
    <s v="‌Abierto"/>
    <s v="‌Ultraport"/>
    <s v="‌Ultraport"/>
    <s v="‌-"/>
  </r>
  <r>
    <s v="‌Asociado a Contacto con Energías"/>
    <s v="‌EQUIPOS PORTAC 45-46 NO TIENEN SISTEMA DE BLOQUEO DE EQUIPO"/>
    <s v="‌Serio"/>
    <s v="‌Arica"/>
    <s v="‌Taller mantenimiento Arica"/>
    <s v="‌Gonzalo Zapata"/>
    <s v="‌30-06-2021 19:44"/>
    <s v="‌Gonzalo Zapata"/>
    <s v="‌-"/>
    <s v="‌-"/>
    <s v="‌-"/>
    <s v="‌Abierto"/>
    <s v="‌Ultraport"/>
    <s v="‌Ultraport"/>
    <s v="‌-"/>
  </r>
  <r>
    <s v="‌Asociado a Contacto con Energías"/>
    <s v="‌MÁQUINAS PORTAC-52 Y 53 NO TIENEN SISTEMA DE BLOQUEO DE  EQUIPO, CORTE DE ENERGÍA."/>
    <s v="‌Leve"/>
    <s v="‌Arica"/>
    <s v="‌Taller mantenimiento Arica"/>
    <s v="‌Gonzalo Zapata"/>
    <s v="‌30-06-2021 19:34"/>
    <s v="‌Gonzalo Zapata"/>
    <s v="‌14-07-2021 12:37"/>
    <s v="‌Gonzalo Zapata"/>
    <s v="‌14-07-2021 12:40"/>
    <s v="‌Verificación de efectividad del control"/>
    <s v="‌Ultraport"/>
    <s v="‌Ultraport"/>
    <s v="‌Ultraport"/>
  </r>
  <r>
    <s v="‌Detención Responsable (STOP WORK)"/>
    <s v="‌Durante el desarrollo de  carga de equipo Reach stacker   sobre sobre Rampla (PALOTE) se van  presentando dificultades para realizar carga  de manera segura y se decide aplicar stop work y evaluar bien la  carga del equipo._x000a_ Finalmente se decide suspender la carga del equipo  porque  transportista no reúne los implementos necesario para realizar la carga de manera segura."/>
    <s v="‌Serio"/>
    <s v="‌Arica"/>
    <s v="‌Taller mantenimiento Arica"/>
    <s v="‌Gonzalo Zapata"/>
    <s v="‌16-06-2021 18:18"/>
    <s v="‌Gonzalo Zapata"/>
    <s v="‌16-06-2021 18:27"/>
    <s v="‌Gonzalo Zapata"/>
    <s v="‌21-07-2021 21:09"/>
    <s v="‌Verificación de efectividad del control"/>
    <s v="‌Ultraport"/>
    <s v="‌Ultraport"/>
    <s v="‌Ultraport"/>
  </r>
  <r>
    <s v="‌Otro"/>
    <s v="‌si bien los colaboradores conocen el proceso y lo aplican, no existe documentación de difusión de procedimiento actualizado."/>
    <s v="‌Leve"/>
    <s v="‌Arica"/>
    <s v="‌Almacén 6"/>
    <s v="‌Claudio Campillay Bravo"/>
    <s v="‌13-06-2021 19:54"/>
    <s v="‌Marcelo Espinoza"/>
    <s v="‌-"/>
    <s v="‌-"/>
    <s v="‌-"/>
    <s v="‌Abierto"/>
    <s v="‌Ultraport"/>
    <s v="‌Ultraport/Axinntus"/>
    <s v="‌-"/>
  </r>
  <r>
    <s v="‌Otro"/>
    <s v="‌el procedimiento no esta en terreno, sin embargo existe el procedimiento pero esta en oficina de supervisor. Se debe dejar una carpeta con el procedimiento o infografía."/>
    <s v="‌Leve"/>
    <s v="‌Arica"/>
    <s v="‌Almacén 6"/>
    <s v="‌Claudio Campillay Bravo"/>
    <s v="‌13-06-2021 19:54"/>
    <s v="‌Manuel Zuñiga"/>
    <s v="‌-"/>
    <s v="‌-"/>
    <s v="‌-"/>
    <s v="‌Abierto"/>
    <s v="‌Ultraport"/>
    <s v="‌Ultraport"/>
    <s v="‌-"/>
  </r>
  <r>
    <s v="‌Asociado a COVID"/>
    <s v="‌No se identifica aforo en oficinas de romanas."/>
    <s v="‌Grave"/>
    <s v="‌Arica"/>
    <s v="‌Romana - Arica"/>
    <s v="‌Roberto Valenzuela"/>
    <s v="‌12-06-2021 00:57"/>
    <s v="‌Cesar Rodriguez"/>
    <s v="‌-"/>
    <s v="‌-"/>
    <s v="‌-"/>
    <s v="‌Abierto"/>
    <s v="‌Ultraport"/>
    <s v="‌Ultraport"/>
    <s v="‌-"/>
  </r>
  <r>
    <s v="‌Sistema de Gestión"/>
    <s v="‌Se mantiene infografía en el sector, sin embargo no se encuentra actualizada"/>
    <s v="‌Leve"/>
    <s v="‌Arica"/>
    <s v="‌Sitio 5 - Arica"/>
    <s v="‌Claudio Campillay Bravo"/>
    <s v="‌10-06-2021 16:10"/>
    <s v="‌Marcelo Espinoza"/>
    <s v="‌-"/>
    <s v="‌-"/>
    <s v="‌-"/>
    <s v="‌Abierto"/>
    <s v="‌Ultraport"/>
    <s v="‌Ultraport/Axinntus"/>
    <s v="‌-"/>
  </r>
  <r>
    <s v="‌Asociado a Aplastamiento"/>
    <s v="‌En ronda de supervisión por patio de contenedores se detecta pila de cuatro cnt . (Chimenea)_x000a_ Se le comunica a Dispatcher de turno para mejorar la condición."/>
    <s v="‌Grave"/>
    <s v="‌Arica"/>
    <s v="‌Terminal de contenedores - Arica"/>
    <s v="‌Jose Echalar"/>
    <s v="‌06-06-2021 05:14"/>
    <s v="‌Jose Echalar"/>
    <s v="‌-"/>
    <s v="‌-"/>
    <s v="‌-"/>
    <s v="‌Abierto"/>
    <s v="‌Ultraport"/>
    <s v="‌Ultraport"/>
    <s v="‌-"/>
  </r>
  <r>
    <s v="‌Asociado a Aplastamiento"/>
    <s v="‌En caminata por patio de contenedores se evidencia en sector 35 (Por los mayores) una chimenea de 4 de alto, se da aviso a Dispatcher  de turno para mejorar la condición."/>
    <s v="‌Grave"/>
    <s v="‌Arica"/>
    <s v="‌Puerto en General Arica"/>
    <s v="‌Jose Echalar"/>
    <s v="‌05-06-2021 05:59"/>
    <s v="‌Jose Echalar"/>
    <s v="‌-"/>
    <s v="‌-"/>
    <s v="‌-"/>
    <s v="‌Abierto"/>
    <s v="‌Ultraport"/>
    <s v="‌Ultraport"/>
    <s v="‌-"/>
  </r>
  <r>
    <s v="‌Asociado a Salud Ocupacional"/>
    <s v="‌Se detecta es paso de cebra frente a AAMM y Romana mixta placa de metal sobresaliente en piso, la cual podría ocasionar caída de mismo a peatones"/>
    <s v="‌Leve"/>
    <s v="‌Arica"/>
    <s v="‌Puerto en General Arica"/>
    <s v="‌Manuel Zuñiga"/>
    <s v="‌04-06-2021 10:47"/>
    <s v="‌Claudio Campillay Bravo"/>
    <s v="‌-"/>
    <s v="‌-"/>
    <s v="‌-"/>
    <s v="‌Abierto"/>
    <s v="‌Ultraport"/>
    <s v="‌Ultraport"/>
    <s v="‌-"/>
  </r>
  <r>
    <s v="‌Asociado a Atropello"/>
    <s v="‌Paso peatonal no definido e incompleto peatones pasan por cualquier lado y en ocasiones interactúan con el movimiento de equipos de alto tonelaje"/>
    <s v="‌Serio"/>
    <s v="‌Arica"/>
    <s v="‌Taller mantenimiento Arica"/>
    <s v="‌Gonzalo Zapata"/>
    <s v="‌31-05-2021 19:16"/>
    <s v="‌Claudio Campillay Bravo"/>
    <s v="‌-"/>
    <s v="‌-"/>
    <s v="‌-"/>
    <s v="‌Abierto"/>
    <s v="‌Ultraport"/>
    <s v="‌Ultraport"/>
    <s v="‌-"/>
  </r>
  <r>
    <s v="‌Asociado a EPA Suelo"/>
    <s v="‌Durante embarque y desembarque de contenedores en motonave Rhine Maersk, se detecta área sucia, no cumpliendo con el EPA Suelo, de mantener orden y limpieza, durante la operación, aun considerando no ser proceso propio de Uport, y solo prestar servicios, de igual forma, se solicita el retiro de basura domestica acumulada, la cual podría caer al mar por la cercanía donde se encontraba."/>
    <s v="‌Leve"/>
    <s v="‌Arica"/>
    <s v="‌Sitio 4 - Arica"/>
    <s v="‌Romin-ha Deifilia Urzua Jorquera"/>
    <s v="‌29-05-2021 13:28"/>
    <s v="‌Romin-ha Deifilia Urzua Jorquera"/>
    <s v="‌29-05-2021 13:32"/>
    <s v="‌Romin-ha Deifilia Urzua Jorquera"/>
    <s v="‌29-05-2021 13:36"/>
    <s v="‌Verificación de efectividad del control"/>
    <s v="‌Ultraport"/>
    <s v="‌Ultraport"/>
    <s v="‌Ultraport"/>
  </r>
  <r>
    <s v="‌Asociado a COVID"/>
    <s v="‌Durante atención de motonave de contenedores, en el sitio 4 se detecta lavamanos móvil sin agua y sucio, por lo que se informa a TPA y se solicita la limpieza y reposición de agua potable. Además de señalar que estación de lavamanos móvil, no cuenta con basurero."/>
    <s v="‌Leve"/>
    <s v="‌Arica"/>
    <s v="‌Sitio 4 - Arica"/>
    <s v="‌Romin-ha Deifilia Urzua Jorquera"/>
    <s v="‌29-05-2021 13:09"/>
    <s v="‌Romin-ha Deifilia Urzua Jorquera"/>
    <s v="‌29-05-2021 13:18"/>
    <s v="‌Romin-ha Deifilia Urzua Jorquera"/>
    <s v="‌29-05-2021 13:22"/>
    <s v="‌Verificación de efectividad del control"/>
    <s v="‌Ultraport"/>
    <s v="‌Ultraport"/>
    <s v="‌Ultraport"/>
  </r>
  <r>
    <s v="‌Asociado a Atropello"/>
    <s v="‌Si bien se encuentra difundido, no esta difundido la ultima actualización"/>
    <s v="‌Leve"/>
    <s v="‌Arica"/>
    <s v="‌Sector Norte - Arica"/>
    <s v="‌Claudio Campillay Bravo"/>
    <s v="‌22-05-2021 23:56"/>
    <s v="‌Marcelo Espinoza"/>
    <s v="‌-"/>
    <s v="‌-"/>
    <s v="‌-"/>
    <s v="‌Abierto"/>
    <s v="‌Ultraport"/>
    <s v="‌Ultraport/Axinntus"/>
    <s v="‌-"/>
  </r>
  <r>
    <s v="‌Asociado a Contacto con Energías"/>
    <s v="‌Camión  boliviano que ingresa a puerto a descargar soya a granel se encuentra con sus baterías sin ninguna protección  lo cual contenía cadena afirmándolas que pueden  hacer puente y ocasionar daño mayor."/>
    <s v="‌Serio"/>
    <s v="‌Arica"/>
    <s v="‌Sitio 4 - Arica"/>
    <s v="‌Omayra Cautin Lopez"/>
    <s v="‌17-05-2021 21:14"/>
    <s v="‌Omayra Cautin Lopez"/>
    <s v="‌-"/>
    <s v="‌-"/>
    <s v="‌-"/>
    <s v="‌Abierto"/>
    <s v="‌Ultraport"/>
    <s v="‌Ultraport"/>
    <s v="‌-"/>
  </r>
  <r>
    <s v="‌Asociado a COVID"/>
    <s v="‌Toma de temperatura al inicio y terminó del turno."/>
    <s v="‌Serio"/>
    <s v="‌Arica"/>
    <s v="‌Puerto en General Arica"/>
    <s v="‌Roberto Valenzuela"/>
    <s v="‌17-05-2021 11:14"/>
    <s v="‌Roberto Valenzuela"/>
    <s v="‌18-05-2021 17:58"/>
    <s v="‌Roberto Valenzuela"/>
    <s v="‌-"/>
    <s v="‌Cerrado"/>
    <s v="‌Ultraport"/>
    <s v="‌Ultraport"/>
    <s v="‌Ultraport"/>
  </r>
  <r>
    <s v="‌Asociado a Atropello"/>
    <s v="‌Chofer se encuentra dentro de área demarcada."/>
    <s v="‌Grave"/>
    <s v="‌Arica"/>
    <s v="‌Sector Norte - Arica"/>
    <s v="‌Roberto Valenzuela"/>
    <s v="‌17-05-2021 11:05"/>
    <s v="‌Roberto Valenzuela"/>
    <s v="‌18-05-2021 18:01"/>
    <s v="‌Roberto Valenzuela"/>
    <s v="‌-"/>
    <s v="‌Cerrado"/>
    <s v="‌Ultraport"/>
    <s v="‌Ultraport"/>
    <s v="‌Ultraport"/>
  </r>
  <r>
    <s v="‌Otro"/>
    <s v="‌Posible caida de mismo nivel."/>
    <s v="‌Leve"/>
    <s v="‌Arica"/>
    <s v="‌Taller mantenimiento Arica"/>
    <s v="‌Gonzalo Zapata"/>
    <s v="‌13-05-2021 21:08"/>
    <s v="‌Gonzalo Zapata"/>
    <s v="‌-"/>
    <s v="‌-"/>
    <s v="‌-"/>
    <s v="‌Abierto"/>
    <s v="‌Ultraport"/>
    <s v="‌Ultraport"/>
    <s v="‌-"/>
  </r>
  <r>
    <s v="‌Asociado a Aplastamiento"/>
    <s v="‌Durante el traslado de un sector a otro, se evidencia la existencia de 2  columnas de contenedores (chimeneas), que no contaban con un apoyo de otras rumas a sus costados, por lo que se solicita a operador de terminal reposicionar contenedores, para eliminar el riesgo de aplastamiento por desestabilización de alguna de las rumas."/>
    <s v="‌Leve"/>
    <s v="‌Arica"/>
    <s v="‌Puerto en General Arica"/>
    <s v="‌Romin-ha Deifilia Urzua Jorquera"/>
    <s v="‌13-05-2021 15:20"/>
    <s v="‌Romin-ha Deifilia Urzua Jorquera"/>
    <s v="‌13-05-2021 15:23"/>
    <s v="‌Romin-ha Deifilia Urzua Jorquera"/>
    <s v="‌13-05-2021 15:27"/>
    <s v="‌Verificación de efectividad del control"/>
    <s v="‌Ultraport"/>
    <s v="‌Ultraport"/>
    <s v="‌Ultraport"/>
  </r>
  <r>
    <s v="‌Asociado a Altura"/>
    <s v="‌Se sorprende a conductor encarpando sin elementos de protección anti-caídas"/>
    <s v="‌Grave"/>
    <s v="‌Arica"/>
    <s v="‌zona de encarpado Arica"/>
    <s v="‌Omayra Cautin Lopez"/>
    <s v="‌11-05-2021 14:53"/>
    <s v="‌Omayra Cautin Lopez"/>
    <s v="‌-"/>
    <s v="‌-"/>
    <s v="‌-"/>
    <s v="‌Abierto"/>
    <s v="‌Ultraport"/>
    <s v="‌Ultraport"/>
    <s v="‌-"/>
  </r>
  <r>
    <s v="‌Asociado a Contacto con Energías"/>
    <s v="‌Solo se hace corte de energía del equipo, pero no se realiza bloqueo físico de este."/>
    <s v="‌Grave"/>
    <s v="‌Arica"/>
    <s v="‌Taller mantenimiento Arica"/>
    <s v="‌Claudio Campillay Bravo"/>
    <s v="‌08-05-2021 20:57"/>
    <s v="‌Juan Carlos González Olivo"/>
    <s v="‌-"/>
    <s v="‌-"/>
    <s v="‌-"/>
    <s v="‌Abierto"/>
    <s v="‌Ultraport"/>
    <s v="‌Ultraport/Axinntus"/>
    <s v="‌-"/>
  </r>
  <r>
    <s v="‌Asociado a Contacto con Energías"/>
    <s v="‌Si bien conocen el control critico para contacto con energía, este no conocido por todos."/>
    <s v="‌Grave"/>
    <s v="‌Arica"/>
    <s v="‌Taller mantenimiento Arica"/>
    <s v="‌Claudio Campillay Bravo"/>
    <s v="‌08-05-2021 20:57"/>
    <s v="‌Juan Carlos González Olivo"/>
    <s v="‌-"/>
    <s v="‌-"/>
    <s v="‌-"/>
    <s v="‌Abierto"/>
    <s v="‌Ultraport"/>
    <s v="‌Ultraport/Axinntus"/>
    <s v="‌-"/>
  </r>
  <r>
    <s v="‌Asociado a Aplastamiento"/>
    <s v="‌estructura metálica se cae en paso peatonal."/>
    <s v="‌Serio"/>
    <s v="‌Arica"/>
    <s v="‌Puerto en General Arica"/>
    <s v="‌Omayra Cautin Lopez"/>
    <s v="‌01-05-2021 14:37"/>
    <s v="‌Omayra Cautin Lopez"/>
    <s v="‌-"/>
    <s v="‌-"/>
    <s v="‌-"/>
    <s v="‌Abierto"/>
    <s v="‌Ultraport"/>
    <s v="‌Ultraport"/>
    <s v="‌-"/>
  </r>
  <r>
    <s v="‌Otro"/>
    <s v="‌En terreno por ser estaciones de piñas móviles, no cuentan con el procedimiento in situ, de igual forma se instalarán infografías alusivas al procedimiento."/>
    <s v="‌Leve"/>
    <s v="‌Arica"/>
    <s v="‌Sitio 4 - Arica"/>
    <s v="‌Romin-ha Deifilia Urzua Jorquera"/>
    <s v="‌01-05-2021 13:47"/>
    <s v="‌Romin-ha Deifilia Urzua Jorquera"/>
    <s v="‌-"/>
    <s v="‌-"/>
    <s v="‌-"/>
    <s v="‌Abierto"/>
    <s v="‌Ultraport"/>
    <s v="‌Ultraport"/>
    <s v="‌-"/>
  </r>
  <r>
    <s v="‌Asociado a Salud Ocupacional"/>
    <s v="‌Durante el desarrollo de la faena en el sitio SAG, en donde por parte de la autoridad se revisa la carga._x000a_ El la desestiba de contenedores, la carga de un pallet viene dañada, por lo cual los movilizadores son quienes deben volver a estibar carga en pallet, manipulando de esta forma los bultos caídos, en relación a esta actividad no rutinaria en el sector, es que se advierte la sospecha de que el bulto sobrepasa el peso permitido para ser cargado por ambos movilizadores."/>
    <s v="‌Leve"/>
    <s v="‌Arica"/>
    <s v="‌Almacén 1 - Arica"/>
    <s v="‌Romin-ha Deifilia Urzua Jorquera"/>
    <s v="‌19-04-2021 12:39"/>
    <s v="‌Romin-ha Deifilia Urzua Jorquera"/>
    <s v="‌21-04-2021 12:47"/>
    <s v="‌Romin-ha Deifilia Urzua Jorquera"/>
    <s v="‌21-04-2021 12:53"/>
    <s v="‌Verificación de efectividad del control"/>
    <s v="‌Ultraport"/>
    <s v="‌Ultraport"/>
    <s v="‌Ultraport"/>
  </r>
  <r>
    <s v="‌Asociado a Contacto con Energías"/>
    <s v="‌Se evidencia mal estado de extensión eléctrica, por lo que se deja sin utilidad, dando aviso a supervisor a cargo y solicitando el recambio de esta y/o lo materiales para la elaboración de una nueva extinción, considerando el riesgo eléctrico como el principal efecto de la manipulación en mal estado, descartando así en esta oportunidad la reparación paliativa con cinta aislante."/>
    <s v="‌Serio"/>
    <s v="‌Arica"/>
    <s v="‌Taller mantenimiento Arica"/>
    <s v="‌Romin-ha Deifilia Urzua Jorquera"/>
    <s v="‌10-02-2021 16:19"/>
    <s v="‌Gonzalo Zapata"/>
    <s v="‌-"/>
    <s v="‌-"/>
    <s v="‌-"/>
    <s v="‌Abierto"/>
    <s v="‌Ultraport"/>
    <s v="‌Ultraport"/>
    <s v="‌-"/>
  </r>
  <r>
    <s v="‌Asociado a Contacto con Energías"/>
    <s v="‌Se cambia  stand  de  utilería  portuario"/>
    <s v="‌Serio"/>
    <s v="‌Arica"/>
    <s v="‌Sitio 4 - Arica"/>
    <s v="‌Manuel Garcia"/>
    <s v="‌28-01-2021 09:01"/>
    <s v="‌Manuel Garcia"/>
    <s v="‌-"/>
    <s v="‌-"/>
    <s v="‌-"/>
    <s v="‌Abierto"/>
    <s v="‌Ultraport"/>
    <s v="‌Ultraport"/>
    <s v="‌-"/>
  </r>
  <r>
    <s v="‌Asociado a Contacto con Energías"/>
    <s v="‌Durante 1er turno equipo de mantención llena galón de gas, ocupado como reserva en el taller de mantenimiento para cargar grúas horquillas, en caso de escases de combustible durante procesos de mantenimiento. _x000a_ Al llegar al taller, mecánico posiciona galón al sol, lo que provoca que válvula de seguridad comience a liberar gas a modo de evitar explosión de galón."/>
    <s v="‌Leve"/>
    <s v="‌Arica"/>
    <s v="‌Taller mantenimiento Arica"/>
    <s v="‌Romin-ha Deifilia Urzua Jorquera"/>
    <s v="‌18-01-2021 14:16"/>
    <s v="‌Romin-ha Deifilia Urzua Jorquera"/>
    <s v="‌20-01-2021 14:26"/>
    <s v="‌Romin-ha Deifilia Urzua Jorquera"/>
    <s v="‌20-01-2021 19:50"/>
    <s v="‌Verificación de efectividad del control"/>
    <s v="‌Ultraport"/>
    <s v="‌Ultraport"/>
    <s v="‌Ultraport"/>
  </r>
  <r>
    <s v="‌Asociado a Contacto con Energías"/>
    <s v="‌Durante inspección al área de mantenimiento, se advierte extensión eléctrica en mal estado."/>
    <s v="‌Serio"/>
    <s v="‌Arica"/>
    <s v="‌Taller mantenimiento Arica"/>
    <s v="‌Romin-ha Deifilia Urzua Jorquera"/>
    <s v="‌16-01-2021 14:47"/>
    <s v="‌Romin-ha Deifilia Urzua Jorquera"/>
    <s v="‌17-01-2021 14:55"/>
    <s v="‌Romin-ha Deifilia Urzua Jorquera"/>
    <s v="‌17-01-2021 14:58"/>
    <s v="‌Verificación de efectividad del control"/>
    <s v="‌Ultraport"/>
    <s v="‌Ultraport"/>
    <s v="‌Ultraport"/>
  </r>
  <r>
    <s v="‌Asociado a EPA Suelo"/>
    <s v="‌Se detecta mal estado de ruedas en carros de distribución de aceite en el taller de mantenimiento. Desgaste que no permite movilizar carros con facilidad y requiere un sobreesfuerzo por parte de mecánicos."/>
    <s v="‌Leve"/>
    <s v="‌Arica"/>
    <s v="‌Taller mantenimiento Arica"/>
    <s v="‌Romin-ha Deifilia Urzua Jorquera"/>
    <s v="‌05-01-2021 18:32"/>
    <s v="‌Romin-ha Deifilia Urzua Jorquera"/>
    <s v="‌11-02-2021 18:39"/>
    <s v="‌Romin-ha Deifilia Urzua Jorquera"/>
    <s v="‌11-02-2021 18:59"/>
    <s v="‌Verificación de efectividad del control"/>
    <s v="‌Ultraport"/>
    <s v="‌Ultraport"/>
    <s v="‌Ultraport"/>
  </r>
  <r>
    <m/>
    <m/>
    <m/>
    <m/>
    <m/>
    <m/>
    <m/>
    <m/>
    <m/>
    <m/>
    <m/>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11">
  <r>
    <n v="1"/>
    <s v="PEREIRA GARCIA JUAN CARLOS"/>
    <n v="57"/>
    <s v="9.397.555-3"/>
    <s v="Operador RS"/>
    <m/>
    <m/>
    <s v="Colaborador se encontraba realizando despeje de contenedores en zona 22-23. Al momento de posicionarse para tomar contenedor 3 de alto no advierte cercanía con spreader a contenedor (FSCU9517863) 20 PIES  2 de alto golpeando su estructura lo que genera daño. "/>
    <x v="0"/>
    <d v="1899-12-30T14:05:00"/>
    <s v="Zona 22-23"/>
    <s v="Maniobra inadecuada"/>
    <x v="0"/>
    <s v="NO"/>
    <s v="No Aplica"/>
    <s v="Bajo"/>
    <s v="No Aplica"/>
    <s v="Sin Lesión"/>
  </r>
  <r>
    <n v="2"/>
    <s v="CORTES ROJAS REGINALDO ANTONIO"/>
    <n v="34"/>
    <s v="16.769.840-9"/>
    <s v="Operador  CF"/>
    <m/>
    <m/>
    <s v="Operador Cargador Frontal LP 077 al momento de ejecutar la descarga de soya a granel, con el balde del equipo, daña compuerta trasera del camión, provocando un corte. "/>
    <x v="1"/>
    <d v="1899-12-30T19:30:00"/>
    <s v="Almacen 4"/>
    <m/>
    <x v="0"/>
    <s v="NO"/>
    <s v="No Aplica"/>
    <s v="Bajo"/>
    <s v="No Aplica"/>
    <s v="Sin Lesión"/>
  </r>
  <r>
    <n v="3"/>
    <s v="ARAVENA MATURANA CLAUDIO HERNAN"/>
    <n v="52"/>
    <s v="10.881.192-7"/>
    <s v="Movilizador"/>
    <m/>
    <m/>
    <s v="Movilizador al no esperar equipo de apoyo (horquilla) y a su dupla de trabajo, toma una acción insegura de bajar compuerta de camión solo,  provocando daño a compuerta de camión."/>
    <x v="2"/>
    <d v="1899-12-30T19:00:00"/>
    <s v="Almacen 2"/>
    <m/>
    <x v="0"/>
    <s v="NO"/>
    <s v="No Aplica"/>
    <s v="Bajo"/>
    <s v="No Aplica"/>
    <s v="Sin Lesión"/>
  </r>
  <r>
    <n v="4"/>
    <s v="CHILCUMPA AGUILERA RICHARD ALEJANDRO"/>
    <n v="44"/>
    <s v="13.224.689-0"/>
    <s v="Operador Dulevo"/>
    <m/>
    <m/>
    <s v="Operador de equipo Dulevo se encontraba barriendo en el sector norte del almacén 10 cuando pasa sobre el riel el patín del equipo queda trabado entre los rieles quedando trabado."/>
    <x v="3"/>
    <s v="22.20"/>
    <s v="Almacen 10"/>
    <m/>
    <x v="1"/>
    <s v="NO"/>
    <s v="No Aplica"/>
    <s v="Bajo"/>
    <s v="No Aplica"/>
    <s v="Sin Lesión"/>
  </r>
  <r>
    <n v="5"/>
    <s v="DE MONSERRAT VALDEBENITO JUAN MANUEL"/>
    <n v="25"/>
    <s v="19.355.232-3"/>
    <s v="Practica TC"/>
    <m/>
    <m/>
    <s v="En actividad de practica de operadores tracto en sector norte 8, operador al estar trasladandose en reversa no se percata  de muro  golpenado panderetas con parte trasera de tracto y dañado 2 de estas."/>
    <x v="4"/>
    <d v="1899-12-30T11:10:00"/>
    <s v="Norte 8"/>
    <m/>
    <x v="2"/>
    <s v="NO"/>
    <s v="No Aplica"/>
    <s v="Bajo"/>
    <s v="No Aplica"/>
    <s v="Sin Lesión"/>
  </r>
  <r>
    <n v="6"/>
    <s v="DELGADO  CUTIPA JESUS JORGE"/>
    <n v="59"/>
    <s v="7.283.202-7"/>
    <s v="Operador MC"/>
    <m/>
    <m/>
    <s v="Operador del mini cargador LP consolidando el contenedor FFAU388194-8 con soya a granel al ingresar con el equipo al contenedor y la condición en la que se encuentran trabajando pasa a llevar el contenedor con el balde del equipo provocándole un corte . "/>
    <x v="5"/>
    <d v="1899-12-30T17:35:00"/>
    <s v="Almacen 4"/>
    <m/>
    <x v="0"/>
    <s v="NO"/>
    <s v="No Aplica"/>
    <s v="Bajo"/>
    <s v="No Aplica"/>
    <s v="Sin Lesión"/>
  </r>
  <r>
    <n v="7"/>
    <s v="RIVERA PASTEN HERNAN DAVID"/>
    <n v="59"/>
    <s v="9.236.501-8"/>
    <s v="Operador CF"/>
    <m/>
    <m/>
    <s v="Durante el carguío de camiones tolva, con cargador frontal N°041, operador evidencia rastros de aceite en el suelo, por lo que procede a detener y parquear equipo."/>
    <x v="6"/>
    <s v="05.30"/>
    <s v="Sector codo"/>
    <s v="Fatiga de material"/>
    <x v="3"/>
    <s v="NO"/>
    <s v="No Aplica"/>
    <s v="Bajo"/>
    <s v="No Aplica"/>
    <s v="Sin Lesión"/>
  </r>
  <r>
    <n v="8"/>
    <s v="CARREÑO RAMIREZ JOHAN FRANCISCO"/>
    <n v="21"/>
    <s v="20.844.863-3"/>
    <s v="Movilizador"/>
    <m/>
    <m/>
    <s v="Colaborador se encontraba realizando enganche sacas de manera manual, en el momento que operador de grúa horquilla se posiciona para enganchar azas no logra tener una buena visibilidad y coordinación lo que como consecuencia termina en golpe con  una de sus uñas en mano izquierda de trabajador."/>
    <x v="7"/>
    <d v="1899-12-30T14:00:00"/>
    <s v="Almacen 4"/>
    <m/>
    <x v="4"/>
    <s v="NO"/>
    <s v="Leve"/>
    <s v="Bajo"/>
    <s v="No Aplica"/>
    <s v="Mano Izquierda"/>
  </r>
  <r>
    <n v="9"/>
    <s v="HUENUHUEQUE BARRA DIEGO ALEXIS"/>
    <n v="31"/>
    <s v="17.520.437-7"/>
    <s v="Operador CF"/>
    <m/>
    <m/>
    <s v="Operadorde cargador frontal 41, al estar realizando actividad de emparejamiento de carga dentro de bodega Nº1, al retroceder golpea defensa de escalera de proa,produciendo daño a equipo. "/>
    <x v="8"/>
    <d v="1899-12-30T01:40:00"/>
    <s v="Bodega MN ANGELE"/>
    <m/>
    <x v="1"/>
    <s v="NO"/>
    <s v="No Aplica"/>
    <s v="Bajo"/>
    <s v="No Aplica"/>
    <s v="Sin Lesión"/>
  </r>
  <r>
    <n v="10"/>
    <s v="VASQUEZ VASQUEZ MAURICIO FABIAN"/>
    <n v="38"/>
    <s v="15.693.324-4"/>
    <s v="Operador MC"/>
    <m/>
    <m/>
    <s v=" Durante la recepción de gráneles limpios, en la tarea de limpieza del sector, con mini cargador frontal N°0006, operador evidencia rastros de aceite en el suelo, por lo que procede a detenery parquear equipo."/>
    <x v="9"/>
    <d v="1899-12-30T03:50:00"/>
    <s v="Almacen 4"/>
    <s v="Fatiga de material"/>
    <x v="3"/>
    <s v="NO"/>
    <s v="No Aplica"/>
    <s v="Bajo"/>
    <s v="No Aplica"/>
    <s v="Sin Lesión"/>
  </r>
  <r>
    <n v="11"/>
    <s v="LOBOS  MAITA CARLOS"/>
    <n v="63"/>
    <s v="8.442.906-6"/>
    <s v="Operador CF"/>
    <m/>
    <m/>
    <s v="Durante el carguío de camiones  tolva con soya, con payloader 041, se genera fatiga orring de cilindro central lo que provoca derrame de aceite hidráulico. "/>
    <x v="10"/>
    <d v="1899-12-30T02:10:00"/>
    <s v="Almacen 4"/>
    <s v="Fatiga de material"/>
    <x v="3"/>
    <s v="NO"/>
    <s v="No Aplica"/>
    <s v="Bajo"/>
    <s v="No Aplica"/>
    <s v="Sin Lesión"/>
  </r>
  <r>
    <n v="12"/>
    <s v="CHONG ALVAREZ HECTOR JUAN"/>
    <n v="43"/>
    <s v="15.000.057-2"/>
    <s v="Operador TC"/>
    <m/>
    <m/>
    <s v="Operador mientras realizaba maniobra de retroceso (tracto 18) en  sitio  30, se apega a contenedores ocasionando daño en espejo lateral derecho."/>
    <x v="10"/>
    <d v="1899-12-30T16:45:00"/>
    <s v="Sector 30"/>
    <m/>
    <x v="1"/>
    <s v="NO"/>
    <s v="No Aplica"/>
    <s v="Bajo"/>
    <s v="No Aplica"/>
    <s v="Sin Lesión"/>
  </r>
  <r>
    <n v="13"/>
    <s v="SANCHEZ SALAZAR LUIS DANIEL"/>
    <n v="64"/>
    <s v="7.942.988-0"/>
    <s v="Operador GH"/>
    <m/>
    <m/>
    <s v="Operador se encontraba desconsolidando pallets de sacos de polietileno, al momento de salir del ctr y al girar no se percata que la otra gh que estaba trabajando con el en misma faena, la cual se encontraba con la uñas en altura provocando que esto dañara 2 sacos del pallets"/>
    <x v="11"/>
    <d v="1899-12-30T11:30:00"/>
    <s v="Sector Norte"/>
    <s v="Exceso de  confianza"/>
    <x v="0"/>
    <s v="NO"/>
    <s v="No Aplica"/>
    <s v="Bajo"/>
    <s v="No Aplica"/>
    <s v="Sin Lesión"/>
  </r>
  <r>
    <n v="14"/>
    <s v="BUGUEÑO CEPEDA PEDRO ANTONIO"/>
    <n v="43"/>
    <s v="13.413.248-5"/>
    <s v="Movilizador"/>
    <m/>
    <m/>
    <s v="Colaborador se encontraba sobre camion estibando paquetes de neumaticos, cuando le quedaba el ultimo pallets al tomar un paquete sinte una molestia en su espalda y/o cintura lo cual fue llebado a IST Polipuerto y deribado a la clinica a espera de evasluacion"/>
    <x v="11"/>
    <d v="1899-12-30T12:10:00"/>
    <s v="Sector Norte"/>
    <s v="sobreesfuerzo"/>
    <x v="5"/>
    <s v="NO"/>
    <m/>
    <s v="Bajo"/>
    <s v="No Aplica"/>
    <m/>
  </r>
  <r>
    <n v="15"/>
    <s v="DIAZ ARDILES JOSE LUIS"/>
    <n v="42"/>
    <s v="13.638.956-4"/>
    <s v="Operador RS"/>
    <m/>
    <m/>
    <s v="Durante el  posicionamiento de un contenedor a piso,  este cae de unos 10 cm de altura es ahí que  el operador se da cuenta que se había quebrado el twislock                                                                        "/>
    <x v="12"/>
    <d v="1899-12-30T13:50:00"/>
    <s v="Sector 30"/>
    <s v="Fatiga de material"/>
    <x v="1"/>
    <s v="NO"/>
    <s v="No Aplica"/>
    <s v="Bajo"/>
    <s v="No Aplica"/>
    <s v="Sin Lesión"/>
  </r>
  <r>
    <n v="16"/>
    <s v="REBOLLEDO FLORES LUIS ARMANDO"/>
    <n v="55"/>
    <s v="10.107.872-8"/>
    <s v="Operador GH"/>
    <m/>
    <m/>
    <s v="Colaborador realizaba desconsolidado cajones de motos con equipo grúa horquilla (beretta),  en el momento de retirar el primero debido a su condición insegura de estiba cae a piso de una altura aproximada de 1,5 mts dañando 2 micas traseras de motos. "/>
    <x v="13"/>
    <d v="1899-12-30T08:45:00"/>
    <s v="Sector Norte"/>
    <s v="Condición insegura de estiba"/>
    <x v="0"/>
    <s v="NO"/>
    <s v="No Aplica"/>
    <s v="Bajo"/>
    <s v="No Aplica"/>
    <s v="Sin Lesión"/>
  </r>
  <r>
    <n v="17"/>
    <s v="JAIME MENDEZ ARMANDO EDUARDO"/>
    <n v="54"/>
    <s v="10.636.624-1"/>
    <s v="Movilizador"/>
    <s v="5 MESES"/>
    <m/>
    <s v=" Movilizadores se encontraban desantrincando bay 14 por banda de babor , al desantricar contenedores de 4 de alto con varilla larga de 3 metros esta se inclina hacia el agua siendo imposible sostenerla, por lo cual  suelta y deja caer al agua para no esponerse, movilizadores se encontraban  con sus EPP correspondiente utilizando sus arnes de seguridad.  "/>
    <x v="14"/>
    <d v="1899-12-30T17:00:00"/>
    <s v="MN CMS CGM ARICA Bay 14"/>
    <m/>
    <x v="0"/>
    <s v="NO"/>
    <s v="No Aplica"/>
    <s v="Bajo"/>
    <s v="No Aplica"/>
    <s v="Sin Lesión"/>
  </r>
  <r>
    <m/>
    <s v="HEYER FAUNDEZ CHRISTIAN ALEXANDER"/>
    <n v="42"/>
    <s v="13.638.963-7"/>
    <s v="Movilizador"/>
    <s v="5 MESES"/>
    <m/>
    <m/>
    <x v="15"/>
    <m/>
    <m/>
    <m/>
    <x v="6"/>
    <m/>
    <s v="No Aplica"/>
    <m/>
    <m/>
    <m/>
  </r>
  <r>
    <n v="18"/>
    <s v="ARISPE MADUEÑO ANDRES PATRICIO"/>
    <n v="35"/>
    <s v=" 16.467.194-1"/>
    <s v="Movilizador"/>
    <s v="9 AÑOS"/>
    <m/>
    <s v="Colaboradores Uport que fueron asignados para realizar carga de combustible ( gasolina 95 ) y baterías para vehículos en traslado, al momento que se encontraban trasladando el carro frente al taller de mantenimiento Uport, base de carro de arrastre se desprende ocasionando que uno de los bidones se volteara derramando unos dos litros aproximadamente de este elemento."/>
    <x v="16"/>
    <d v="1899-12-30T02:45:00"/>
    <s v="Sector 21 A"/>
    <s v="Desprendimiento de ruedas de carro transportador"/>
    <x v="3"/>
    <s v="NO"/>
    <s v="No Aplica"/>
    <s v="Bajo"/>
    <s v="No Aplica"/>
    <s v="Sin Lesión"/>
  </r>
  <r>
    <m/>
    <s v="ARAYA ROJAS GUSTAVO ADOLFO"/>
    <n v="32"/>
    <s v="17.367.992-0"/>
    <s v="Movilizador"/>
    <s v="9 AÑOS"/>
    <m/>
    <m/>
    <x v="15"/>
    <m/>
    <m/>
    <m/>
    <x v="6"/>
    <m/>
    <s v="No Aplica"/>
    <m/>
    <m/>
    <s v="Sin Lesión"/>
  </r>
  <r>
    <n v="19"/>
    <s v="HUENUHUEQUE BARRA DIEGO ALEXIS"/>
    <n v="31"/>
    <s v="17.520.437-7"/>
    <s v="Operador CF"/>
    <m/>
    <m/>
    <s v="Siendo las 10:45 hrs, El operador de payloader n 46 Sr.Diego Huenuhueque se percata que la maquina esta filtrando liquido,el operador  detiene el equipo informa a supervisor uport de turno y capataz de la faena. Se comunica oper. de terminal, pañol uport. Personal de pañol controla derrame de liquido hidraulico (aprox. Medio litro) y limpia el lugar."/>
    <x v="17"/>
    <d v="1899-12-30T10:45:00"/>
    <s v="Almacén 5"/>
    <s v="Fatiga de material"/>
    <x v="1"/>
    <s v="NO"/>
    <s v="No Aplica"/>
    <s v="Bajo"/>
    <s v="No Aplica"/>
    <s v="Sin Lesión"/>
  </r>
  <r>
    <n v="20"/>
    <s v="RIVERA PASTEN HERNAN DAVID"/>
    <n v="59"/>
    <s v="9.236.501-8"/>
    <s v="Operador CF"/>
    <m/>
    <m/>
    <s v="Operador de Cargador Frontal n° 41 durante descarga de soya en almacen 4  se percata de pequla filtracion desde un flexible."/>
    <x v="18"/>
    <d v="1899-12-30T17:58:00"/>
    <s v="Almacen 4"/>
    <s v="Fatiga de material"/>
    <x v="0"/>
    <s v="NO"/>
    <s v="No Aplica"/>
    <s v="Bajo"/>
    <s v="No Aplica"/>
    <s v="Sin Lesión"/>
  </r>
  <r>
    <n v="21"/>
    <s v="CALDERA ALVAREZ MARCELO ALEJANDRO"/>
    <n v="45"/>
    <s v="13.089.211-6"/>
    <s v="Operador RS"/>
    <m/>
    <m/>
    <s v="Operador Reachstacker durante faenas de carguío de contenedor en equipo RS 25 posiciona la unidad sobre rampla de camión placa XL-5290 provocando un daño en las porta piñas."/>
    <x v="18"/>
    <d v="1899-12-30T18:05:00"/>
    <s v="Sector 53"/>
    <m/>
    <x v="0"/>
    <s v="NO"/>
    <s v="No Aplica"/>
    <s v="Bajo"/>
    <s v="No Aplica"/>
    <s v="Sin Lesión"/>
  </r>
  <r>
    <n v="22"/>
    <s v="SALINAS GUERRA KATYNA ISABEL"/>
    <n v="43"/>
    <s v="11.259.528-7"/>
    <s v="Operador TC"/>
    <m/>
    <m/>
    <s v="Operador tracto al momento de cargar contendor mty, no calcula bien el giro y choca con la parte baja del contenedor, generando lo que se observa en la image"/>
    <x v="19"/>
    <d v="1899-12-30T21:45:00"/>
    <s v="Sector Norte"/>
    <m/>
    <x v="1"/>
    <s v="NO"/>
    <s v="No Aplica"/>
    <s v="Bajo"/>
    <s v="No Aplica"/>
    <s v="Sin Lesión"/>
  </r>
  <r>
    <n v="23"/>
    <s v="VASQUEZ VASQUEZ MAURICIO FABIAN"/>
    <n v="38"/>
    <s v="15.693.324-4"/>
    <s v="Operador MC"/>
    <m/>
    <m/>
    <s v="Operador de mini cargador se encontraba descargando camion patente 2330 TCC cuando pasa a llevar compuerta con las ruedas de la oruga dañandolas"/>
    <x v="20"/>
    <d v="1899-12-30T00:30:00"/>
    <s v="Almacen 4"/>
    <m/>
    <x v="0"/>
    <s v="NO"/>
    <s v="No Aplica"/>
    <s v="Bajo"/>
    <s v="No Aplica"/>
    <s v="Sin Lesión"/>
  </r>
  <r>
    <n v="24"/>
    <s v="CHOQUE FELIPEZ MAVERIK EDINSON"/>
    <n v="26"/>
    <s v="19.148.292-1"/>
    <s v="M2"/>
    <m/>
    <m/>
    <s v="Durante inflado de neumático de cargador frontal 47,este componente se revienta alcanzando con su  onda expansiva a M2 que trabajaba cerca del equipo"/>
    <x v="21"/>
    <d v="1899-12-30T17:10:00"/>
    <s v="Taller de mantenimiento"/>
    <m/>
    <x v="7"/>
    <s v="NO"/>
    <s v="Fatal"/>
    <s v="Alto"/>
    <s v="Contacto con energia"/>
    <s v="Cabeza"/>
  </r>
  <r>
    <n v="25"/>
    <s v="LEON TABALI CRISTIAN ORLANDO"/>
    <n v="40"/>
    <s v="14.103.098-1"/>
    <s v="Operador GH"/>
    <m/>
    <m/>
    <s v=" operador detecta una filtración en la manguera de gas en grúa horquilla, deteniendo el equipo ycerrando la llave de paso de gas ._x000a_"/>
    <x v="22"/>
    <d v="1899-12-30T11:15:00"/>
    <s v="Sector Norte"/>
    <s v="Roce con estructura"/>
    <x v="1"/>
    <s v="NO"/>
    <s v="No Aplica"/>
    <s v="Bajo"/>
    <s v="No Aplica"/>
    <s v="Sin Lesión"/>
  </r>
  <r>
    <n v="26"/>
    <s v="CAMPOS OLIVARES VICTOR DANIEL"/>
    <n v="44"/>
    <s v="13.212.651-8"/>
    <s v="Operador CF"/>
    <m/>
    <m/>
    <s v="Operador de payloader n.79 Vilas Motor,  quien se encontraba remontando carga al costado de nave Yangtze Classic (emb. Soya a granel) en un momento que se encontraba sin carga que remontar en MN se dirige al sector codo en donde se estaban descargando camiones con soya a granel, para cooperar en la faena, y al momento de descargar el camión placa 5312-LXD_x000a_con los neumáticos ejerce presión sobre las puertas laterales que colgaban  del camión produciendo daño menor a 4 puertas._x000a_"/>
    <x v="22"/>
    <s v="18.15"/>
    <s v="Almacen 4"/>
    <m/>
    <x v="0"/>
    <s v="NO"/>
    <s v="No Aplica"/>
    <s v="Bajo"/>
    <s v="No Aplica"/>
    <s v="Sin Lesión"/>
  </r>
  <r>
    <n v="27"/>
    <s v="CALDERA ALVAREZ MARCELO ALEJANDRO"/>
    <n v="45"/>
    <s v="13.089.211-6"/>
    <s v="Operador CF"/>
    <m/>
    <m/>
    <s v="Operador de payloader n.45 despùes de cargar la ultima tolva, se percata de que la maquina esta humeando en la parte trasera, al llegar al sitio 4 y al bajar del equipo nota la filtracion de agua y el vaciado de esta."/>
    <x v="23"/>
    <d v="1899-12-30T12:00:00"/>
    <s v="Almacen 4"/>
    <m/>
    <x v="1"/>
    <s v="NO"/>
    <s v="No Aplica"/>
    <s v="Bajo"/>
    <s v="No Aplica"/>
    <s v="Sin Lesión"/>
  </r>
  <r>
    <n v="28"/>
    <s v="ZEPEDA SANTIAGO JUAN RODRIGO"/>
    <n v="42"/>
    <s v="13.637.904-6"/>
    <s v="Operador RS"/>
    <m/>
    <m/>
    <s v="Operador de RS N° 54 Uport,  quien realizaba despejes de contenedores para carguío en el sector 27,encuentra que una unidad de 4 de alto TRHU 4264220-7 40`., estaba asegurado al  contenedor de 3 de alto por un twislock semiautomático y al intentar despejar el contenedor 4 de alto desplazo el de abajo también (aprox. 40 cm.) "/>
    <x v="24"/>
    <s v="22.10"/>
    <s v="Patio Contenedores"/>
    <s v="Conteendor contaba con 1 twislock"/>
    <x v="8"/>
    <s v="NO"/>
    <s v="No Aplica"/>
    <s v="Bajo"/>
    <s v="No Aplica"/>
    <s v="Sin Lesión"/>
  </r>
  <r>
    <n v="29"/>
    <s v="CASTILLO VEGA MANUEL EDMUNDO"/>
    <n v="54"/>
    <s v="10.481.215-5"/>
    <s v="Operador RS"/>
    <m/>
    <m/>
    <s v="Operador RS 52 al tomar contenedor (32-23-01-04) que se encuentra  en altura 4 de alto, levanta contenedor, gira , retrocede y se percata que arrastra contenedor que se encontraba debajo (3 alto),al visualizar esto operador arrea para evitar caida de este, ocasionando un daño.   "/>
    <x v="25"/>
    <d v="1899-12-30T21:10:00"/>
    <s v="Patio Contenedores"/>
    <s v="Exceso de  confianza"/>
    <x v="0"/>
    <s v="NO"/>
    <s v="No Aplica"/>
    <s v="Bajo"/>
    <s v="No Aplica"/>
    <s v="Sin Lesión"/>
  </r>
  <r>
    <n v="30"/>
    <s v="CHONG ALVAREZ HECTOR JUAN"/>
    <n v="43"/>
    <s v="15.000.057-2"/>
    <s v="Operador GH"/>
    <m/>
    <m/>
    <s v=" operador de grúa horquilla al  movilizar bulto que se encontraba 4 de alto apilado sobre plataforma de camión (altura a nivel de piso 3 mts) con peso aprox de 200 kg.,  bulto cae a piso, dañando la carga."/>
    <x v="26"/>
    <d v="1899-12-30T14:20:00"/>
    <s v="Sector Norte"/>
    <s v="Mala Estiba"/>
    <x v="0"/>
    <s v="NO"/>
    <s v="No Aplica"/>
    <s v="Bajo"/>
    <s v="No Aplica"/>
    <s v="Sin Lesión"/>
  </r>
  <r>
    <n v="31"/>
    <s v="REBOLLEDO FLORES LUIS ARMANDO"/>
    <n v="55"/>
    <s v="10.107.872-8"/>
    <s v="Operador CF"/>
    <m/>
    <m/>
    <s v="Caida de cuchilla del balde payloader numero 71 durante la descarga de soya y remonte de la misma."/>
    <x v="26"/>
    <d v="1899-12-30T22:00:00"/>
    <s v="Almacen 4"/>
    <s v="Vias ferreas"/>
    <x v="1"/>
    <s v="NO"/>
    <s v="No Aplica"/>
    <s v="Bajo"/>
    <s v="No Aplica"/>
    <s v="Sin Lesión"/>
  </r>
  <r>
    <n v="32"/>
    <s v="QUIÑONES FLORES RODRIGO EDUARDO"/>
    <n v="32"/>
    <s v="17.369.649-3"/>
    <s v="Operador GH"/>
    <m/>
    <m/>
    <s v="El operador de grúa horquilla n. 10 Bereta. Al momento de desconsolidar pallets con sacos se percata de un pallet viene en malas condiciones y al querer dejar en piso fuera del contenedor este pallets se voltea por la mala condición de su estructura.( Pallet quebrado) provocando daño a 7 sacos. El operador indica además que la grúa horquilla no respondió de manera inmediata al arreo del pallet, después del incidente operador procede a cambiar la grúa horquilla."/>
    <x v="27"/>
    <d v="1899-12-30T10:00:00"/>
    <s v="Sector Norte"/>
    <s v="Pallets en mal estado"/>
    <x v="0"/>
    <s v="NO"/>
    <s v="No Aplica"/>
    <s v="Bajo"/>
    <s v="No Aplica"/>
    <s v="Sin Lesión"/>
  </r>
  <r>
    <n v="33"/>
    <s v="MUÑOZ ORTEGA DIEGO ARMANDO"/>
    <n v="19"/>
    <s v="21.140.841-3"/>
    <s v="Movilizador"/>
    <m/>
    <m/>
    <s v="El movilizador al estibar cajas de licor sobre plataforma de camión  (Ron 1.75 litros)  una de estas cajas se desfonda cayendo 3 botellones sobre la cubierta, quebrándose ."/>
    <x v="27"/>
    <d v="1899-12-30T13:00:00"/>
    <s v="Sector Norte"/>
    <s v="Carga mal sellada"/>
    <x v="0"/>
    <s v="NO"/>
    <s v="No Aplica"/>
    <s v="Bajo"/>
    <s v="No Aplica"/>
    <s v="Sin Lesión"/>
  </r>
  <r>
    <n v="34"/>
    <s v="GUTIERREZ MAMANI MARCELO DURAN"/>
    <n v="22"/>
    <s v="20.215.197-3"/>
    <s v="Movilizador"/>
    <m/>
    <m/>
    <s v="Movilizador se encontraba desconsolidando un contenedor con cajas de licor (Ron 1.75 litros) y al momento de estibar una caja sobre el pallet está se golpea fuerte, produciendo quiebre de una botella en su interior."/>
    <x v="28"/>
    <d v="1899-12-30T10:45:00"/>
    <s v="Sector Norte"/>
    <s v="Falta de concentracion"/>
    <x v="0"/>
    <s v="NO"/>
    <s v="No Aplica"/>
    <s v="Bajo"/>
    <s v="No Aplica"/>
    <s v="Sin Lesión"/>
  </r>
  <r>
    <n v="35"/>
    <s v="HUENUHUEQUE BARRA DIEGO ALEXIS"/>
    <n v="31"/>
    <s v="17.520.437-7"/>
    <s v="Operador CF"/>
    <m/>
    <m/>
    <s v="Al realizar actividad de carguio de soya a camiones tolva dentro de almacen 6, operador de cargador frontal Nº71 luego de terminar de cargar, retrocede y no se percata que había ingresado un camión en el sector en el cual estaba trabajando, provocando choque, siendo las partes afectadas, parachoques de camión tolva LP y defensa trasera de cargador frontal Nº71."/>
    <x v="29"/>
    <d v="1899-12-30T16:35:00"/>
    <s v="Almacen 6"/>
    <s v="Falta de concentracion"/>
    <x v="1"/>
    <s v="NO"/>
    <s v="No Aplica"/>
    <s v="Bajo"/>
    <s v="No Aplica"/>
    <s v="Sin Lesión"/>
  </r>
  <r>
    <n v="36"/>
    <s v="PEREIRA GARCIA JUAN CARLOS"/>
    <n v="57"/>
    <s v="9.397.555-3"/>
    <s v="Operador RS"/>
    <m/>
    <m/>
    <s v="Colaborador  se encontraba realizando carguío de contenedor (40 pies)con RS 0046 sobre plataforma de camión  para posterior despacho, en ese instante no advierte la cercanía a cuadrante de parapeto delantero golpeándolo generando daño leve."/>
    <x v="29"/>
    <d v="1899-12-30T21:15:00"/>
    <s v="Sector 15"/>
    <s v="Falta de iluminación y comunicación radial"/>
    <x v="0"/>
    <s v="NO"/>
    <s v="No Aplica"/>
    <s v="Bajo"/>
    <s v="No Aplica"/>
    <s v="Sin Lesión"/>
  </r>
  <r>
    <n v="37"/>
    <s v="BOBADILLA MANSILLA EDUARDO ARTURO"/>
    <n v="49"/>
    <s v="12.210.987-9"/>
    <s v="Operador GH"/>
    <m/>
    <m/>
    <s v="Operador de Grúa horquilla  se encontraba en faena de desconsolidado de sacos en sector norte, al momento de ingresar al contenedor y dejar un pallet vacío y cuando retrocede al bajar la rampla se desprende armazón del porta uñas.   "/>
    <x v="30"/>
    <d v="1899-12-30T10:00:00"/>
    <s v="Sector Norte"/>
    <s v="Fatiga de material"/>
    <x v="0"/>
    <s v="NO"/>
    <s v="No Aplica"/>
    <s v="Bajo"/>
    <s v="No Aplica"/>
    <s v="Sin Lesión"/>
  </r>
  <r>
    <n v="38"/>
    <s v="Mauricio Velásquez"/>
    <m/>
    <s v="13.638.256-k"/>
    <s v="Chofer Camión REPORT"/>
    <m/>
    <m/>
    <s v="Durante la actividad de retiro de residuos domésticos por empresa REPORT en el taller de mantenimiento Uport, camioneta REPORT retrocediendo para salir del taller de mantenimiento, choca camioneta porter de Ultraport, que se encontraba estacionada al exterior del taller, provocando daño en capot y parachoques delantero de camioneta porter Uport."/>
    <x v="30"/>
    <d v="1899-12-30T17:00:00"/>
    <s v="Taller de mantenimiento"/>
    <s v="Falta de visibilidad"/>
    <x v="1"/>
    <s v="NO"/>
    <s v="No Aplica"/>
    <s v="Bajo"/>
    <s v="No Aplica"/>
    <s v="Sin Lesión"/>
  </r>
  <r>
    <n v="39"/>
    <s v="RAMOS LOYOLA RICARDO SEBASTIAN"/>
    <n v="34"/>
    <s v="16.771.118-9"/>
    <s v="Operador GH"/>
    <m/>
    <m/>
    <s v="Operador de la Grua Horquilla BERETTA 10 en fena de desconsolidado de tambores, el Operador al posicionar el tambor sobre camión, lo empuja para cuadrar, lo que provoca la caída de 2 tambores del lado contrario del camión."/>
    <x v="31"/>
    <d v="1899-12-30T12:00:00"/>
    <s v="Sector Norte"/>
    <s v="Exceso de  confianza"/>
    <x v="3"/>
    <s v="NO"/>
    <s v="No Aplica"/>
    <s v="Bajo"/>
    <s v="Suelo"/>
    <s v="Sin Lesión"/>
  </r>
  <r>
    <n v="40"/>
    <s v="AGUILAR BELTRAN NELSON PATRICIO"/>
    <n v="50"/>
    <s v="10.988.814-1"/>
    <s v="Operador GH"/>
    <m/>
    <m/>
    <s v="Operador al momento de estar bajando puertas de camiones con soya granel, siendo apoyada con una de las uñas de la grúa Horquilla (izquierda) al momento de ir bajando la puerta, movilizador le comenta que pare debido a que pasador queda pillado con Pilar el cual en su momento la carga provoca presión donde la uña al no tener goma en su punta ocasiona un corte de unos 20 centímetros aprox."/>
    <x v="32"/>
    <d v="1899-12-30T02:45:00"/>
    <s v="Sector codo"/>
    <s v="Uñas de horqilla sin protección"/>
    <x v="0"/>
    <s v="NO"/>
    <s v="No Aplica"/>
    <s v="Bajo"/>
    <s v="No Aplica"/>
    <s v="Sin Lesión"/>
  </r>
  <r>
    <n v="41"/>
    <s v="ZARATE CORNEJO JORGE ENRIQUE"/>
    <n v="30"/>
    <s v="17.831.199-9"/>
    <s v="Operador GH"/>
    <m/>
    <m/>
    <s v="Operador de grúa horquilla (bereta 10) estibando  un pallet sobre camión  (ptte. 3873-DHC) daña 4 sacos al posicionar uña."/>
    <x v="33"/>
    <d v="1899-12-30T11:50:00"/>
    <s v="Sector Norte"/>
    <s v="Falta de visibilidad"/>
    <x v="0"/>
    <s v="NO"/>
    <s v="No Aplica"/>
    <s v="Bajo"/>
    <s v="No Aplica"/>
    <s v="Sin Lesión"/>
  </r>
  <r>
    <n v="42"/>
    <s v="VASQUEZ VASQUEZ MAURICIO FABIAN"/>
    <n v="38"/>
    <s v="15.693.324-4"/>
    <s v="Operador MC"/>
    <m/>
    <m/>
    <s v="El operador al momento de llegar al sector de la romana movil para barrer, al posicionar el balde e iniciar la tarea asignada este pasa a llevar el riel, la cual se encuentra en sobre altura causándole daño  en el filo del balde. Notar que el riel no se encontraba a la vista ya que estaba cubierto con soya"/>
    <x v="34"/>
    <d v="1899-12-30T21:00:00"/>
    <s v="Romana movil"/>
    <s v="Condición sub estandar"/>
    <x v="1"/>
    <s v="NO"/>
    <s v="No Aplica"/>
    <s v="Bajo"/>
    <s v="No Aplica"/>
    <s v="Sin Lesión"/>
  </r>
  <r>
    <n v="43"/>
    <s v="LILLO ORTIZ JUAN VLADIMIR"/>
    <n v="39"/>
    <s v="15.008.871-2"/>
    <s v="Operador RS"/>
    <m/>
    <m/>
    <s v="Operador RS N°52, realizando  movimientos de contenedor entre sectores 21 y 22, equipo pasa sobre un evento (hoyo) en el piso, por lo que este se desestabiliza  y golpea levemente sin provocar daños a contenedor  que se encontraba a tres de alto. "/>
    <x v="35"/>
    <d v="1899-12-30T10:15:00"/>
    <s v="Patio Contenedores"/>
    <s v="Condición sub estandar"/>
    <x v="0"/>
    <s v="NO"/>
    <s v="No Aplica"/>
    <s v="Bajo"/>
    <s v="No Aplica"/>
    <s v="Sin Lesión"/>
  </r>
  <r>
    <n v="44"/>
    <s v="AGUILAR BELTRAN NELSON PATRICIO"/>
    <n v="50"/>
    <s v="10.988.814-1"/>
    <s v="Operador CF"/>
    <m/>
    <m/>
    <s v="Colaborador  que cargaba  buzón  con cargador frontal liebherr 0073 en conjunto con colaborador que operaba con máquina liebherr 0071 comienzan a sentir molestias en el ambiente. Al verificar posible causa, mecánicos UPORT logran evidenciar la emisión de gases vía de escape cargador frontal 0073, tiempo después Nelson manifiesta mareos, náuseas y molestia ocular, derivándolo polipuerto."/>
    <x v="36"/>
    <d v="1899-12-30T03:15:00"/>
    <s v="Almacen 10"/>
    <s v="Falla del equipo"/>
    <x v="4"/>
    <s v="NO"/>
    <s v="Leve"/>
    <s v="Bajo"/>
    <s v="No Aplica"/>
    <s v="Sin Lesión"/>
  </r>
  <r>
    <n v="45"/>
    <s v="PALMA OCHOA RAMON ALBERTO"/>
    <n v="37"/>
    <s v="15.947.773-8"/>
    <s v="Operador CF"/>
    <m/>
    <m/>
    <s v="Operador descargando camion placa patente 4052-KYB  al desplazarce hacia el otro lado del camión, con neumaticos del CF daña compuertas dispuestas frente a cami{on."/>
    <x v="37"/>
    <d v="1899-12-30T00:20:00"/>
    <s v="Sector codo"/>
    <s v="Falta de atención al entorno de trabajo"/>
    <x v="0"/>
    <s v="NO"/>
    <s v="No Aplica"/>
    <s v="Bajo"/>
    <s v="No Aplica"/>
    <s v="Sin Lesión"/>
  </r>
  <r>
    <n v="46"/>
    <s v="QUINTANA GUISA RUBENS JACOB"/>
    <n v="37"/>
    <s v="15.695.665-1"/>
    <s v="Operdor GH"/>
    <m/>
    <m/>
    <s v="Operador durante desconsolidado de contenedor con piezas metalicas, pasa a llevar compresor que se entontraba al interior de contenedor, el cual cae a piso generando derrame aceite hidráulico por falta de ajuste en su tapa."/>
    <x v="38"/>
    <s v="09.30"/>
    <s v="Sector Norte"/>
    <s v="Mala Estiba de origen"/>
    <x v="0"/>
    <s v="NO"/>
    <s v="No Aplica"/>
    <s v="Bajo"/>
    <s v="No Aplica"/>
    <s v="Sin Lesión"/>
  </r>
  <r>
    <n v="47"/>
    <s v="ECHALAR ROMERO FRANCO ANDRES"/>
    <n v="28"/>
    <s v="18.599.765-0"/>
    <s v="Operador GH"/>
    <m/>
    <m/>
    <s v="Operador se encontraba posicionando pallets (sacos) sobre plataforma de camión (2 de alto) con grúa horquilla beretta Nº 14, en ese momento por razones que se investigan se dañan 2 sacos de primer pallets. "/>
    <x v="38"/>
    <d v="1899-12-30T11:45:00"/>
    <s v="Sector Norte"/>
    <s v="Exceso de  confianza"/>
    <x v="0"/>
    <s v="NO"/>
    <s v="No Aplica"/>
    <s v="Bajo"/>
    <s v="No Aplica"/>
    <s v="Sin Lesión"/>
  </r>
  <r>
    <n v="48"/>
    <s v="MORETTI PADILLA ANGELO"/>
    <n v="45"/>
    <s v="13.006.050-1"/>
    <s v="Operador CF"/>
    <m/>
    <m/>
    <s v="Operador  de CF 0045 se encontraba internando carga en almacén 6, cuando se percata de leve filtración de líquido en el  equipo, deteniendo este inmediatamente."/>
    <x v="39"/>
    <d v="1899-12-30T13:45:00"/>
    <s v="Almacen 4"/>
    <s v="Fatiga de material"/>
    <x v="8"/>
    <s v="NO"/>
    <s v="No Aplica"/>
    <s v="Bajo"/>
    <s v="No Aplica"/>
    <s v="Sin Lesión"/>
  </r>
  <r>
    <n v="49"/>
    <s v="PEREIRA GARCIA JUAN CARLOS"/>
    <n v="57"/>
    <s v="9.397.555-3"/>
    <s v="Operador GH"/>
    <m/>
    <m/>
    <s v="Operador de la Grúa Horquilla Bereta 04, Al momento de desplazarse para apoyar en la apertura de puertas, este  pasa sobre la línea férrea y con la vibración se sale la uña de su posición cayendo al piso."/>
    <x v="39"/>
    <d v="1899-12-30T19:15:00"/>
    <s v="Sector codo"/>
    <s v="Inexistencia de topes en GH y considición sub estandar de superficie de trabajo."/>
    <x v="8"/>
    <s v="NO"/>
    <s v="No Aplica"/>
    <s v="Bajo"/>
    <s v="No Aplica"/>
    <s v="Sin Lesión"/>
  </r>
  <r>
    <n v="50"/>
    <s v="BOBADILLA MONTOYA PABLO CESAR"/>
    <n v="38"/>
    <s v="15.562.033-1"/>
    <s v="Operador RS"/>
    <m/>
    <m/>
    <s v="El operador al momento de tomar un contenedor para ser  posicionado sobre tracto camión, este se bloquea. Mecánicos se percatan que el regulador del twisloock  estaba cortado de raíz, quedando el equipo fuera de servicio."/>
    <x v="40"/>
    <d v="1899-12-30T01:15:00"/>
    <s v="Terminal"/>
    <s v="Falla del componente"/>
    <x v="8"/>
    <s v="NO"/>
    <s v="No Aplica"/>
    <s v="Bajo"/>
    <s v="No Aplica"/>
    <s v="Sin Lesión"/>
  </r>
  <r>
    <n v="51"/>
    <s v="LUQUE MORALES JUAN CARLOS"/>
    <n v="61"/>
    <s v="8.659.584-2"/>
    <s v="Movilizador"/>
    <m/>
    <m/>
    <s v="Movilizador se encontraba realizando la tarea de embalador en almacén 4,  al retirar escalera retrocediendo golpea espejo lateral de copiloto de camión boliviano placa 4453BZH, cayendo a piso y rompiendo espejo."/>
    <x v="40"/>
    <d v="1899-12-30T02:00:00"/>
    <s v="Almacen 4"/>
    <s v="No dimensiona cercania con camión, al trasladar escalera en retroceso."/>
    <x v="8"/>
    <s v="NO"/>
    <s v="No Aplica"/>
    <s v="Bajo"/>
    <s v="No Aplica"/>
    <s v="Sin Lesión"/>
  </r>
  <r>
    <n v="52"/>
    <s v="ASTORGA BARRAZA RODRIGO ALEJANDRO"/>
    <n v="30"/>
    <s v="17.555.525-0"/>
    <s v="Movilizador"/>
    <m/>
    <m/>
    <s v="Colaborador  se encontraba realizando bajada  compuerta lateral  de camión en conjunto con su compañero, con apoyo de grúa horquilla, en ese momento compuerta siguiente se abre de manera inesperada golpeandolo."/>
    <x v="41"/>
    <s v="01.50"/>
    <s v="Sector codo"/>
    <s v="Compuerta en mal estado"/>
    <x v="4"/>
    <s v="NO"/>
    <s v="No Aplica"/>
    <s v="Bajo"/>
    <s v="No Aplica"/>
    <s v="Sin Lesión"/>
  </r>
  <r>
    <n v="53"/>
    <s v="HERRERA CONTRERAS MANUEL ALEJANDRO"/>
    <n v="38"/>
    <s v="15.693.318-K"/>
    <s v="Movilizador"/>
    <m/>
    <m/>
    <s v="Movilizadores  asignados al carguío de cajas de diferentes dimensiones y sillas, al momento de estar realizando su tarea sobre rampla, chofer solicita que sillas las cuales ya estaban estibadas se cambien de posición, el cual colaboradores acceden y ante el movimiento cuatro cajas que se encontraban en el costado se caen al suelo donde se produce un daño material en parte de su carga interior que contenia espejos para baño de unos 50x40 (siete espejos)."/>
    <x v="41"/>
    <d v="1899-12-30T11:30:00"/>
    <s v="Sector Norte"/>
    <m/>
    <x v="8"/>
    <s v="NO"/>
    <s v="No Aplica"/>
    <s v="Bajo"/>
    <s v="No Aplica"/>
    <s v="Sin Lesión"/>
  </r>
  <r>
    <n v="54"/>
    <s v="RIVERA PASTEN HERNAN DAVID"/>
    <n v="59"/>
    <s v="9.236.501-8"/>
    <s v="Operador TC"/>
    <m/>
    <m/>
    <s v="Colaborador que realizaba porteo de contendor (tracto camión  N 13, R 21 TPA) para posterior embarque en MN / DAIAMOND II. Siente un desnivel en rampla, se procede a  verificar condición evidenciando  rajado de neumático, generando cambio de equipo.  "/>
    <x v="42"/>
    <s v="01.50"/>
    <s v="Sitio 4"/>
    <s v="Desgaste de neumatico"/>
    <x v="8"/>
    <s v="NO"/>
    <s v="No Aplica"/>
    <s v="Bajo"/>
    <s v="No Aplica"/>
    <s v="Sin Lesión"/>
  </r>
  <r>
    <n v="55"/>
    <s v="LILLO ORTIZ JUAN VLADIMIR"/>
    <n v="39"/>
    <s v="15.008.871-2"/>
    <s v="Operador RS"/>
    <s v="15 AÑOS"/>
    <m/>
    <s v="Durante recepción de contenedores en sectores 33 y 34, operador de tracto camion al ingresar para ser descargado, golpea spreader con el corner del contenedor, ocasionando daño a cilindro de equipo RS 0053."/>
    <x v="43"/>
    <s v="17.30"/>
    <s v="Patio Contenedores"/>
    <s v="Falta dimensión de giro del equipo"/>
    <x v="0"/>
    <s v="NO"/>
    <s v="No Aplica"/>
    <s v="Bajo"/>
    <s v="No Aplica"/>
    <s v="Sin Lesión"/>
  </r>
  <r>
    <m/>
    <s v="PEREIRA GARCIA JUAN CARLOS"/>
    <n v="57"/>
    <s v="9.397.555-3"/>
    <s v="Operador TC"/>
    <s v="10 años "/>
    <m/>
    <m/>
    <x v="15"/>
    <m/>
    <m/>
    <m/>
    <x v="6"/>
    <m/>
    <m/>
    <m/>
    <m/>
    <s v="Sin Lesión"/>
  </r>
  <r>
    <n v="56"/>
    <s v="DIAZ GORDON ALEJANDRO PATRICIO"/>
    <n v="44"/>
    <s v="13.412.590-K"/>
    <s v="Operador GH"/>
    <s v="5 AÑOS"/>
    <m/>
    <s v="Durante rececpión de sacas con soya, al momento del traslado de esta con grua horquilla, saca se rompe por fatiga de material."/>
    <x v="43"/>
    <d v="1899-12-30T21:15:00"/>
    <s v="Sector codo"/>
    <s v="Desgaste de material"/>
    <x v="8"/>
    <s v="NO"/>
    <s v="No Aplica"/>
    <s v="Bajo"/>
    <s v="No Aplica"/>
    <s v="Sin Lesión"/>
  </r>
  <r>
    <n v="57"/>
    <s v="RAMOS LOYOLA RICARDO SEBASTIAN"/>
    <n v="34"/>
    <s v="16.771.118-9"/>
    <s v="Operador MC"/>
    <s v="2 AÑOS"/>
    <m/>
    <s v="Operador descargando camines con soya, presiona puerta laterial de caminón patente 1182SXD que se encontraba abierta, dañandola."/>
    <x v="44"/>
    <s v="19.00"/>
    <s v="Almacen 4"/>
    <m/>
    <x v="8"/>
    <s v="NO"/>
    <s v="No Aplica"/>
    <s v="Bajo"/>
    <s v="No Aplica"/>
    <s v="Sin Lesión"/>
  </r>
  <r>
    <n v="58"/>
    <s v="LEON TABALI CRISTIAN ORLANDO"/>
    <n v="41"/>
    <s v="14.103.098-1"/>
    <s v="Operador GH"/>
    <s v="4 AÑOS"/>
    <m/>
    <s v="Operador descargando camiones con soya, presiona puerta laterial de caminón patente 1182SXD que se encontraba abierta, dañandola."/>
    <x v="44"/>
    <d v="1899-12-30T19:00:00"/>
    <s v="Graneles"/>
    <s v="exceso de confianza"/>
    <x v="8"/>
    <s v="NO"/>
    <s v="No Aplica"/>
    <s v="Bajo"/>
    <s v="No Aplica"/>
    <s v="Sin Lesión"/>
  </r>
  <r>
    <n v="59"/>
    <s v="LOBOS MAITA CARLOS"/>
    <n v="63"/>
    <s v="8.442.906-6"/>
    <s v="Operador CF"/>
    <s v="4 AÑOS"/>
    <m/>
    <s v="Operador realizaba descarga de soya sobre camión  con cargador frontal liebherr Nº 73, finalizando actividad pasa a llevar con balde de máquina puerta trasera generando daño."/>
    <x v="45"/>
    <d v="1899-12-30T14:00:00"/>
    <s v="Sector codo"/>
    <s v="Falta de visión"/>
    <x v="8"/>
    <s v="SI"/>
    <s v="No Aplica"/>
    <s v="Bajo"/>
    <s v="No Aplica"/>
    <s v="Sin Lesión"/>
  </r>
  <r>
    <n v="60"/>
    <s v="ZARATE CORNEJO JORGE ENRIQUE"/>
    <n v="30"/>
    <s v="17.831.199-9"/>
    <s v="Operador CF"/>
    <s v="4 AÑOS"/>
    <m/>
    <s v="Colaborador que operaba cargador frontal liebherr 073 al momento de remontar soya por los costados pasa a llevar compuerta lateral (fibra de vidrio) generando daño. "/>
    <x v="46"/>
    <d v="1899-12-30T17:30:00"/>
    <s v="Sector codo"/>
    <s v="exceso de confianza"/>
    <x v="8"/>
    <s v="SI"/>
    <s v="No Aplica"/>
    <s v="Bajo"/>
    <s v="No Aplica"/>
    <s v="Sin Lesión"/>
  </r>
  <r>
    <n v="61"/>
    <s v="UBILLA MUÑOZ CRISTIAN GUILLERMO"/>
    <n v="42"/>
    <s v="13.862.942-2"/>
    <s v="Operador GH"/>
    <s v="4 AÑOS"/>
    <m/>
    <s v="El Operador al momento de desplazarse entre los camiones para subir puertas se percata que la base de las uñas se había desprendido de la máquina. "/>
    <x v="47"/>
    <d v="1899-12-30T13:30:00"/>
    <s v="Almacen 4"/>
    <s v="Fatiga de material"/>
    <x v="8"/>
    <s v="SI"/>
    <s v="No Aplica"/>
    <s v="Bajo"/>
    <s v="No Aplica"/>
    <s v="Sin Lesión"/>
  </r>
  <r>
    <n v="62"/>
    <s v="ASTORGA BARRAZA RODRIGO ALEJANDRO"/>
    <n v="30"/>
    <s v="17.555.525-0"/>
    <s v="Operador Dulevo"/>
    <s v="2 AÑOS"/>
    <m/>
    <s v="Operador al estar realizando la faena de barrido, afuera del Almacén TAGM se percata de una fuga de aceite, automáticamente detiene equipo."/>
    <x v="48"/>
    <d v="1899-12-30T03:00:00"/>
    <s v="Almacen"/>
    <s v="Fatiga de material"/>
    <x v="4"/>
    <s v="NO"/>
    <s v="No Aplica"/>
    <s v="Bajo"/>
    <s v="No Aplica"/>
    <s v="Ojo izquierdo"/>
  </r>
  <r>
    <n v="63"/>
    <s v="DIAZ GORDON ALEJANDRO PATRICIO"/>
    <n v="44"/>
    <s v="13.412.590-K"/>
    <s v="OPERADOR EN PRÁCTICA CARGADOR FRONTAL "/>
    <s v="8 MESES"/>
    <m/>
    <s v="Operador en práctica de cargador frontal, se encontraba realizando la tarea de remonte carga, en donde golpea con una línea férrea provocando daño a las cuchilla del equipo, a cargo de instructor Marcelo Caldera cod:688"/>
    <x v="49"/>
    <s v="19.15"/>
    <s v="Almacen 4, sector codo"/>
    <s v="Condición insegura, línea férrea cubierta por soya"/>
    <x v="0"/>
    <s v="SI"/>
    <s v="Leve"/>
    <s v="Bajo"/>
    <s v="No Aplica"/>
    <s v="Sin Lesión"/>
  </r>
  <r>
    <n v="64"/>
    <s v="LEIVA FREDES ENRIQUE ALEXANDER"/>
    <n v="36"/>
    <s v="16.523.009-4"/>
    <s v="OPERADOR EN PRÁCTICA CARGADOR FRONTAL N° 0071"/>
    <s v="8 MESES"/>
    <m/>
    <s v="Operador se encontraba realizando la tarea de orillado de carga a costado de camión, donde golpea puerta lateral del camión ubicada de forma diagonal, provocando daño con cargador frontal  "/>
    <x v="49"/>
    <s v="01.00 "/>
    <s v="Almacen 4"/>
    <m/>
    <x v="0"/>
    <s v="SI"/>
    <s v="No Aplica"/>
    <s v="Bajo"/>
    <s v="No Aplica"/>
    <s v="Sin Lesión"/>
  </r>
  <r>
    <n v="65"/>
    <s v="DIAZ ARDILES JOSE LUIS"/>
    <n v="43"/>
    <s v="13.638.956-4"/>
    <s v="OPERADOR R/S N° 38"/>
    <s v="8 MESES"/>
    <m/>
    <s v="Operador de equipo R/S se encontraba movilizando contenedores en el sector 32 cuando se le indica que debe dirigirse a los sectores 50, llegando a la calle principal, se escucha un estruendo, momento en el cual operador detiene el equipo y se percata del reventón del neumático."/>
    <x v="50"/>
    <d v="1899-12-30T10:45:00"/>
    <s v="Sector 32"/>
    <m/>
    <x v="4"/>
    <s v="SI"/>
    <s v="Grave"/>
    <s v="Alto"/>
    <s v="Contacto con energia"/>
    <s v="Sin Lesión"/>
  </r>
  <r>
    <n v="66"/>
    <s v="MOYA CAQUEO ERNESTO GERALDO"/>
    <n v="56"/>
    <s v="10.410.579-3"/>
    <s v="CAPATAZ"/>
    <d v="1900-01-08T00:00:00"/>
    <m/>
    <s v="El colaborador en función de capataz asignado al sector norte se encontraba supervisando el desconsolidado de bobinas, por la condición del entorno le ingresa una partícula en el ojo izquierdo.        El colaborador es llevado a poli puerto por el capataz líder de la faena para evaluación"/>
    <x v="50"/>
    <d v="1899-12-30T13:00:00"/>
    <s v="Almacen 11, sector norte"/>
    <m/>
    <x v="4"/>
    <s v="NO"/>
    <s v="Leve"/>
    <s v="Bajo"/>
    <s v="No Aplica"/>
    <s v="Ojo izquierdo"/>
  </r>
  <r>
    <n v="67"/>
    <s v="QUINTANA GUISA RUBENS JACOB"/>
    <n v="37"/>
    <s v="15.695.665-1"/>
    <s v="OPERADOR R/S N° 0054"/>
    <s v="3 años"/>
    <m/>
    <s v="Operador se encontraba operando R/S 0054 y al momento de retirar contenedores del sector aforo, por la condición estrecha de la entrada y salida del sector al salir con un contenedor de 40' y al esquivar la estructura de aduana golpea contenedor que se encontraba sobre camión en la salida del sector para ser descargado, el operador al momento de levantar el contenedor que se encontraba sobre el camión, el twislock se encontraba cerrado en la parte posterior a la visión del operador, provocándole daño a la rampla del camión"/>
    <x v="51"/>
    <d v="1899-12-30T18:10:00"/>
    <s v="Almacen 11 / sector aforo"/>
    <s v="twislock se encontraba cerrado"/>
    <x v="8"/>
    <s v="SI"/>
    <s v="Leve"/>
    <s v="Bajo"/>
    <s v="No Aplica"/>
    <s v="Sin Lesión"/>
  </r>
  <r>
    <n v="68"/>
    <s v="CUSTODIO ESCALANTE POOL PAUL"/>
    <n v="45"/>
    <s v="21.647.054-0"/>
    <s v="Movilizador"/>
    <s v="15 AÑOS"/>
    <m/>
    <s v="Trabajador se encontraba trabajando en recepción de sacos de 46kg en conjunto con su collera, cuando a la espera de que se retire horquilla para retirar eslingas de sus compañeros, se da cuenta que horquilla se retira de lugar sin poder retirar eslingas, por lo que trabajador avanza en dirección a armar siguiente eslingas y tropieza con la oreja de esta, cayendo al suelo y golpeándose la parte izquierda del pecho. Trabajador informa después de 30 minutos aproximadamente sobre incidente ocurrido a capataz de almacén y a asesora de HSE ultraport la cual se encontraba presente en faena realizando un STOP WORK por desviación en misma faena."/>
    <x v="52"/>
    <d v="1899-12-30T10:30:00"/>
    <s v="Almacen 2"/>
    <s v="No estar atento a las condiciones del entorno"/>
    <x v="4"/>
    <s v="SI"/>
    <s v="No Aplica"/>
    <s v="Bajo"/>
    <s v="No Aplica"/>
    <s v="Sin Lesión"/>
  </r>
  <r>
    <n v="69"/>
    <s v="SEGOVIA SEGOVIA VICTOR RODRIGO"/>
    <n v="39"/>
    <s v="15.008.980-8"/>
    <s v="Movilizador"/>
    <s v="9 MESES"/>
    <m/>
    <s v="Trabajador se encontraba en la descarga de sacos de azúcar realizando eslingas, mientras manipulaba los sacos se apretó el dedo meñique de la mano derecha, se procede a llevar al trabador a polipuerto lo cual se descartan lesiones, finalmente trabajador se reintegra a la faena."/>
    <x v="53"/>
    <d v="1899-12-30T11:00:00"/>
    <s v="Almacen 2"/>
    <m/>
    <x v="8"/>
    <s v="NO"/>
    <s v="No Aplica"/>
    <s v="Bajo"/>
    <s v="No Aplica"/>
    <s v="Sin Lesión"/>
  </r>
  <r>
    <n v="70"/>
    <s v="SALINAS VELIZ FABIAN ESTEBAN"/>
    <n v="35"/>
    <s v="16.467.187-9"/>
    <s v="Operador GH"/>
    <s v="6 AÑOS"/>
    <m/>
    <s v="Operador al desconsolidar contenedor con pallets de cerámica 3 de alto, al intentar sacarlos golpea viga delantera superior de contenedor, produciendo daño a polea guía de flexible hidráulico.  "/>
    <x v="54"/>
    <d v="1899-12-30T17:10:00"/>
    <s v="Sector Norte 10"/>
    <s v="Mala maniobra de operador"/>
    <x v="9"/>
    <s v="NO"/>
    <s v="No Aplica"/>
    <s v="Bajo"/>
    <s v="No Aplica"/>
    <s v="Sin Lesión"/>
  </r>
  <r>
    <n v="71"/>
    <s v="ARAYA CORTES LUIS ALBERTO "/>
    <n v="36"/>
    <s v="16.226.469-9"/>
    <s v="YARD CARGO"/>
    <s v="4 AÑOS"/>
    <m/>
    <s v="Operador al estar realizando actividad de traslado de contenedores por sector 16 solicita a yard cargo Luis araya que le mueva un poco el espejo lateral derecho ya que no tenía buena visibilidad para retroceder a lo que yard cargo mueve espejo y este se quiebra, no hay daño a personas solo material (espejo)."/>
    <x v="55"/>
    <d v="1899-12-30T16:45:00"/>
    <s v="Sector 16"/>
    <s v="Por acomodar espejo"/>
    <x v="0"/>
    <s v="NO"/>
    <s v="No Aplica"/>
    <s v="Bajo"/>
    <s v="No Aplica"/>
    <s v="Sin Lesión"/>
  </r>
  <r>
    <m/>
    <s v="RAMOS LOYOLA RICARDO SEBASTIAN"/>
    <n v="34"/>
    <s v="16.771.118-9"/>
    <s v="Operador TC"/>
    <s v="6 AÑOS"/>
    <m/>
    <m/>
    <x v="15"/>
    <m/>
    <m/>
    <m/>
    <x v="6"/>
    <m/>
    <m/>
    <m/>
    <m/>
    <s v="Sin Lesión"/>
  </r>
  <r>
    <n v="72"/>
    <s v="CORTES ROJAS REGINALDO ANTONIO"/>
    <n v="34"/>
    <s v="16.769.840-9"/>
    <s v="OPERADOR"/>
    <s v="6 AÑOS"/>
    <m/>
    <s v="Colaborador al operar equipo CF0072, durante la ejecución de la tarea de carga de soya para embarque, se percata de goteo de aceite hidraúlico, deteniendo inmediatamente el equipo."/>
    <x v="55"/>
    <d v="1899-12-30T04:15:00"/>
    <s v="Almacén 4"/>
    <s v="Falla de flexible"/>
    <x v="8"/>
    <s v="NO"/>
    <s v="No Aplica"/>
    <s v="Bajo"/>
    <s v="No Aplica"/>
    <s v="Sin Lesión"/>
  </r>
  <r>
    <n v="73"/>
    <s v="BURGOS GARCIA PETER FRANCIS"/>
    <n v="42"/>
    <s v="13.717.086-8"/>
    <s v="Operador CF"/>
    <s v="10 años "/>
    <m/>
    <s v="Colaborador se encontraba operando equipo CF 0073 y al momento de cargar balde con carga mineral, operador se percata de goteo de aceite hidráulico deteniendo inmediatamente el equipo."/>
    <x v="56"/>
    <d v="1899-12-30T20:58:00"/>
    <s v="Sitio 5"/>
    <s v="En investigación"/>
    <x v="8"/>
    <s v="SI"/>
    <s v="No Aplica"/>
    <s v="Bajo"/>
    <s v="No Aplica"/>
    <s v="Sin Lesión"/>
  </r>
  <r>
    <n v="74"/>
    <s v="CRIALES ROJAS CHRISTIAN FRED"/>
    <n v="41"/>
    <s v="13.864.078-7"/>
    <s v="Movilizador"/>
    <s v="8 AÑOS"/>
    <m/>
    <s v="Movilizador realizando estiba sobre pallets de paquetes de neumáticos, cae un paquete desde altura golpeando al trabajador en el costado derecho de la espalda. Se detiene la faena."/>
    <x v="57"/>
    <d v="1899-12-30T21:10:00"/>
    <s v="Sector norte desconsolidado"/>
    <s v="En investigación"/>
    <x v="4"/>
    <s v="SI"/>
    <s v="Leve"/>
    <s v="Bajo"/>
    <s v="No Aplica"/>
    <s v="Sin Lesión"/>
  </r>
  <r>
    <n v="75"/>
    <s v="FIGUEROA MAIPIL LUIS NICOLAS"/>
    <n v="36"/>
    <s v="16.227.007-9"/>
    <s v="Operador CF"/>
    <s v="10 años "/>
    <m/>
    <s v="Operador se encontraba  remontando soya, cuando se percata que equipo emite un sonido fuera de lo común, por lo que procede a llevar equipo a mantención Uport y en el camino siente que se cae algo desde equipo, por lo que para y procede a recogerlo llegando a Mantención Uport para su revisión. "/>
    <x v="57"/>
    <d v="1899-12-30T02:20:00"/>
    <s v="Almacen 4  Sector Codo"/>
    <s v="En investigación"/>
    <x v="8"/>
    <s v="NO"/>
    <s v="No Aplica"/>
    <s v="Bajo"/>
    <s v="No Aplica"/>
    <s v="Sin Lesión"/>
  </r>
  <r>
    <n v="76"/>
    <s v="SALGADO AYALA JOHN EDUARDO "/>
    <n v="57"/>
    <s v="9.331.013-6 "/>
    <s v="Movilizador"/>
    <s v="18 AÑOS"/>
    <m/>
    <s v="Colaboradores se encontraban trasladando la estructura de anclaje para la descarga de BIG BAG de azúcar cuando se traba la rueda, esta se devuelve pegándole al espejo y rompe el borde del marco.  "/>
    <x v="58"/>
    <d v="1899-12-30T17:45:00"/>
    <s v="Almacen 2"/>
    <s v="En investigación"/>
    <x v="0"/>
    <s v="SI"/>
    <s v="No Aplica"/>
    <s v="Bajo"/>
    <s v="No Aplica"/>
    <s v="Sin Lesión"/>
  </r>
  <r>
    <m/>
    <s v="MAMANI CONTRERAS ANTONIO JAVIER"/>
    <n v="33"/>
    <s v="17.367.762-6"/>
    <s v="Movilizador"/>
    <s v="10 MESES"/>
    <m/>
    <m/>
    <x v="15"/>
    <m/>
    <m/>
    <m/>
    <x v="6"/>
    <m/>
    <m/>
    <m/>
    <m/>
    <s v="Sin Lesión"/>
  </r>
  <r>
    <n v="77"/>
    <s v="ARAYA ROJAS GUSTAVO ADOLFO"/>
    <n v="32"/>
    <s v="17.367.992-0"/>
    <s v="Movilizador"/>
    <s v="12 años"/>
    <m/>
    <s v="Colaborador, se encontraba retirando un pilar lateral  de camión, con su collera, y siente un dolor lumbar, que le provoca molestia y le impide moverse."/>
    <x v="58"/>
    <d v="1899-12-30T01:50:00"/>
    <s v="Almacen 4  "/>
    <s v="En investigación"/>
    <x v="4"/>
    <s v="SI"/>
    <s v="Leve"/>
    <s v="Bajo"/>
    <s v="No Aplica"/>
    <s v="Cadera/Cintura"/>
  </r>
  <r>
    <n v="78"/>
    <s v="VALDERRAMA ALIAGA WENCELS EMILIO"/>
    <n v="52"/>
    <s v="11.615.282-7"/>
    <s v="Operador CF"/>
    <s v="4 AÑOS"/>
    <m/>
    <s v="Colaborador se encontraba operando Cargador Frontal 0073 en tarea de limpieza de bodega N3, orillando carga pasa a llevar escala de bodega con cargador frontal provocando daño leve en estructura de  escalera de Cargador Frontal, detiene inmediatamente el Equipo y da aviso a Jefe de Nave."/>
    <x v="59"/>
    <d v="1899-12-30T12:40:00"/>
    <s v="2B"/>
    <s v="No estar atento a las condiciones del entorno"/>
    <x v="1"/>
    <s v="SI"/>
    <s v="Leve"/>
    <s v="Bajo"/>
    <s v="No Aplica"/>
    <s v="Sin Lesión"/>
  </r>
  <r>
    <n v="79"/>
    <s v="LEIVA FREDES ENRIQUE ALEXANDER"/>
    <n v="35"/>
    <s v="16.523.009-4"/>
    <s v="Operador CF"/>
    <s v="3 días"/>
    <m/>
    <s v="Colaborador se encontraba operando CF 0073, en tarea de remonte de soya en sector codo, cuando al remontar carga pasa a llevar balde de equipo con rieles de tren que se encontraban tapados con soya, desprendiendo cuchillo de lado derecho de balde."/>
    <x v="59"/>
    <d v="1899-12-30T17:15:00"/>
    <s v="Almacén 4"/>
    <s v="En investigación"/>
    <x v="1"/>
    <s v="SI"/>
    <s v="Leve"/>
    <s v="Bajo"/>
    <s v="No Aplica"/>
    <m/>
  </r>
  <r>
    <n v="80"/>
    <s v="BOBADILLA MANSILLA EDUARDO ARTURO"/>
    <n v="49"/>
    <s v="12.210.987-9"/>
    <s v="Operador GH"/>
    <s v="10 años "/>
    <m/>
    <s v="Colaborador quien se encontraba de control material en MN Cma Arica (G H n. 140 Uport) al posicionar los elemento  en las estaciones de piñas, la  tower light que trasladaba se voltea y cae al piso."/>
    <x v="59"/>
    <d v="1899-12-30T17:20:00"/>
    <s v="Sitio 4"/>
    <s v="En investigación "/>
    <x v="1"/>
    <s v="SI"/>
    <s v="Leve"/>
    <s v="Bajo"/>
    <s v="No Aplica"/>
    <m/>
  </r>
  <r>
    <n v="81"/>
    <s v="CORTES DIAZ LEONARDO ENRIQUE EXEQUIEL"/>
    <n v="21"/>
    <s v="20.725.603-K"/>
    <s v="Movilizador"/>
    <s v="9 MESES"/>
    <m/>
    <s v="Movilizador se encontraba estibando cajas de licor desde contenedor a pallet, cuando al tomar caja de licor está se le resbala de las manos, cayendo por lo que provoca que 3 botellas se quiebren, por lo que avisa  inmediatamente a supervisor TPA."/>
    <x v="60"/>
    <d v="1899-12-30T10:25:00"/>
    <s v="Sector norte / norte 3"/>
    <s v="Mala manipulación de carga"/>
    <x v="0"/>
    <s v="SI"/>
    <s v="Leve"/>
    <s v="Bajo"/>
    <s v="No Aplica"/>
    <m/>
  </r>
  <r>
    <n v="82"/>
    <s v="DELGADO CUTIPA JESUS JORGE"/>
    <n v="59"/>
    <s v="7.283.202-7"/>
    <s v="Operador CF"/>
    <s v="5 AÑOS"/>
    <m/>
    <s v="Colaborador se encontraba operando CF 0073, en tarea de remonte de soya en sector codo, cuando al remontar carga pasa a llevar balde de equipo con rieles de tren que se encontraban tapados con soya, desprendiendo cuchillo de lado derecho de balde."/>
    <x v="61"/>
    <d v="1899-12-30T09:50:00"/>
    <s v="Almacén 4"/>
    <s v="En investigación "/>
    <x v="0"/>
    <s v="NO"/>
    <s v="Leve"/>
    <s v="Bajo"/>
    <s v="No Aplica"/>
    <m/>
  </r>
  <r>
    <n v="83"/>
    <s v="CORTES ROJAS REGINALDO ANTONIO"/>
    <n v="34"/>
    <s v="16.769.840-9"/>
    <s v="Operador CF"/>
    <s v="5 AÑOS"/>
    <m/>
    <s v="Colaborador quien operaba payloader 0048 Uport, al momento de remontar soya en ruma, el balde del equipo baja abruptamente a piso, operador detiene el equipo y se percata que se quebró el soporte del pasador de la biela."/>
    <x v="62"/>
    <d v="1899-12-30T10:55:00"/>
    <s v="Almacén 4"/>
    <s v="En investigación "/>
    <x v="1"/>
    <s v="NO"/>
    <s v="Leve"/>
    <s v="Bajo"/>
    <s v="No Aplica"/>
    <m/>
  </r>
  <r>
    <n v="84"/>
    <s v="FIGUEROA MAIPIL LUIS NICOLAS"/>
    <n v="36"/>
    <s v="16.227.007-9"/>
    <s v="Operador CF"/>
    <m/>
    <m/>
    <s v="Operador de equipo cargador frontal N°73 al realizar actividad de transferencia de Gráneles Limpios, no se percata que balde se desmonta de los acoples lo que al retroceder provoca corte de flexible hidráulico derramando 30 cc según nos informa personal  mantención."/>
    <x v="63"/>
    <d v="1899-12-30T12:00:00"/>
    <m/>
    <s v="En investigación "/>
    <x v="1"/>
    <s v="NO"/>
    <s v="Leve"/>
    <s v="Bajo"/>
    <s v="No Aplica"/>
    <m/>
  </r>
  <r>
    <n v="85"/>
    <s v="ESPINOZA DAVILA JAVIER IGNACIO"/>
    <n v="27"/>
    <s v="19.045.921-7"/>
    <s v="AYUDANTE MECÁNICO"/>
    <m/>
    <m/>
    <s v="Durante el reapriete de niples hidráulicos en cargador frontal CF-71 y CF-72, mecánico Javier Espinoza se golpea la mano al resbalar la herramienta que utilizaba, golpeando su mano contra el pantógrafo, provocando un corte pequeño en su dedo meñique. Resaltar que mecánico se encontraba con todos sus EPP correspondientes."/>
    <x v="63"/>
    <d v="1899-12-30T13:00:00"/>
    <m/>
    <s v="MANEJO INADECUADO DE HERRAMIENTA"/>
    <x v="4"/>
    <s v="NO"/>
    <s v="Leve"/>
    <s v="Bajo"/>
    <s v="No Aplica"/>
    <s v="Dedo meñique derecho"/>
  </r>
  <r>
    <n v="86"/>
    <s v="CALDERA ALVAREZ MARCELO ALEJANDRO"/>
    <n v="46"/>
    <s v="13.089.211-6"/>
    <s v="Operador CF"/>
    <m/>
    <m/>
    <s v="Operador de cargador frontal al ingresar a fueras de almacén 6 para ejecutar remonte de soya, por razones que se investigan se genera colisión con minicargador LP  operado por Damián Olmos generando daño en tapabarro maquina (uport)."/>
    <x v="63"/>
    <d v="1899-12-30T20:50:00"/>
    <m/>
    <s v="EN INVESTIGACIÓN "/>
    <x v="0"/>
    <s v="NO"/>
    <s v="Leve"/>
    <s v="Bajo"/>
    <s v="No Aplica"/>
    <m/>
  </r>
  <r>
    <n v="87"/>
    <s v="BOBADILLA MONTOYA PABLO CESAR"/>
    <n v="38"/>
    <s v="15.562.033-1"/>
    <s v="Operador CF"/>
    <s v="2 AÑOS"/>
    <m/>
    <s v="Operador de cargador Fontal 072 se encontraba en faenas de des carguío de camiones con soya a granel, cuando estaba votando la carga del camión boliviano placa 4424-SAA, se percata de daño en el piso de la rampla informando al capataz de la faena y supervisor en terreno de este daño que se genera por la condición sub estándar del camión, este tiene una sobre altura en la rampla al menos de 1 pulgada y media hechiza la cual no es informada por el conductor, una vez limpia la rampla se puede visualizar camión cuenta con 2 tipos de planchas en el piso 1 metálica y la otra de aluminio y pernos coche sobresalidos."/>
    <x v="64"/>
    <d v="1899-12-30T16:45:00"/>
    <s v="Almacen 4  "/>
    <s v="CONDICIÓN DE CAMIÓN"/>
    <x v="8"/>
    <s v="SI"/>
    <s v="No Aplica"/>
    <s v="Bajo"/>
    <s v="No Aplica"/>
    <m/>
  </r>
  <r>
    <n v="88"/>
    <s v="QUIÑONES FLORES RODRIGO EDUARDO"/>
    <n v="32"/>
    <s v="17.369.649-3"/>
    <s v="Operador RS"/>
    <s v="10 MESES"/>
    <m/>
    <s v="Operador de RS 38, al estar posicionando contendor de 40 pies frente al portón del almacen 8 para el consolidado con sacas de mineral, al girar contendor este golpea una de las aletas de soporte para cadena de brazo de equipo generando un daño en el equipo, cabe destacar que no se encontraba personal involucrado en el radio giro del equipo."/>
    <x v="65"/>
    <d v="1899-12-30T18:30:00"/>
    <s v="Frente almacén 8"/>
    <s v="EN INVESTIGACIÓN "/>
    <x v="1"/>
    <s v="NO"/>
    <s v="Leve"/>
    <s v="Bajo"/>
    <s v="No Aplica"/>
    <m/>
  </r>
  <r>
    <n v="89"/>
    <s v="VALDERRAMA ALIAGA WENCELS EMILIO"/>
    <n v="52"/>
    <s v="11.615.282-7"/>
    <s v="Operador RS"/>
    <s v="2 AÑOS"/>
    <m/>
    <s v="El operador se encontraba movilizando contenedores en el sector 44, es despachado, al momento de salir del sector este realiza una mala operación girando muy apegado a los contenedores, pasando a llevar la rejilla lateral del equipo"/>
    <x v="66"/>
    <d v="1899-12-30T05:30:00"/>
    <s v="Sitio 3"/>
    <s v="FALLA OPERACIONAL"/>
    <x v="1"/>
    <s v="SI"/>
    <s v="Leve"/>
    <s v="Bajo"/>
    <m/>
    <m/>
  </r>
  <r>
    <n v="90"/>
    <s v="ROJAS ALLENDE SALVADOR ANTONIO"/>
    <n v="56"/>
    <s v="9.944.826-1"/>
    <s v="Operador CF"/>
    <s v="10 años"/>
    <m/>
    <s v="Operador mientras realizaba carguío de mineral a buzón dentro del almacen 10 se percata de un goteo de aceite, deteniendo el equipo y dando aviso a supervisor TPA para que se presenten mecánicos del taller mantención."/>
    <x v="67"/>
    <d v="1899-12-30T00:35:00"/>
    <s v="Almacen 10"/>
    <s v="EN INVESTIGACIÓN "/>
    <x v="1"/>
    <s v="NO"/>
    <s v="Leve"/>
    <s v="Bajo"/>
    <s v="No Aplica"/>
    <m/>
  </r>
  <r>
    <n v="91"/>
    <s v="ANGEL CALDERÓN "/>
    <n v="60"/>
    <s v="9.192.162-6"/>
    <s v="CAPATAZ"/>
    <m/>
    <m/>
    <s v="Al realizar la transferencia de cargador frontal desde bodega hacia delantal del  muelle, se evidencia a colaboradores exponiéndose bajo carga suspendida."/>
    <x v="67"/>
    <d v="1899-12-30T22:20:00"/>
    <s v="Sitio 5"/>
    <s v="EN INVESTIGACIÓN "/>
    <x v="8"/>
    <s v="SI"/>
    <s v="No Aplica"/>
    <s v="Alto"/>
    <s v="Aplastamiento"/>
    <m/>
  </r>
  <r>
    <n v="92"/>
    <s v="REBOLLEDO FLORES LUIS ARMANDO"/>
    <n v="55"/>
    <s v="10.107.872-8"/>
    <s v="Operador RS"/>
    <s v="8 AÑOS"/>
    <m/>
    <s v="Operador se encontraba movilizando contenedores en el sector 32 para carguíos a camión boliviano, después de cargar el tractor y trasladarse al siguiente bloque se percata que la pluma no baja, deteniendo el equipo para revisar, es ahí, donde el operador verifica el goteo de aceite hidráulico.  "/>
    <x v="68"/>
    <d v="1899-12-30T20:30:00"/>
    <s v="Sector 32"/>
    <s v="FATIGA DE MATERIAL"/>
    <x v="3"/>
    <s v="NO"/>
    <s v="Serio"/>
    <s v="Bajo"/>
    <s v="No Aplica"/>
    <m/>
  </r>
  <r>
    <n v="93"/>
    <s v="VILLENA BARRAZA NICOLAS IGNACIO"/>
    <n v="25"/>
    <s v="19.356.612-K"/>
    <s v="Operador CF"/>
    <s v="1 AÑO 5 MESES"/>
    <m/>
    <s v="Operador se encontraba en el interior del Almacén TEAGM cargando en buzón para embarque, al raspar el piso este golpea el riel cortando los pernos, y desprendiéndose 2 cuchillas del balde. "/>
    <x v="68"/>
    <d v="1899-12-30T21:10:00"/>
    <s v="ALMACEN 10 TEAGM"/>
    <s v="CONDICIÓN DE PISO"/>
    <x v="8"/>
    <s v="NO"/>
    <s v="No Aplica"/>
    <s v="Bajo"/>
    <s v="No Aplica"/>
    <m/>
  </r>
  <r>
    <n v="94"/>
    <s v="ZEPEDA SANTIAGO JUAN RODRIGO"/>
    <n v="43"/>
    <s v="13.637.904-6"/>
    <s v="Operador CF"/>
    <s v="4 AÑOS"/>
    <m/>
    <s v="Operador se encontraba cargando camiones tolva para el traslado de embarque en ese momento se percata qué sale humo de la máquina operador retrocede para salir del sector de la ruma de soya y detiene el equipo inmediatamente al bajar de este, nota que el equipo presenta goteo de aceite hidráulico. "/>
    <x v="68"/>
    <d v="1899-12-30T03:00:00"/>
    <s v="SECTOR CODO"/>
    <s v="ROTURA DE FLEXIBLE"/>
    <x v="8"/>
    <s v="NO"/>
    <s v="No Aplica"/>
    <s v="Bajo"/>
    <s v="No Aplica"/>
    <m/>
  </r>
  <r>
    <n v="95"/>
    <s v="PEREIRA GARCIA JUAN CARLOS"/>
    <n v="58"/>
    <s v="9.397.555-3"/>
    <s v="Operador RS"/>
    <s v="8 MESES"/>
    <m/>
    <s v="Operador, se encontraba moviendo contenedores en el sector carga IMO .                                                                                                        Cuando se percata que el equipo presenta filtración de líquido, operador detiene el equipo y da aviso a supervisor."/>
    <x v="69"/>
    <d v="1899-12-30T08:55:00"/>
    <s v="PATIO DE CONTENEDORES"/>
    <s v="EN ANÁLISIS"/>
    <x v="8"/>
    <s v="NO"/>
    <s v="No Aplica"/>
    <s v="Bajo"/>
    <s v="No Aplica"/>
    <m/>
  </r>
  <r>
    <n v="96"/>
    <s v="BARRERA ESPINOZA MAURICIO"/>
    <n v="52"/>
    <s v="11.610.619-1"/>
    <s v="Operador RS"/>
    <s v="15 AÑOS"/>
    <m/>
    <s v="Operador recibe instrucción radial  de realizar despeje de contenedor al costado ruma de soya, al calzar contendor full retrocede chocando con neumático trasero iquierdo a camioneta de servicio  a la carga que se encontraba parqueada por supervisor almacén 4 Leonel Delzo (TPA) en lugar inhabilitado y sin advertencia (balizas, luces intermitentes). Como antecedente en momento de evento no hay persona dentro de camioneta, descartando lesión."/>
    <x v="70"/>
    <d v="1899-12-30T20:50:00"/>
    <s v="ALMACEN 5"/>
    <s v="EN ANÁLISIS"/>
    <x v="8"/>
    <s v="NO"/>
    <s v="No Aplica"/>
    <s v="Bajo"/>
    <s v="No Aplica"/>
    <m/>
  </r>
  <r>
    <n v="97"/>
    <s v="SALINAS VELIZ FABIAN ESTEBAN"/>
    <n v="35"/>
    <s v="16.467.187-9"/>
    <s v="Operador RS"/>
    <s v="6 AÑOS"/>
    <m/>
    <s v="Operador se encontraba operando Rs 0037, despues de frotarse las manos por sus ojos comienza a sentir molestias en su ojo izquierdo. Es atendido en polipuerto IST y posteriormente derivado a clínica san José para atención con especialista"/>
    <x v="71"/>
    <d v="1899-12-30T03:00:00"/>
    <s v=" CALLE PRINCIPAL"/>
    <s v="EN ANÁLISIS"/>
    <x v="4"/>
    <s v="NO"/>
    <s v="Leve"/>
    <s v="Bajo"/>
    <s v="No Aplica"/>
    <s v="Ojo izquierdo"/>
  </r>
  <r>
    <n v="98"/>
    <s v="VASQUEZ VASQUEZ MAURICIO FABIAN"/>
    <n v="38"/>
    <s v="15.693.324-4"/>
    <s v="Operador CF"/>
    <s v="5 AÑOS"/>
    <m/>
    <s v=" Operador Mauricio Vázquez se encontraba descargando camiones abiertos con soya Al momento de Descargar el camión boliviano placa 2862 GSK pasa a llevar Porta piña de la parte trasera de la rampla sacando la de su posición                                                         "/>
    <x v="72"/>
    <d v="1899-12-30T10:25:00"/>
    <s v="SECTOR CODO"/>
    <s v="EXCESO DE CONFIANZA"/>
    <x v="8"/>
    <s v="SI"/>
    <s v="Leve"/>
    <s v="Bajo"/>
    <s v="No Aplica"/>
    <m/>
  </r>
  <r>
    <n v="99"/>
    <s v="BARRERA ESPINOZA MAURICIO"/>
    <n v="52"/>
    <s v="11.610.619-1"/>
    <s v="Operador CF"/>
    <s v="15 AÑOS"/>
    <m/>
    <s v="Operador,se encontraba asignado al almacén 4 para la faena de remonté de soya al llegar al sector del F4 para hacer el cambio del balde por el aditamento. Al momento de soltar el balde se corta uno de los acople rápido manguera hidráulica del equipo."/>
    <x v="73"/>
    <d v="1899-12-30T08:40:00"/>
    <s v="SECTOR F4"/>
    <s v="FALTA DE CONOCIMIENTO DEL CAMBIO DE BALDE"/>
    <x v="8"/>
    <s v="NO"/>
    <s v="No Aplica"/>
    <s v="Alto"/>
    <s v="No Aplica"/>
    <m/>
  </r>
  <r>
    <n v="100"/>
    <s v="BOBADILLA MANSILLA EDUARDO ARTURO"/>
    <n v="49"/>
    <s v="12.210.987-9"/>
    <s v="Operador GH"/>
    <s v="9 AÑOS"/>
    <m/>
    <s v="Trabajador, se encontraba operando grúa horquilla Beretta el cual  se dirigía a posicionarse al costado de camión para subir puertas laterales, cuando gira el equipo y el cilindro de gas de grúa horquilla se desprende de este, cayendo al suelo, operador detiene la máquina y desciende rápidamente a cortar llave de paso de gas, cilindro de gas aun así mantenía fuga de gas."/>
    <x v="74"/>
    <d v="1899-12-30T00:30:00"/>
    <s v="ALMACEN 4"/>
    <s v="EN INVESTIGACIÓN "/>
    <x v="8"/>
    <s v="SI"/>
    <s v="No Aplica"/>
    <s v="Bajo"/>
    <s v="No Aplica"/>
    <s v="Sin Lesión"/>
  </r>
  <r>
    <n v="101"/>
    <s v="DELGADO CUTIPA JESUS JORGE"/>
    <n v="60"/>
    <s v="7.283.202-7"/>
    <s v="OPERADOR "/>
    <s v="14 AÑOS"/>
    <m/>
    <s v="Colaborador al operar maquina trilladora John Deere (usada) desde cuarto nivel de MN ARC RESOLVE para posterior descarga, por razones que se investigan se genera fricción entre parte trasera izquierda de esta contra pared de bodega. "/>
    <x v="75"/>
    <d v="1899-12-30T17:10:00"/>
    <s v="INTERIOR NAVE"/>
    <s v="EN INVESTIGACIÓN"/>
    <x v="8"/>
    <s v="SI"/>
    <s v="No Aplica"/>
    <s v="Bajo"/>
    <s v="No Aplica"/>
    <s v="Sin Lesión"/>
  </r>
  <r>
    <n v="102"/>
    <s v="CHONG ALVAREZ HECTOR JUAN"/>
    <n v="44"/>
    <s v="15.000.057-2"/>
    <s v="Operador GH"/>
    <s v="1 AÑO"/>
    <m/>
    <s v="Operador  al sacar pallet con sacos que se encontraba a dos de alto desde contenedor que se encontraba con amarra en la parte trasera de pallet la cual no se encontraba visible, por lo que al sacar pallet con sacos causa daño en 6 sacos de pallet."/>
    <x v="76"/>
    <d v="1899-12-30T13:40:00"/>
    <s v="SECTOR NORTE"/>
    <s v="EN INVESTIGACIÓN"/>
    <x v="8"/>
    <s v="SI"/>
    <s v="No Aplica"/>
    <s v="Bajo"/>
    <s v="No Aplica"/>
    <s v="Sin Lesión"/>
  </r>
  <r>
    <n v="103"/>
    <s v="FIGUEROA MAIPIL LUIS NICOLAS"/>
    <n v="36"/>
    <s v="16.227.007-9"/>
    <s v="Operador RS"/>
    <s v="11 años"/>
    <m/>
    <s v="Operador de RS 046 para realizar carguío de contendores sobre plataforma de camión, pasa a llevar compuertas del lado opuesto generando daño en calzos (chasis) postura de pernos para posicionamiento de pilares."/>
    <x v="77"/>
    <d v="1899-12-30T17:40:00"/>
    <s v="Zon 16"/>
    <s v="EN INVESTIGACIÓN"/>
    <x v="8"/>
    <s v="NO"/>
    <s v="No Aplica"/>
    <s v="Bajo"/>
    <s v="No Aplica"/>
    <s v="Sin Lesión"/>
  </r>
  <r>
    <n v="104"/>
    <s v="BARRERA ESPINOZA MAURICIO"/>
    <n v="52"/>
    <s v="11.610.619-1"/>
    <s v="Operador grua nave"/>
    <s v=" "/>
    <s v="Embarcando con la Grúa Nave, al momento de izar las sacas y la nave se encontraba navegando, cuadrante con la carga realiza movimiento de péndulo golpeando la punta de la estación de piña que se encontraba apegada a los pontones dañado la saca y derramando carga en piso. "/>
    <s v="Embarcando con la Grúa Nave, al momento de izar las sacas y la nave se encontraba navegando, cuadrante con la carga realiza movimiento de péndulo golpeando la punta de la estación de piña que se encontraba apegada a los pontones dañado la saca y derramando carga en piso. "/>
    <x v="78"/>
    <d v="1899-12-30T05:05:00"/>
    <s v="Sitio 3"/>
    <s v="Pluma se encontraba trabajando diagonal a la bodega, con MN navegando."/>
    <x v="8"/>
    <s v="NO"/>
    <s v="No Aplica"/>
    <s v="Bajo"/>
    <s v="No Aplica"/>
    <s v="Sin Lesión"/>
  </r>
  <r>
    <n v="105"/>
    <s v="CAMPOS OLIVARES VICTOR DANIEL"/>
    <n v="45"/>
    <s v="13.212.651-8"/>
    <s v="Operador CF"/>
    <s v="6 meses"/>
    <s v="Operador en recepcion de soya, al terminar descarga de camiones, choca con linea ferrea presente en superficie cortando pernos de una de las cuchillas del CF 0073."/>
    <s v="Operador en recepcion de soya, al terminar descarga de camiones, choca con linea ferrea presente en superficie cortando pernos de una de las cuchillas del CF 0073."/>
    <x v="79"/>
    <d v="1899-12-30T21:15:00"/>
    <s v="Sector codo"/>
    <s v="Condición"/>
    <x v="8"/>
    <s v="SI"/>
    <s v="No Aplica"/>
    <s v="Bajo"/>
    <s v="No Aplica"/>
    <s v="Sin Lesión"/>
  </r>
  <r>
    <n v="106"/>
    <s v="SEGOVIA SEGOVIA VICTOR RODRIGO"/>
    <n v="39"/>
    <s v="15.008.980-8"/>
    <s v="Movilizador"/>
    <s v="1 AÑO"/>
    <s v="Colaborador mientras realizaba rajado de sacos de azúcar, sobre plataforma de camión, sufre corte en muslo derecho con cortante retráctil."/>
    <s v="Colaborador mientras realizaba rajado de sacos de azúcar, sobre plataforma de camión, sufre corte en muslo derecho con cortante retráctil."/>
    <x v="80"/>
    <d v="1899-12-30T21:00:00"/>
    <s v="Sitio 2B"/>
    <s v="Exceso de confianza"/>
    <x v="5"/>
    <s v="NO"/>
    <s v="Serio"/>
    <s v="Bajo"/>
    <s v="No Aplica"/>
    <s v="Muslo derecho "/>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6">
  <r>
    <n v="1"/>
    <s v="BARRAZA LILLO DIEGO JULIO"/>
    <n v="25"/>
    <s v="19.495.617-7"/>
    <s v="Masculino"/>
    <s v="OPERADOR GH"/>
    <s v="Menor a 1 año"/>
    <m/>
    <s v="Operador al momento de salir del contenedor con pallets de polietileno no levanta lo suficiente en dónde se engancha con Rampla de contenedor provocando daño a la carga."/>
    <x v="0"/>
    <d v="1899-12-30T11:45:00"/>
    <s v="‌Sector Norte - Arica"/>
    <s v="Acción inadecuada"/>
    <x v="0"/>
    <s v="SI"/>
    <s v="SI"/>
    <m/>
    <s v="No Aplica"/>
    <s v="Bajo"/>
    <s v="No Aplica"/>
    <s v="Sin Lesión"/>
    <s v="Ultraport"/>
    <s v="Bono Turno"/>
    <s v="Negativo"/>
    <m/>
    <s v="Desconsolidado y Manipulación Carga General"/>
    <x v="0"/>
    <s v="Desconsolidado de pallets"/>
    <s v="JORGE DONOSO"/>
    <s v="Ultraport"/>
    <s v="Renta Fija"/>
    <s v="Jose Hidalgo"/>
    <s v="Ultraport"/>
    <s v="miércoles"/>
    <s v="1°"/>
    <n v="0"/>
    <n v="0"/>
    <s v="N/A"/>
    <s v="N/A"/>
  </r>
  <r>
    <n v="2"/>
    <s v="ZUANIC GODOY STANKO MIROSLAV ANTONIO"/>
    <n v="33"/>
    <s v="17.552.810-5"/>
    <s v="Masculino"/>
    <s v="OPERADOR TC"/>
    <s v="Menor a 1 año"/>
    <m/>
    <s v="Operador  al pasar por costado de almacén 10 se percata que se encontraba estacionada una camioneta de mantención TPA, al pasar por al lado ve que pasajero del lado izquierdo abre puerta y golpea rampla, provocando daño a puerta de camioneta."/>
    <x v="0"/>
    <d v="1899-12-30T18:00:00"/>
    <s v="‌Sitio 5 - Arica"/>
    <s v="Accion inadecuada por ocupante de camioneta"/>
    <x v="0"/>
    <s v="SI"/>
    <s v="NO"/>
    <m/>
    <s v="No Aplica"/>
    <s v="Bajo"/>
    <s v="No Aplica"/>
    <s v="Sin Lesión"/>
    <s v="Ultraport"/>
    <s v="Bono Turno"/>
    <s v="No Aplica"/>
    <s v="Sin responsabilidad de operador"/>
    <s v="Transferencia de Contenedores Grúa Nave y Grúa Tierra"/>
    <x v="1"/>
    <s v="Traslado de contenedores para embarque"/>
    <s v="SAID VERGARA"/>
    <s v="Ultraport"/>
    <s v="Renta Fija"/>
    <s v="Raul Rojas"/>
    <s v="Ultraport"/>
    <s v="miércoles"/>
    <s v="2°"/>
    <n v="0"/>
    <n v="0"/>
    <s v="N/A"/>
    <s v="N/A"/>
  </r>
  <r>
    <n v="3"/>
    <s v="VASQUEZ VASQUEZ MAURICIO FABIAN"/>
    <n v="40"/>
    <s v="15.693.324-4"/>
    <s v="Masculino"/>
    <s v="OPERADOR CF"/>
    <s v="Mayor a 3 años"/>
    <m/>
    <s v="Operador al momento de deslizar balde por costado de ruma de soya para remontar carga, balde pasa a llevar riel de tren el cual se encontraba tapado con soya, lo que provoca desprendimiento de cuchillo y pernos de parte izquierda de balde."/>
    <x v="0"/>
    <d v="1899-12-30T20:25:00"/>
    <s v="‌almacén 4 - Arica"/>
    <s v="Condicion subestandar"/>
    <x v="0"/>
    <s v="SI"/>
    <s v="NO"/>
    <m/>
    <s v="No Aplica"/>
    <s v="Bajo"/>
    <s v="No Aplica"/>
    <s v="Sin Lesión"/>
    <s v="Ultraport"/>
    <s v="Bono Turno"/>
    <s v="No Aplica"/>
    <s v="Sin responsabilidad de operador"/>
    <s v="Recepción, Consolidado y Embarque de Graneles Limpios"/>
    <x v="2"/>
    <s v="Remonte de soya"/>
    <s v="SAID VERGARA"/>
    <s v="Ultraport"/>
    <s v="Renta Fija"/>
    <s v="Miguel Mendoza"/>
    <s v="TPA"/>
    <s v="miércoles"/>
    <s v="2°"/>
    <n v="0"/>
    <n v="0"/>
    <s v="N/A"/>
    <s v="N/A"/>
  </r>
  <r>
    <n v="4"/>
    <s v="CHONG ALVAREZ HECTOR JUAN"/>
    <n v="45"/>
    <s v="15.000.057-2"/>
    <s v="Masculino"/>
    <s v="OPERADOR CF"/>
    <s v="Entre 1 y 3 años"/>
    <m/>
    <s v="Operador se encontraba remontando la ruma de soya, cuando capataz de molo le da aviso de que equipo se encontraba filtrando liquido."/>
    <x v="0"/>
    <d v="1899-12-30T22:05:00"/>
    <s v="‌Sitio 2B - Arica"/>
    <s v="Fatiga de Material"/>
    <x v="1"/>
    <s v="SI"/>
    <s v="NO"/>
    <s v="NO"/>
    <s v="Leve"/>
    <s v="Bajo"/>
    <s v="No Aplica"/>
    <s v="Sin Lesión"/>
    <s v="Ultraport"/>
    <s v="Bono Turno"/>
    <s v="No Aplica"/>
    <s v="Sin responsabilidad de operador"/>
    <s v="Recepción, Consolidado y Embarque de Graneles Limpios"/>
    <x v="3"/>
    <s v="Remonte de soya"/>
    <s v="JORGE DONOSO"/>
    <s v="Ultraport"/>
    <s v="Renta Fija"/>
    <s v="Oscar Riquelme"/>
    <s v="Ultraport"/>
    <s v="miércoles"/>
    <s v="2°"/>
    <n v="0"/>
    <n v="0"/>
    <s v="1 litro"/>
    <m/>
  </r>
  <r>
    <n v="5"/>
    <s v="LEON TABALI CRISTIAN ORLANDO"/>
    <n v="42"/>
    <s v="14.103.098-1"/>
    <s v="Masculino"/>
    <s v="OPERADOR CF"/>
    <s v="Menor a 1 año"/>
    <m/>
    <s v="Operador  al momento de pasar balde de CF por piso pasa a llevar riel de tren, el cual se encontraba tapado con soya, provocando el desprendimiento de cuchillo de balde. "/>
    <x v="1"/>
    <d v="1899-12-30T04:50:00"/>
    <s v="‌almacén 4 - Arica"/>
    <s v="Condicion subestandar"/>
    <x v="0"/>
    <s v="SI"/>
    <s v="NO"/>
    <m/>
    <s v="No Aplica"/>
    <s v="Bajo"/>
    <s v="No Aplica"/>
    <s v="Sin Lesión"/>
    <s v="Ultraport"/>
    <s v="Bono Turno"/>
    <s v="No Aplica"/>
    <s v="Sin responsabilidad de operador"/>
    <s v="Transferencia de Graneles Limpios"/>
    <x v="2"/>
    <s v="Cargio de carga a tolva"/>
    <m/>
    <m/>
    <m/>
    <s v="David Guajardo"/>
    <s v="TPA"/>
    <s v="viernes"/>
    <s v="3°"/>
    <n v="0"/>
    <n v="0"/>
    <s v="N/A"/>
    <s v="N/A"/>
  </r>
  <r>
    <n v="6"/>
    <s v="SALINAS VELIZ FABIAN ESTEBAN"/>
    <n v="37"/>
    <s v="16.467.187-9"/>
    <s v="Masculino"/>
    <s v="OPERADOR CF"/>
    <s v="Mayor a 3 años"/>
    <m/>
    <s v="Operador se encontraba realizando carga de soya en tolvas para traslado y embarque con apoyo de cargador frontal 80. En ese momento advierte que maquina pierde fuerza en sus movimientos. Se traslada para revisión por equipo de mantenimiento, quienes detectan corte correa de accesorios por fatiga de material."/>
    <x v="2"/>
    <d v="1899-12-30T20:30:00"/>
    <s v="‌almacén 4 - Arica"/>
    <s v="Fatiga de Material"/>
    <x v="0"/>
    <s v="SI"/>
    <s v="NO"/>
    <m/>
    <s v="No Aplica"/>
    <s v="Bajo"/>
    <s v="No Aplica"/>
    <s v="Sin Lesión"/>
    <s v="Ultraport"/>
    <s v="Bono Turno"/>
    <s v="No Aplica"/>
    <s v="Sin responsabilidad de operador"/>
    <s v="Transferencia de Graneles Limpios"/>
    <x v="2"/>
    <s v="Cargio de carga a tolva"/>
    <s v="OSCAR MUÑOZ"/>
    <s v="Ultraport"/>
    <s v="Renta Fija"/>
    <s v="Leo Delzo"/>
    <s v="TPA"/>
    <s v="martes"/>
    <s v="2°"/>
    <n v="0"/>
    <n v="0"/>
    <s v="N/A"/>
    <s v="N/A"/>
  </r>
  <r>
    <n v="7"/>
    <s v="PALMA OCHOA RAMON ALBERTO"/>
    <n v="39"/>
    <s v="15.947.773-8"/>
    <s v="Masculino"/>
    <s v="OPERADOR CF"/>
    <s v="Entre 1 y 3 años"/>
    <m/>
    <s v="Colaborador al remontar soya en ruma con apoyo de cargador frontal 82, riel se encontraba oculto por restos de polvo cereal, dañando pernos, desprendiendo cuchilla izquierda (parte de balde)."/>
    <x v="2"/>
    <d v="1899-12-30T02:00:00"/>
    <s v="‌almacén 4 - Arica"/>
    <s v="Condicion subestandar"/>
    <x v="0"/>
    <s v="SI"/>
    <s v="NO"/>
    <m/>
    <s v="No Aplica"/>
    <s v="Bajo"/>
    <s v="No Aplica"/>
    <s v="Sin Lesión"/>
    <s v="Ultraport"/>
    <s v="Bono Turno"/>
    <s v="No Aplica"/>
    <s v="Sin responsabilidad de operador"/>
    <s v="Recepción, Consolidado y Embarque de Graneles Limpios"/>
    <x v="4"/>
    <s v="Descarga de graneles"/>
    <s v="OSCAR MUÑOZ"/>
    <s v="Ultraport"/>
    <s v="Renta Fija"/>
    <s v="Leo Delzo"/>
    <s v="TPA"/>
    <s v="martes"/>
    <s v="3°"/>
    <n v="0"/>
    <n v="0"/>
    <s v="N/A"/>
    <s v="N/A"/>
  </r>
  <r>
    <n v="8"/>
    <s v="BUGUEÑO AGUIRRE WILFREDO ARMANDO"/>
    <n v="57"/>
    <s v="9.105.395-0"/>
    <s v="Masculino"/>
    <s v="OPERADOR GH"/>
    <s v="Entre 1 y 3 años"/>
    <m/>
    <s v="Operador al desconsolidar un pallets con sacos este cae ya que venia mal estibado,se daña un saco levemente. "/>
    <x v="2"/>
    <d v="1899-12-30T12:30:00"/>
    <s v="‌Sector Norte - Arica"/>
    <s v="Mala estiba de carga"/>
    <x v="0"/>
    <s v="SI"/>
    <s v="NO"/>
    <m/>
    <s v="No Aplica"/>
    <s v="Bajo"/>
    <s v="No Aplica"/>
    <s v="Sin Lesión"/>
    <s v="Ultraport"/>
    <s v="Bono Turno"/>
    <s v="No Aplica"/>
    <s v="Sin responsabilidad de operador"/>
    <s v="Desconsolidado y Manipulación Carga General"/>
    <x v="5"/>
    <s v="Desconsolidado Pallet"/>
    <s v="CHRISTOPHER TAPIA"/>
    <s v="Ultraport"/>
    <s v="Renta Fija"/>
    <s v="Bastian Diaz"/>
    <s v="TPA"/>
    <s v="martes"/>
    <s v="1°"/>
    <n v="0"/>
    <n v="0"/>
    <s v="N/A"/>
    <s v="N/A"/>
  </r>
  <r>
    <n v="9"/>
    <s v="REBOLLEDO FLORES LUIS ARMANDO"/>
    <n v="57"/>
    <s v="10.107.872-8"/>
    <s v="Masculino"/>
    <s v="OPERADOR GH"/>
    <s v="Mayor a 3 años"/>
    <m/>
    <s v=" Colaborador  al momento de sacar pallets desde contenedor, este se da cuenta que pallets venía con una de su base de madera doblada, por lo que al retroceder saliendo de contenedor esta sede y se cae, carga no presenta daños, y se corrige base de pallets para posterior carguío en camión."/>
    <x v="3"/>
    <d v="1899-12-30T11:30:00"/>
    <s v="‌Sector Norte - Arica"/>
    <s v="Condicion de carga"/>
    <x v="0"/>
    <s v="SI"/>
    <s v="NO"/>
    <m/>
    <s v="No Aplica"/>
    <s v="Bajo"/>
    <s v="No Aplica"/>
    <s v="Sin Lesión"/>
    <s v="Ultraport"/>
    <s v="CPPT"/>
    <s v="No Aplica"/>
    <s v="Sin responsabilidad de operador"/>
    <s v="Desconsolidado y Manipulación Carga General"/>
    <x v="5"/>
    <s v="Traslado BigBag"/>
    <s v="CHRISTOPHER TAPIA"/>
    <s v="Ultraport"/>
    <s v="Renta Fija"/>
    <s v="Denny García"/>
    <s v="Ultraport"/>
    <s v="jueves"/>
    <s v="1°"/>
    <n v="0"/>
    <n v="0"/>
    <s v="N/A"/>
    <s v="N/A"/>
  </r>
  <r>
    <n v="10"/>
    <s v="DIAZ GORDON ALEJANDRO PATRICIO"/>
    <n v="45"/>
    <s v="13.412.590-K"/>
    <s v="Masculino"/>
    <s v="OPERADOR GH"/>
    <s v="Entre 1 y 3 años"/>
    <m/>
    <s v="Operador  al momento de ingresar al contenedor con saca big bag, por fatiga de material se rasga desde la oreja,  GH pierde fuerza al subir la rampla por lo que se debe acelerar  y esta produce movimiento  brusco (sin intención) lo que provoco que se  rasgara la saca.al momento de posicionar big-bag (mineral) en piso de contenedor, saca se descose en un costado provocando caida de mineral dentro de contenedor, aprox 50 kg de mineral."/>
    <x v="4"/>
    <d v="1899-12-30T10:45:00"/>
    <s v="‌Almacén 8 - Arica"/>
    <s v="Fatiga de Material"/>
    <x v="0"/>
    <s v="SI"/>
    <s v="NO"/>
    <m/>
    <s v="No Aplica"/>
    <s v="Bajo"/>
    <s v="No Aplica"/>
    <s v="Sin Lesión"/>
    <s v="Ultraport"/>
    <s v="Bono Turno"/>
    <s v="No Aplica"/>
    <s v="Fatiga de material"/>
    <s v="Recepción y Consolidado en Big Bag"/>
    <x v="6"/>
    <s v="Consolidado"/>
    <s v="CHRISTOPHER TAPIA"/>
    <s v="Ultraport"/>
    <s v="Renta Fija"/>
    <s v="Denny García"/>
    <s v="Ultraport"/>
    <s v="viernes"/>
    <s v="1°"/>
    <n v="0"/>
    <n v="0"/>
    <s v="N/A"/>
    <s v="N/A"/>
  </r>
  <r>
    <n v="11"/>
    <s v="VALDERRAMA ALIAGA WENCELS EMILIO"/>
    <n v="54"/>
    <s v="11.615.282-7"/>
    <s v="Masculino"/>
    <s v="OPERADOR GH"/>
    <s v="Mayor a 3 años"/>
    <m/>
    <s v="Operador  al momento de tomar saca big bag y tensarla para proceder con traslado, esta se corta en ambas asas delanteras, provocando la caída de esta, Mencionar que no cae mineral a suelo."/>
    <x v="5"/>
    <d v="1899-12-30T11:30:00"/>
    <s v="‌Almacén 8 - Arica"/>
    <s v="Fatiga de Material"/>
    <x v="0"/>
    <s v="SI"/>
    <s v="NO"/>
    <m/>
    <s v="No Aplica"/>
    <s v="Bajo"/>
    <s v="No Aplica"/>
    <s v="Sin Lesión"/>
    <s v="Ultraport"/>
    <s v="Bono Turno"/>
    <s v="No Aplica"/>
    <s v="Fatiga de material"/>
    <s v="Recepción y Consolidado en Big Bag"/>
    <x v="6"/>
    <s v="Consolidado"/>
    <s v="CHRISTOPHER TAPIA"/>
    <s v="Ultraport"/>
    <s v="Renta Fija"/>
    <s v="Denny García"/>
    <s v="Ultraport"/>
    <s v="sábado"/>
    <s v="1°"/>
    <n v="0"/>
    <n v="0"/>
    <s v="N/A"/>
    <s v="N/A"/>
  </r>
  <r>
    <n v="12"/>
    <s v="PEREZ NUÑEZ FRANCISCO JAVIER"/>
    <n v="49"/>
    <s v="12.832.590-5"/>
    <s v="Masculino"/>
    <s v="OPERADOR TC"/>
    <s v="Entre 1 y 3 años"/>
    <m/>
    <s v="Operador al momento de salir a faena asignada en tracto uport 106 , se equívoca de botón presionando la directa por la que correspondía de reversa, chocando ruma de contenedores. Produciendo daño en parachoque delantero y  contenedor MSDU 877798-0.  "/>
    <x v="6"/>
    <d v="1899-12-30T16:00:00"/>
    <s v="‌Terminal de contenedores - Arica"/>
    <s v="Desconcentracion"/>
    <x v="0"/>
    <s v="SI"/>
    <s v="SI"/>
    <m/>
    <s v="No Aplica"/>
    <s v="Bajo"/>
    <s v="No Aplica"/>
    <s v="Sin Lesión"/>
    <s v="Ultraport"/>
    <s v="Bono Turno"/>
    <s v="Negativo"/>
    <m/>
    <s v="Transferencia de Contenedores Grúa Nave y Grúa Tierra"/>
    <x v="7"/>
    <s v="Transferencia"/>
    <s v="OMAYRA CAUTIN"/>
    <s v="Ultraport"/>
    <s v="Renta Fija"/>
    <s v="Cristian Lizama"/>
    <s v="TPA"/>
    <s v="domingo"/>
    <s v="2°"/>
    <n v="0"/>
    <n v="0"/>
    <s v="N/A"/>
    <s v="N/A"/>
  </r>
  <r>
    <n v="13"/>
    <s v="CALDERA BAEZA BAYRON MATIAS"/>
    <n v="22"/>
    <s v="20.951.145-2"/>
    <s v="Masculino"/>
    <s v="OPERADOR GH"/>
    <s v="Entre 1 y 3 años"/>
    <m/>
    <s v="Operador  al momento de bajar compuerta de camión este pasa a llevar pasamano de aluminio, lo cual no se percata de la situación hasta que el chofer informa lo sucedido."/>
    <x v="6"/>
    <d v="1899-12-30T18:00:00"/>
    <s v="‌almacén 4 - Arica"/>
    <s v="Presion de equipo a compuerta"/>
    <x v="0"/>
    <s v="SI"/>
    <s v="SI"/>
    <m/>
    <s v="No Aplica"/>
    <s v="Bajo"/>
    <s v="No Aplica"/>
    <s v="Sin Lesión"/>
    <s v="Ultraport"/>
    <s v="Bono Turno"/>
    <s v="Negativo"/>
    <m/>
    <s v="Recepción, Consolidado y Embarque de Graneles Limpios"/>
    <x v="4"/>
    <s v="Descarga de graneles"/>
    <s v="OMAYRA CAUTIN"/>
    <s v="Ultraport"/>
    <s v="Renta Fija"/>
    <s v="Sergio Gomez"/>
    <s v="Ultraport"/>
    <s v="domingo"/>
    <s v="2°"/>
    <n v="0"/>
    <n v="0"/>
    <s v="N/A"/>
    <s v="N/A"/>
  </r>
  <r>
    <n v="14"/>
    <s v="JOHNSON CALDERON LYNDON JAMES"/>
    <n v="40"/>
    <s v="15.009.076-8"/>
    <s v="Masculino"/>
    <s v="OPERADOR TOLVA"/>
    <s v="Entre 1 y 3 años"/>
    <m/>
    <s v="Operador al momento de salir de almacen 4 cargado  de grano de soya  este se cierra mucho pasando a llevar batea de tolva B4 provocando daño  en esquina superior  delantera.    "/>
    <x v="7"/>
    <d v="1899-12-30T12:00:00"/>
    <s v="‌almacén 4 - Arica"/>
    <s v="Operacion inadecuada"/>
    <x v="0"/>
    <s v="SI"/>
    <s v="SI"/>
    <m/>
    <s v="No Aplica"/>
    <s v="Bajo"/>
    <s v="No Aplica"/>
    <s v="Sin Lesión"/>
    <s v="Ultraport"/>
    <s v="Bono Turno"/>
    <s v="Negativo"/>
    <m/>
    <s v="Transferencia de Graneles Limpios"/>
    <x v="8"/>
    <s v="Descarga"/>
    <s v="OMAYRA CAUTIN"/>
    <s v="Ultraport"/>
    <s v="Renta Fija"/>
    <s v="Nicolas Flores"/>
    <s v="TPA"/>
    <s v="lunes"/>
    <s v="1°"/>
    <n v="0"/>
    <n v="0"/>
    <s v="N/A"/>
    <s v="N/A"/>
  </r>
  <r>
    <n v="15"/>
    <s v="ZAPATA MARTINEZ GONZALO FRANCISCO"/>
    <n v="40"/>
    <s v="15.145.614-6"/>
    <s v="Masculino"/>
    <s v="ASISTENTE MECANICO"/>
    <s v="Mayor a 3 años"/>
    <m/>
    <s v="Asistente técnico presenta dolor muscular de espalda media, esto se presentó realizando trabajos del área de mantenimiento,  al finalizar su jornada laboral,"/>
    <x v="8"/>
    <d v="1899-12-30T18:00:00"/>
    <s v="‌Taller mantenimiento Arica"/>
    <s v="Mala postura"/>
    <x v="2"/>
    <s v="SI"/>
    <s v="NO"/>
    <m/>
    <s v="Leve"/>
    <s v="Bajo"/>
    <s v="No Aplica"/>
    <s v="Cadera/Cintura"/>
    <s v="Ultraport"/>
    <s v="Renta Fija"/>
    <s v="No Realizado"/>
    <s v="Se prioriza atencion medica"/>
    <s v="Mantenimiento de Equipos"/>
    <x v="9"/>
    <m/>
    <s v="BRANCO FUMEY"/>
    <s v="Ultraport"/>
    <s v="Renta Fija"/>
    <s v="Branco Fumey"/>
    <s v="Ultraport"/>
    <s v="miércoles"/>
    <s v="1°"/>
    <n v="0"/>
    <n v="0"/>
    <s v="N/A"/>
    <s v="N/A"/>
  </r>
  <r>
    <n v="16"/>
    <s v="VASQUEZ VASQUEZ MAURICIO FABIAN"/>
    <n v="40"/>
    <s v="15.693.324-4"/>
    <s v="Masculino"/>
    <s v="OPERADOR GH"/>
    <s v="Mayor a 3 años"/>
    <m/>
    <s v="Operador sube pallet de sacos a la rampa del camion con los pilares aun en posicion. Por lo que al momento de bajar el pallet  a la rampa se caen sacos, habiendo un daño leve en uno de ellos, por lo que se procede a a parchar el saco y reflejarlo al momento de realizar el despacho. se saca al operador de faena para entregarle la informacion correspondiente del porque de la situacion y corrigiendo la actividad. "/>
    <x v="9"/>
    <d v="1899-12-30T17:15:00"/>
    <s v="‌Sector Norte - Arica"/>
    <s v="Mala estiba de carga"/>
    <x v="0"/>
    <s v="SI"/>
    <s v="NO"/>
    <m/>
    <s v="No Aplica"/>
    <s v="Bajo"/>
    <s v="No Aplica"/>
    <s v="Sin Lesión"/>
    <s v="Ultraport"/>
    <s v="Bono Turno"/>
    <s v="No Aplica"/>
    <s v="Sin responsabilidad de operador"/>
    <s v="Desconsolidado y Manipulación Carga General"/>
    <x v="5"/>
    <s v="Desconsolidado"/>
    <s v="ANTONIO ARAYA"/>
    <s v="TPA"/>
    <s v="Renta Fija"/>
    <s v="Gabriel Vasquez"/>
    <s v="Ultraport"/>
    <s v="viernes"/>
    <s v="2°"/>
    <n v="0"/>
    <n v="0"/>
    <s v="N/A"/>
    <s v="N/A"/>
  </r>
  <r>
    <n v="17"/>
    <s v="DELGADO CALVO IVAN ALBERTO"/>
    <n v="45"/>
    <s v="13.413.819-K"/>
    <s v="Masculino"/>
    <s v="OPERADOR CF"/>
    <s v="Entre 1 y 3 años"/>
    <m/>
    <s v="Operador  al momento de realizar la tarea de descarga camión con neumáticos delantero provoca daño la puerta baranda (se hunde)."/>
    <x v="9"/>
    <d v="1899-12-30T17:35:00"/>
    <s v="‌almacén 4 - Arica"/>
    <s v="Operacion inadecuada"/>
    <x v="0"/>
    <s v="SI"/>
    <s v="NO"/>
    <m/>
    <s v="No Aplica"/>
    <s v="Bajo"/>
    <s v="No Aplica"/>
    <s v="Sin Lesión"/>
    <s v="Ultraport"/>
    <s v="Bono Turno"/>
    <s v="No Aplica"/>
    <s v="Sin responsabilidad de operador"/>
    <s v="Recepción, Consolidado y Embarque de Graneles Limpios"/>
    <x v="4"/>
    <s v="Descarga"/>
    <s v="JORGE DONOSO"/>
    <s v="Ultraport"/>
    <s v="Renta Fija"/>
    <s v="Eduardo Aravena"/>
    <s v="Ultraport"/>
    <s v="viernes"/>
    <s v="2°"/>
    <n v="0"/>
    <n v="0"/>
    <s v="N/A"/>
    <s v="N/A"/>
  </r>
  <r>
    <n v="18"/>
    <s v="RAMOS LOYOLA RICARDO SEBASTIAN"/>
    <n v="36"/>
    <s v="16.771.118-9"/>
    <s v="Masculino"/>
    <s v="OPERADOR MC"/>
    <s v="Mayor a 3 años"/>
    <m/>
    <s v="Operador al momento de consolidar el primer contenedor con Soya a granel pasa a llevar la parte lateral de este provocando en un corte aproximadamente 15 cm. "/>
    <x v="10"/>
    <d v="1899-12-30T01:25:00"/>
    <s v="‌almacén 4 - Arica"/>
    <s v="Operacion inadecuada"/>
    <x v="0"/>
    <s v="SI"/>
    <s v="NO"/>
    <m/>
    <s v="No Aplica"/>
    <s v="Bajo"/>
    <s v="No Aplica"/>
    <s v="Sin Lesión"/>
    <s v="Ultraport"/>
    <s v="Bono Turno"/>
    <s v="Negativo"/>
    <m/>
    <s v="Recepción, Consolidado y Embarque de Graneles Limpios"/>
    <x v="10"/>
    <s v="Consolidación"/>
    <s v="JORGE VERGARA"/>
    <s v="Ultraport"/>
    <s v="Renta Fija"/>
    <s v="Danko Arias"/>
    <s v="TPA"/>
    <s v="sábado"/>
    <s v="3°"/>
    <n v="0"/>
    <n v="0"/>
    <s v="N/A"/>
    <s v="N/A"/>
  </r>
  <r>
    <n v="19"/>
    <s v="RAMOS LOYOLA RICARDO SEBASTIAN"/>
    <n v="36"/>
    <s v="16.771.118-9"/>
    <s v="Masculino"/>
    <s v="OPERADOR MC"/>
    <s v="Mayor a 3 años"/>
    <m/>
    <s v="Operador al momento de ser despachado de almacén 4 dirigiéndose a taller de mantenimiento para entrega de equipo se percata de un amago de incendio en la parte del motor, deteniendo el equipo e informando a yard cargo que se encontraba en el sector para que informe a mantenimiento vía radial. "/>
    <x v="10"/>
    <d v="1899-12-30T20:20:00"/>
    <s v="‌almacén 4 - Arica"/>
    <s v="Falla de equipo"/>
    <x v="0"/>
    <s v="SI"/>
    <s v="NO"/>
    <m/>
    <s v="No Aplica"/>
    <s v="Bajo"/>
    <s v="No Aplica"/>
    <s v="Sin Lesión"/>
    <s v="Ultraport"/>
    <s v="Bono Turno"/>
    <s v="No Aplica"/>
    <s v="Sin responsabilidad de operador"/>
    <s v="Recepción, Consolidado y Embarque de Graneles Limpios"/>
    <x v="10"/>
    <s v="Consolidación"/>
    <s v="SAID VERGARA"/>
    <s v="Ultraport"/>
    <s v="Renta Fija"/>
    <s v="Danko Arias"/>
    <s v="TPA"/>
    <s v="sábado"/>
    <s v="2°"/>
    <n v="0"/>
    <n v="0"/>
    <s v="N/A"/>
    <s v="N/A"/>
  </r>
  <r>
    <n v="20"/>
    <s v="CORTES ROJAS REGINALDO ANTONIO"/>
    <n v="36"/>
    <s v="16.769.840-9"/>
    <s v="Masculino"/>
    <s v="OPERADOR CF"/>
    <s v="Mayor a 3 años"/>
    <m/>
    <s v="Operador al momento de descargar camión boliviano, no se percata qué baranda del lado contrario se habían salido de su posición Al momento de orillar el camión provoca daño en baranda."/>
    <x v="11"/>
    <d v="1899-12-30T02:30:00"/>
    <s v="‌almacén 4 - Arica"/>
    <s v="Compuerta se encontraba tapada con soya"/>
    <x v="0"/>
    <s v="SI"/>
    <s v="NO"/>
    <m/>
    <s v="No Aplica"/>
    <s v="Bajo"/>
    <s v="No Aplica"/>
    <s v="Sin Lesión"/>
    <s v="Ultraport"/>
    <s v="Bono Turno"/>
    <s v="Negativo"/>
    <m/>
    <s v="Recepción, Consolidado y Embarque de Graneles Limpios"/>
    <x v="4"/>
    <s v="Descarga"/>
    <s v="Sin informacion"/>
    <s v="Sin informacion"/>
    <s v="Sin informacion"/>
    <s v="Sin informacion"/>
    <s v="Sin informacion"/>
    <s v="lunes"/>
    <s v="3°"/>
    <n v="0"/>
    <n v="0"/>
    <s v="N/A"/>
    <s v="N/A"/>
  </r>
  <r>
    <n v="21"/>
    <s v="VILLENA BARRAZA NICOLAS IGNACIO"/>
    <n v="27"/>
    <s v="19.356.612-K"/>
    <s v="Masculino"/>
    <s v="OPERADOR TC"/>
    <s v="Entre 1 y 3 años"/>
    <m/>
    <s v="Operador quien se encontraba trasladándose con dirección a zona 39A luego de salir de estación de piñas a la altura del codo, se percata que cabina de equipo se empieza a levantar sin intervención de él, por lo que detiene inmediatamente equipo y da aviso a Jefe de Nave UPORT."/>
    <x v="12"/>
    <d v="1899-12-30T18:40:00"/>
    <s v="‌Sitio 4 - Arica"/>
    <s v="Falla electrica de equipo"/>
    <x v="0"/>
    <s v="SI"/>
    <s v="NO"/>
    <m/>
    <s v="No Aplica"/>
    <s v="Bajo"/>
    <s v="No Aplica"/>
    <s v="Sin Lesión"/>
    <s v="Ultraport"/>
    <s v="Bono Turno"/>
    <s v="No Aplica"/>
    <s v="Sin responsabilidad de operador"/>
    <s v="Transferencia de Contenedores Grúa Nave y Grúa Tierra"/>
    <x v="1"/>
    <s v="Transferencia"/>
    <s v="CHRISTOPHER TAPIA"/>
    <s v="Ultraport"/>
    <s v="Renta Fija"/>
    <s v="Gustavo Tavali"/>
    <s v="Ultraport"/>
    <s v="lunes"/>
    <s v="2°"/>
    <n v="0"/>
    <n v="0"/>
    <s v="N/A"/>
    <s v="N/A"/>
  </r>
  <r>
    <n v="22"/>
    <s v="SALINAS PIÑONES VICENTE PAUL"/>
    <n v="63"/>
    <s v="8.234.621-K"/>
    <s v="Masculino"/>
    <s v="MOVILIZADOR"/>
    <s v="Mayor a 3 años"/>
    <m/>
    <s v="colaborador que se encontraba en faenas de patio, bajar y subir puertas, se empezó a sentir mal y paso a IST poli puerto para que lo atendieran, donde se encontró con la presión alta el cual lo invitaron atenderse en forma particular"/>
    <x v="13"/>
    <d v="1899-12-30T10:31:00"/>
    <s v="‌Terminal de contenedores - Arica"/>
    <s v="N/A"/>
    <x v="3"/>
    <s v="NO"/>
    <s v="NO"/>
    <s v="NO"/>
    <s v="No Aplica"/>
    <s v="Bajo"/>
    <s v="No Aplica"/>
    <s v="Sin Lesión"/>
    <s v="Ultraport"/>
    <s v="Bono Turno"/>
    <s v="No Aplica"/>
    <s v="No aplica"/>
    <s v="N/A"/>
    <x v="11"/>
    <s v="N/A"/>
    <s v="N/A"/>
    <s v="N/A"/>
    <s v="N/A"/>
    <s v="N/A"/>
    <s v="N/A"/>
    <s v="viernes"/>
    <s v="1°"/>
    <s v="N/A"/>
    <s v="N/A"/>
    <s v="N/A"/>
    <s v="N/A"/>
  </r>
  <r>
    <n v="23"/>
    <s v="FIGUEROA MAIPIL LUIS NICOLAS"/>
    <n v="37"/>
    <s v="16.227.007-9"/>
    <s v="Masculino"/>
    <s v="OPERADOR GH"/>
    <s v="Mayor a 3 años"/>
    <m/>
    <s v="Operador al desconsolidar sacas de mineral y generar levante de arbol de gh toca linea de vida soltando una barra de anclaje la cual estaba con fatiga de material."/>
    <x v="14"/>
    <d v="1899-12-30T02:35:00"/>
    <s v="‌Almacén 8 - Arica"/>
    <s v="Fatiga de Material"/>
    <x v="0"/>
    <s v="SI"/>
    <s v="NO"/>
    <m/>
    <s v="No Aplica"/>
    <s v="Bajo"/>
    <s v="No Aplica"/>
    <s v="Sin Lesión"/>
    <s v="Ultraport"/>
    <s v="Bono Turno"/>
    <s v="No Aplica"/>
    <s v="Sin responsabilidad de operador"/>
    <s v="Recepción y Consolidado en Big Bag"/>
    <x v="12"/>
    <s v="Consolidado"/>
    <s v="SANDRO ZAVALA"/>
    <s v="Ultraport"/>
    <s v="Renta Fija"/>
    <s v="Sin informacion"/>
    <s v="Sin informacion"/>
    <s v="miércoles"/>
    <m/>
    <n v="0"/>
    <n v="0"/>
    <s v="N/A"/>
    <s v="N/A"/>
  </r>
  <r>
    <n v="24"/>
    <s v="CORDOVEZ WILSON JONATAN ALEJANDRO"/>
    <n v="42"/>
    <s v="14.104.373-0"/>
    <s v="Masculino"/>
    <s v="WINCHERO"/>
    <s v="Mayor a 3 años"/>
    <m/>
    <s v="Colaborador al momento de realizar maniobra deja draga sobre pasillo de nave a solicitud de tripulación de la nave para acortar maniobras de levante. Al momento de volver levantar la draga pierde control de ella, provocando el golpe y daño a baranda de nave. "/>
    <x v="14"/>
    <d v="1899-12-30T13:00:00"/>
    <s v="‌Sitio 2B - Arica"/>
    <s v="Maniobra inadecuada"/>
    <x v="0"/>
    <s v="SI"/>
    <s v="NO"/>
    <m/>
    <s v="No Aplica"/>
    <s v="Bajo"/>
    <s v="No Aplica"/>
    <s v="Sin Lesión"/>
    <s v="Ultraport"/>
    <s v="Bono Turno"/>
    <s v="No Aplica"/>
    <m/>
    <s v="Transferencia de Clinker"/>
    <x v="13"/>
    <s v="Descarga"/>
    <s v="SAMUEL PEREA"/>
    <s v="Ultraport"/>
    <s v="Renta Fija"/>
    <s v="Francisco Troncoso"/>
    <s v="TPA"/>
    <s v="miércoles"/>
    <m/>
    <n v="0"/>
    <n v="0"/>
    <s v="N/A"/>
    <s v="N/A"/>
  </r>
  <r>
    <n v="25"/>
    <s v="GODOY ROMERO PATRICIO IGNACIO"/>
    <n v="23"/>
    <s v="20.218.003-5"/>
    <s v="Masculino"/>
    <s v="OPERADOR TC"/>
    <s v="Menor a 1 año"/>
    <m/>
    <s v="Operador de tracto camión que se encontraba en función en las estaciones de piña, comenta que al bajar el vidrio para recibir instrucciones entra en su ojo izquierdo una partícula ocasionando molestias, siendo atendido en dos ocasiones en poli puerto donde se realizó un lavado de su ojo, prosiguiendo después con su labor nuevamente."/>
    <x v="15"/>
    <d v="1899-12-30T17:50:00"/>
    <s v="‌Sitio 4 - Arica"/>
    <s v="No uso de EPP"/>
    <x v="3"/>
    <s v="NO"/>
    <s v="NO"/>
    <s v="NO"/>
    <s v="No Aplica"/>
    <s v="Bajo"/>
    <s v="No Aplica"/>
    <s v="Sin Lesión"/>
    <s v="Ultraport"/>
    <s v="Bono Turno"/>
    <s v="Negativo"/>
    <m/>
    <s v="N/A"/>
    <x v="11"/>
    <s v="N/A"/>
    <s v="N/A"/>
    <s v="N/A"/>
    <s v="N/A"/>
    <s v="N/A"/>
    <s v="N/A"/>
    <s v="jueves"/>
    <s v="2°"/>
    <s v="N/A"/>
    <s v="N/A"/>
    <s v="N/A"/>
    <s v="N/A"/>
  </r>
  <r>
    <n v="26"/>
    <s v="PRADA PASTEN MARCOS GABRIEL IGNACIO"/>
    <n v="25"/>
    <s v="19.869.154-2"/>
    <s v="Masculino"/>
    <s v="OPERADOR RS"/>
    <s v="Entre 1 y 3 años"/>
    <m/>
    <s v="Operador se encontraba realizando movimiento de contenedores en bloque, cuando al retroceder con contenedor tomado hacia la izquierda, no se percata y topa con contendor que se encontraba al respaldar, provocando pequeño rayón en equipo."/>
    <x v="16"/>
    <d v="1899-12-30T14:30:00"/>
    <s v="‌Terminal de contenedores - Arica"/>
    <s v="Maniobra inadecuada"/>
    <x v="0"/>
    <s v="SI"/>
    <s v="SI"/>
    <m/>
    <s v="No Aplica"/>
    <s v="Bajo"/>
    <s v="No Aplica"/>
    <s v="Sin Lesión"/>
    <s v="Ultraport"/>
    <s v="Bono Turno"/>
    <s v="Negativo"/>
    <m/>
    <s v="Transferencia de Contenedores Grúa Nave y Grúa Tierra"/>
    <x v="1"/>
    <s v="Transferencia"/>
    <s v="SAID VERGARA"/>
    <s v="Ultraport"/>
    <s v="Renta Fija"/>
    <s v="Edgardo Maya"/>
    <s v="TPA"/>
    <s v="lunes"/>
    <s v="1°"/>
    <n v="0"/>
    <n v="0"/>
    <s v="N/A"/>
    <s v="N/A"/>
  </r>
  <r>
    <n v="27"/>
    <s v="BUSTOS MONTANARES JOHON - CALLE LAZARO JOSE "/>
    <n v="38"/>
    <s v="16.434.798-2 / 18.787.620-6"/>
    <s v="Masculino"/>
    <s v="MOVILIZADOR"/>
    <s v="Mayor a 3 años"/>
    <m/>
    <s v=" En la tarea descarga de asfalto, movilizadores al momento de levantar la manga, se caen paños de tubos por ruptura de soporte quedando colgados por la piola de izaje"/>
    <x v="16"/>
    <d v="1899-12-30T19:00:00"/>
    <s v="‌Sitio 3 - Arica"/>
    <s v="Fatiga de Material"/>
    <x v="0"/>
    <s v="SI"/>
    <s v="NO"/>
    <m/>
    <s v="No Aplica"/>
    <s v="Bajo"/>
    <s v="No Aplica"/>
    <s v="Sin Lesión"/>
    <s v="Ultraport"/>
    <s v="CPPT"/>
    <s v="No Aplica"/>
    <s v="Fatiga de material"/>
    <s v="Transferencia de Asfalto"/>
    <x v="14"/>
    <s v="Descarga asfalto"/>
    <s v="SAID VERGARA"/>
    <s v="Ultraport"/>
    <s v="Renta Fija"/>
    <s v="Raul Rojas"/>
    <s v="Ultraport"/>
    <s v="lunes"/>
    <s v="2°"/>
    <n v="0"/>
    <n v="0"/>
    <s v="N/A"/>
    <s v="N/A"/>
  </r>
  <r>
    <n v="28"/>
    <s v="SOTO CHOQUE CHRISTIAN LEONARDO"/>
    <n v="33"/>
    <s v="17.556.896-4"/>
    <s v="Masculino"/>
    <s v="MOVILIZADOR"/>
    <s v="Entre 1 y 3 años"/>
    <m/>
    <s v="Colaborador  se encontraba realizando armado de lingas con sacos de 50 kilos con si collera, al momento de posicionar saco, éste cae en mala posición y al momento de corregir la posición siente dolor en parte baja de su espalda."/>
    <x v="16"/>
    <d v="1899-12-30T17:35:00"/>
    <s v="Almacén 2"/>
    <s v="Mala postura"/>
    <x v="3"/>
    <s v="NO"/>
    <s v="NO"/>
    <s v="NO"/>
    <s v="No Aplica"/>
    <s v="Bajo"/>
    <s v="No Aplica"/>
    <s v="Cadera/Cintura"/>
    <s v="Ultraport"/>
    <s v="CPPT"/>
    <s v="Negativo"/>
    <m/>
    <s v="N/A"/>
    <x v="11"/>
    <s v="N/A"/>
    <s v="N/A"/>
    <s v="N/A"/>
    <s v="N/A"/>
    <s v="N/A"/>
    <s v="N/A"/>
    <s v="lunes"/>
    <s v="2°"/>
    <s v="N/A"/>
    <s v="N/A"/>
    <s v="N/A"/>
    <s v="N/A"/>
  </r>
  <r>
    <n v="29"/>
    <s v="CORTES ROJAS REGINALDO ANTONIO"/>
    <n v="36"/>
    <s v="16.769.840-9"/>
    <s v="Masculino"/>
    <s v="OPERADOR MC"/>
    <s v="Mayor a 3 años"/>
    <m/>
    <s v="Colaborador se encontraba realizando descarga de camión, cuando por condiciones de rampla de camión, pasa a llevar estructura de esta, provocando leve daño, recalcar que conductor boliviano no da aviso de condición de rampla."/>
    <x v="17"/>
    <d v="1899-12-30T12:30:00"/>
    <s v="‌almacén 4 - Arica"/>
    <s v="Condicion subestandar"/>
    <x v="0"/>
    <s v="SI"/>
    <s v="NO"/>
    <m/>
    <s v="No Aplica"/>
    <s v="Bajo"/>
    <s v="No Aplica"/>
    <s v="Sin Lesión"/>
    <s v="Ultraport"/>
    <s v="Bono Turno"/>
    <s v="No Aplica"/>
    <s v="Por condicion"/>
    <s v="Recepción, Consolidado y Embarque de Graneles Limpios"/>
    <x v="4"/>
    <s v="Descarga"/>
    <s v="ALFREDO LOPEZ"/>
    <s v="Ultraport"/>
    <s v="Renta Fija"/>
    <s v="Luis Roa"/>
    <s v="TPA"/>
    <s v="miércoles"/>
    <m/>
    <n v="0"/>
    <n v="0"/>
    <s v="N/A"/>
    <s v="N/A"/>
  </r>
  <r>
    <n v="30"/>
    <s v="PALMA OCHOA RAMON ALBERTO"/>
    <n v="39"/>
    <s v="15.947.773-8"/>
    <s v="Masculino"/>
    <s v="OPERADOR CF"/>
    <s v="Entre 1 y 3 años"/>
    <m/>
    <s v="Operador  al momento remontar carga pasa a llevar compuerta de camión , por el desnivel de piso hace que el balde se desplace hacia el camion provocando el daño.    "/>
    <x v="18"/>
    <d v="1899-12-30T12:26:00"/>
    <s v="‌almacén 4 - Arica"/>
    <s v="Condicion subestandar"/>
    <x v="0"/>
    <s v="SI"/>
    <s v="NO"/>
    <m/>
    <s v="No Aplica"/>
    <s v="Bajo"/>
    <s v="No Aplica"/>
    <s v="Sin Lesión"/>
    <s v="Ultraport"/>
    <s v="Bono Turno"/>
    <s v="Negativo"/>
    <m/>
    <s v="Recepción, Consolidado y Embarque de Graneles Limpios"/>
    <x v="4"/>
    <s v="Descarga"/>
    <s v="ALFREDO LOPEZ"/>
    <s v="Ultraport"/>
    <s v="Renta Fija"/>
    <s v="Sin informacion"/>
    <s v="Sin informacion"/>
    <s v="jueves"/>
    <s v="1°"/>
    <n v="0"/>
    <n v="0"/>
    <s v="N/A"/>
    <s v="N/A"/>
  </r>
  <r>
    <n v="31"/>
    <s v="VILLENA BARRAZA NICOLAS IGNACIO"/>
    <n v="28"/>
    <s v="19.356.612-K"/>
    <s v="Masculino"/>
    <s v="OPERADOR MC"/>
    <s v="Mayor a 3 años"/>
    <m/>
    <s v="Operador al momento de estar en faenas de Trimado en la bodega 2 nave corral, detecta que bloque hidráulico se sale de su base."/>
    <x v="18"/>
    <d v="1899-12-30T10:00:00"/>
    <s v="‌Sitio 2B - Arica"/>
    <s v="Maniobra inadecuada"/>
    <x v="0"/>
    <s v="SI"/>
    <s v="SI"/>
    <m/>
    <s v="No Aplica"/>
    <s v="Bajo"/>
    <s v="No Aplica"/>
    <s v="Sin Lesión"/>
    <s v="Ultraport"/>
    <s v="Bono Turno"/>
    <s v="No Aplica"/>
    <s v="Fatiga de material"/>
    <s v="Transferencia de Graneles Limpios"/>
    <x v="15"/>
    <s v="Transferencia"/>
    <s v="VLADIMIR VEGA"/>
    <s v="Ultraport"/>
    <s v="Renta Fija"/>
    <s v="Gustavo Tavali"/>
    <s v="Ultraport"/>
    <s v="jueves"/>
    <m/>
    <n v="0"/>
    <n v="0"/>
    <s v="N/A"/>
    <s v="N/A"/>
  </r>
  <r>
    <n v="32"/>
    <s v="PEREZ NUÑEZ FRANCISCO JAVIER"/>
    <n v="49"/>
    <s v="12.832.590-5"/>
    <s v="Masculino"/>
    <s v="PRACTICA OPERADOR GH"/>
    <s v="Menor a 1 año"/>
    <m/>
    <s v="colaborador en función de operador GH (práctica operativa), al momento de retirar pallets de contenedor por condición de carga este se cae al suelo. cabe mencionar que la carga no sufrió daños."/>
    <x v="19"/>
    <d v="1899-12-30T10:50:00"/>
    <s v="‌Sector Norte - Arica"/>
    <s v="Condicion de carga"/>
    <x v="0"/>
    <s v="SI"/>
    <s v="NO"/>
    <m/>
    <s v="No Aplica"/>
    <s v="Bajo"/>
    <s v="No Aplica"/>
    <s v="Sin Lesión"/>
    <s v="Ultraport"/>
    <s v="Bono Turno"/>
    <s v="No Aplica"/>
    <s v="Sin responsabilidad "/>
    <s v="Desconsolidado y Manipulación Carga General"/>
    <x v="16"/>
    <s v="Desconsolidado"/>
    <s v="JORGE DONOSO"/>
    <s v="Ultraport"/>
    <s v="Renta Fija"/>
    <s v="Francisco Gonzalez"/>
    <s v="TPA"/>
    <s v="martes"/>
    <s v="1°"/>
    <n v="0"/>
    <n v="0"/>
    <s v="N/A"/>
    <s v="N/A"/>
  </r>
  <r>
    <n v="33"/>
    <s v="BOBADILLA MONTOYA PABLO CESAR"/>
    <n v="40"/>
    <s v="15.562.033-1"/>
    <s v="Masculino"/>
    <s v="OPERADOR RS"/>
    <s v="Mayor a 3 años"/>
    <m/>
    <s v="En el proceso de movimiento contenedores en sector 33 operador de RS,  al momento de tomar contenedor Primera fila 4 de alto el contenedor que se encontraba 5 de alto en la fila de atrás se encontraba sobre el 4 de alto y al tener un peso de 5 toneladas operador no se percata del desplazamiento de este."/>
    <x v="19"/>
    <d v="1899-12-30T16:00:00"/>
    <s v="‌Terminal de contenedores - Arica"/>
    <s v="Condicion de ruma"/>
    <x v="0"/>
    <s v="SI"/>
    <s v="NO"/>
    <m/>
    <s v="No Aplica"/>
    <s v="Bajo"/>
    <s v="No Aplica"/>
    <s v="Sin Lesión"/>
    <s v="Ultraport"/>
    <s v="Bono Turno"/>
    <s v="No Aplica"/>
    <s v="Sin responsabilidad "/>
    <s v="Transferencia de Contenedores Grúa Nave y Grúa Tierra"/>
    <x v="1"/>
    <s v="Transferencia de contenedores"/>
    <s v="SAID VERGARA"/>
    <s v="Ultraport"/>
    <s v="Renta Fija"/>
    <s v="Edgardo Maya"/>
    <s v="TPA"/>
    <s v="martes"/>
    <s v="2°"/>
    <n v="0"/>
    <n v="0"/>
    <s v="N/A"/>
    <s v="N/A"/>
  </r>
  <r>
    <n v="34"/>
    <s v="HERRERA JELVEZ HECTOR ANDRES"/>
    <n v="36"/>
    <s v="16.671.471-0"/>
    <s v="Masculino"/>
    <s v="PRACTICA OPERADOR GH"/>
    <s v="Menor a 1 año"/>
    <m/>
    <s v="Operador al momento de traslado de pallets con sacos al camión,  realiza un giro de 90 grados lo cual originó el volcamiento de lo antes mencionado dañando 02 sacos."/>
    <x v="20"/>
    <d v="1899-12-30T11:00:00"/>
    <s v="‌Sector Norte - Arica"/>
    <s v="Maniobra inadecuada por proceso de practica"/>
    <x v="0"/>
    <s v="SI"/>
    <s v="NO"/>
    <m/>
    <s v="No Aplica"/>
    <s v="Bajo"/>
    <s v="No Aplica"/>
    <s v="Sin Lesión"/>
    <s v="Ultraport"/>
    <s v="Bono Turno"/>
    <s v="Negativo"/>
    <m/>
    <s v="Desconsolidado y Manipulación Carga General"/>
    <x v="17"/>
    <s v="Desconsolidado"/>
    <s v="CHRISTOPHER TAPIA"/>
    <s v="Ultraport"/>
    <s v="Renta Fija"/>
    <s v="Freddy Salgado"/>
    <s v="Ultraport"/>
    <s v="miércoles"/>
    <s v="1°"/>
    <n v="0"/>
    <n v="0"/>
    <s v="N/A"/>
    <s v="N/A"/>
  </r>
  <r>
    <n v="35"/>
    <s v="AGUILAR BELTRAN NELSON PATRICIO"/>
    <n v="52"/>
    <s v="10.988.814-1"/>
    <s v="Masculino"/>
    <s v="OPERADOR CF"/>
    <s v="Mayor a 3 años"/>
    <m/>
    <s v="Operador al momento de remontar soya en sector F4, golpea con balde de equipo riel de tren que se encontraba tapado de carga,  lo cual provoca trizadura de parabrisa y daño en cuchilla. "/>
    <x v="20"/>
    <d v="1899-12-30T17:25:00"/>
    <s v="‌almacén 4 - Arica"/>
    <s v="Condicion de riel"/>
    <x v="0"/>
    <s v="SI"/>
    <s v="SI"/>
    <m/>
    <s v="No Aplica"/>
    <s v="Bajo"/>
    <s v="No Aplica"/>
    <s v="Sin Lesión"/>
    <s v="Ultraport"/>
    <s v="Eventual"/>
    <s v="No Aplica"/>
    <s v="Sin responsabilidad"/>
    <s v="Recepción, Consolidado y Embarque de Graneles Limpios"/>
    <x v="4"/>
    <s v="Descarga"/>
    <s v="CHRISTOPHER TAPIA"/>
    <s v="Ultraport"/>
    <s v="Renta Fija"/>
    <s v="Mauricio Navarro"/>
    <s v="Ultraport"/>
    <s v="miércoles"/>
    <s v="2°"/>
    <n v="0"/>
    <n v="0"/>
    <s v="N/A"/>
    <s v="N/A"/>
  </r>
  <r>
    <n v="36"/>
    <s v="CABEZAS CABEZAS BASTIAN ALEXANDER"/>
    <n v="20"/>
    <s v="21.482.784-0"/>
    <s v="Masculino"/>
    <s v="OPERADOR GH"/>
    <s v="Menor a 1 año"/>
    <m/>
    <s v="Operador, 20 años, asignado al 3° Turno, se encontraba realizando llenado de contenedores con Big Bag dentro del almacén 8, en el transcurso de la actividad al bajar un big bag al suelo, este retrocede y no se percata que las asas quedan enganchadas en el aditamento, rompiendo de ellas provocando caída de mineral al suelo."/>
    <x v="20"/>
    <d v="1899-12-30T15:25:00"/>
    <s v="‌Almacén 8 - Arica"/>
    <s v="Mala operación"/>
    <x v="1"/>
    <s v="SI"/>
    <s v="SI"/>
    <s v="NO"/>
    <s v="Leve"/>
    <s v="Bajo"/>
    <s v="No Aplica"/>
    <s v="Sin Lesión"/>
    <s v="Ultraport"/>
    <s v="CPPT"/>
    <s v="Negativo"/>
    <m/>
    <s v="Recepción y Consolidado en Big Bag"/>
    <x v="6"/>
    <s v="Consolidado de sacas"/>
    <s v="SAID VERGARA"/>
    <s v="Ultraport"/>
    <s v="Renta Fija"/>
    <s v="Alan Vega"/>
    <s v="TPA"/>
    <s v="miércoles"/>
    <s v="3°"/>
    <n v="0"/>
    <n v="0.5"/>
    <s v="15 kg"/>
    <s v="GH E-03"/>
  </r>
  <r>
    <n v="37"/>
    <s v="ZEPEDA SANTIAGO JUAN"/>
    <n v="44"/>
    <s v="13.637.904-6"/>
    <s v="Masculino"/>
    <s v="OPERADOR RS"/>
    <s v="Mayor a 3 años"/>
    <m/>
    <s v="Operador RS 0045 Juan Zepeda al momento de recepción de contenedor en sitio 4 costado nave al mirar por cámara de retroceso se percata que había un manchón en el piso por lo cual precede a detener el equipo y se baja a verificar, encontrándose que el equipo tenia perdida de aceite. Derrame aproximado 03 litros."/>
    <x v="21"/>
    <d v="1899-12-30T13:20:00"/>
    <s v="‌Sitio 4 - Arica"/>
    <s v="Fatiga de Material"/>
    <x v="1"/>
    <s v="SI"/>
    <s v="NO"/>
    <s v="NO"/>
    <s v="Leve"/>
    <s v="Bajo"/>
    <s v="No Aplica"/>
    <s v="Sin Lesión"/>
    <s v="Ultraport"/>
    <s v="Bono Turno"/>
    <s v="No Aplica"/>
    <m/>
    <s v="Descarga graneles limpios"/>
    <x v="18"/>
    <s v="Embarque"/>
    <s v="SEBASTIAN MURA"/>
    <s v="Ultraport"/>
    <s v="Renta Fija"/>
    <s v="N/A"/>
    <s v="N/A"/>
    <s v="miércoles"/>
    <s v="1°"/>
    <n v="0"/>
    <n v="0"/>
    <s v="0,3 Litros"/>
    <m/>
  </r>
  <r>
    <n v="38"/>
    <s v="ARAVENA MATURANA CLAUDIO HERNAN"/>
    <n v="54"/>
    <s v="10881192-7"/>
    <s v="Masculino"/>
    <s v="MOVILIZADOR"/>
    <s v="Mayor a 3 años"/>
    <m/>
    <s v="Movilizador se encontraba realizando la tarea de desconsolado (sacos), en dónde manifiesta mareos y náuseas, de forma inmediata es derivado a IST para una evaluación._x000a_La evaluación de IST nos indica que presenta la presión baja, se controla nuevamente a los 10 minutos y es normalizada, en dónde por precaución es derivado a su domicilio."/>
    <x v="21"/>
    <d v="1899-12-30T17:00:00"/>
    <s v="‌Sector IMO - Arica"/>
    <s v="N/A"/>
    <x v="3"/>
    <s v="NO"/>
    <s v="NO"/>
    <s v="NO"/>
    <s v="No Aplica"/>
    <s v="Bajo"/>
    <s v="No Aplica"/>
    <s v="Sin Lesión"/>
    <s v="Ultraport"/>
    <s v="CPPT"/>
    <s v="No Aplica"/>
    <s v="No aplica"/>
    <s v="N/A"/>
    <x v="11"/>
    <s v="N/A"/>
    <s v="N/A"/>
    <s v="N/A"/>
    <s v="N/A"/>
    <s v="N/A"/>
    <s v="N/A"/>
    <s v="miércoles"/>
    <s v="2°"/>
    <s v="N/A"/>
    <s v="N/A"/>
    <s v="N/A"/>
    <s v="N/A"/>
  </r>
  <r>
    <n v="39"/>
    <s v="VALENCIA ABARCA ROBERTO GERALD"/>
    <n v="37"/>
    <s v="18.599.651-4"/>
    <s v="Masculino"/>
    <s v="OPERADOR RS"/>
    <s v="Menor a 1 año"/>
    <m/>
    <s v="Jueves 07 de marzo operador de equipo RS, 37 años, a las 12:30 en momento en el cual se encontraba en su media hora de descanso en snack de TECO  (oficina de terminal) se percata que en equipo TC N°09 que se encontraba parqueado, tenia un papel pillado en su parabrisa, al levantar plumilla para retirar papel esta se rompe y por la presión que se genera al volver a su posición golpea parabrisa provocando trizadura en la parte baja."/>
    <x v="22"/>
    <d v="1899-12-30T12:30:00"/>
    <s v="‌Terminal de contenedores - Arica"/>
    <s v="Acción subestandar"/>
    <x v="0"/>
    <s v="SI"/>
    <s v="SI"/>
    <m/>
    <s v="No Aplica"/>
    <s v="Bajo"/>
    <s v="No Aplica"/>
    <s v="Sin Lesión"/>
    <s v="Ultraport"/>
    <s v="Bono Turno"/>
    <s v="Negativo"/>
    <m/>
    <s v="N/A"/>
    <x v="11"/>
    <s v="N/A"/>
    <s v="SAID VERGARA"/>
    <s v="Ultraport"/>
    <s v="Renta Fija"/>
    <s v="Edgardo Maya"/>
    <s v="TPA"/>
    <s v="jueves"/>
    <s v="1°"/>
    <n v="0"/>
    <m/>
    <s v="N/A"/>
    <s v="N/A"/>
  </r>
  <r>
    <n v="40"/>
    <s v="HEREDIA SAMY (TPA)"/>
    <n v="39"/>
    <s v="15.695.326-1"/>
    <s v="Masculino"/>
    <s v="OPERADOR GH"/>
    <s v="Entre 1 y 3 años"/>
    <m/>
    <s v="Operador Samy Heredia (TPA) quien operaba GH 242 da aviso de daño en conexión de manguera de Gas. Por manipulación de soporte de estanque de gas. "/>
    <x v="23"/>
    <d v="1899-12-30T11:30:00"/>
    <s v="‌Sitio 3 - Arica"/>
    <s v="Manipulación soporte gas"/>
    <x v="0"/>
    <s v="SI"/>
    <s v="NO"/>
    <m/>
    <s v="Leve"/>
    <s v="Bajo"/>
    <s v="No Aplica"/>
    <s v="Sin Lesión"/>
    <s v="TPA"/>
    <s v="N/A"/>
    <s v="No Aplica"/>
    <s v="No aplica"/>
    <s v="Sin informacion"/>
    <x v="19"/>
    <s v="Movilización de materiales"/>
    <s v="OSVALDO DÍAZ"/>
    <s v="Ultraport"/>
    <s v="No aplica"/>
    <s v="Alfredo Cerezo"/>
    <s v="Ultraport"/>
    <s v="martes"/>
    <s v="1°"/>
    <s v="N/A"/>
    <s v="N/A"/>
    <s v="N/A"/>
    <s v="N/A"/>
  </r>
  <r>
    <n v="41"/>
    <s v="VILLENA BARRAZA NICOLAS IGNACIO"/>
    <n v="27"/>
    <s v="19.356.612-K"/>
    <s v="Masculino"/>
    <s v="OPERADOR CF"/>
    <s v="Mayor a 3 años"/>
    <m/>
    <s v="Viernes 15 de marzo operador de Cargador Frontal N°071, 27 años, se encontraba al interior de almacén 4, a las 21:15 detenido a la espera del barrido de girasol por equipo Mini Cargador, para proseguir con el carguío de camiones tolva, momento en el cual recibe un aviso por radio de un amago de incendio en la parte posterior del equipo, en el compartimiento de motor del cargador frontal, por lo que operador sale de cabina posicionándose en plataforma en donde percuta extintor logrando controlar emergencia, seguido a eso acude personal de TPA a brindar apoyo con extintor."/>
    <x v="24"/>
    <d v="1899-12-30T21:15:00"/>
    <s v="‌almacén 4 - Arica"/>
    <s v="Contacto de granel limpio (girasol) con partes calientes del compartimiento de motor del equipo móvil."/>
    <x v="2"/>
    <s v="SI"/>
    <s v="NO"/>
    <m/>
    <s v="Leve"/>
    <s v="Alto"/>
    <s v="No Aplica"/>
    <s v="Pecho/Tórax"/>
    <s v="Ultraport"/>
    <s v="Bono Turno"/>
    <s v="No Aplica"/>
    <s v="Sin responsabilidad"/>
    <s v="Transferencia de Graneles Limpios"/>
    <x v="20"/>
    <s v="Embarque"/>
    <s v="SAID VERGARA"/>
    <s v="Ultraport"/>
    <s v="Renta Fija"/>
    <s v="Thomas Tapia"/>
    <s v="TPA"/>
    <s v="viernes"/>
    <s v="2°"/>
    <n v="0"/>
    <m/>
    <s v="N/A"/>
    <s v="N/A"/>
  </r>
  <r>
    <n v="42"/>
    <s v="PEREIRA GARCIA JUAN CARLOS"/>
    <n v="59"/>
    <s v="9.397.555-3"/>
    <s v="Masculino"/>
    <s v="OPERADOR TC"/>
    <s v="Mayor a 3 años"/>
    <m/>
    <s v="miércoles 20 de marzo 2024 a las 15:00, tractocamión ultraport 106 que se encontraba en zona de parqueo de mantencion ultraport se desplaza en reversa y choca con equipo RS-54 en el lateral derecho, ahí es donde equipo de mantención se percata de lo sucedido dirigiéndose al lugar percatándose que equipo se encontraba sin operador y solo contaba con el parqueo de tracto aplicado, no así el de la rampla parqueado. Equipo fue dejado por operador al finalizar 1er turno"/>
    <x v="25"/>
    <d v="1899-12-30T15:00:00"/>
    <s v="‌Taller mantenimiento Arica"/>
    <s v="Acción inadecuada"/>
    <x v="0"/>
    <s v="SI"/>
    <s v="SI"/>
    <m/>
    <s v="No Aplica"/>
    <s v="Bajo"/>
    <s v="No Aplica"/>
    <s v="Sin Lesión"/>
    <s v="Ultraport"/>
    <s v="Bono Turno"/>
    <s v="No Realizado"/>
    <s v="Colaborador ya se habia retirado de puerto"/>
    <s v="Transferencia de Contenedores Grúa Nave y Grúa Tierra"/>
    <x v="1"/>
    <s v="Despacho de contenedores"/>
    <s v="BRANCO FUMEY"/>
    <s v="Ultraport"/>
    <s v="Renta Fija"/>
    <s v="Sin informacion"/>
    <s v="Sin informacion"/>
    <s v="miércoles"/>
    <s v="1°"/>
    <n v="0"/>
    <n v="0"/>
    <s v="N/A"/>
    <s v="N/A"/>
  </r>
  <r>
    <n v="43"/>
    <s v="REYES FUENZALIDA GONZALO ANDRES"/>
    <n v="40"/>
    <s v="15.008.897-6"/>
    <s v="Masculino"/>
    <s v="MOVILIZADOR"/>
    <s v="Entre 1 y 3 años"/>
    <m/>
    <s v="Sabado 23 de marzo colaborador en funcion de movilizador, 40 años, a las 12:15 al momento de levantar caja con zuncho (plástico) de 20kg desde el piso de contenedor a pallets de 4 de alto en sector norte 4 con la fuerza que ejerce se rompe el zuncho, en dónde se da un golpe con su mano derecha en el ojo derecho. "/>
    <x v="26"/>
    <d v="1899-12-30T12:15:00"/>
    <s v="‌Sector Norte - Arica"/>
    <s v="Manipulacion inadecuada de caja"/>
    <x v="0"/>
    <s v="SI"/>
    <s v="NO"/>
    <m/>
    <s v="No Aplica"/>
    <s v="Bajo"/>
    <s v="No Aplica"/>
    <s v="Ojo derecho"/>
    <s v="Ultraport"/>
    <s v="Bono Turno"/>
    <s v="Negativo"/>
    <m/>
    <s v="Desconsolidado y Manipulación Carga General"/>
    <x v="5"/>
    <s v="Desconsolidado"/>
    <s v="SAID VERGARA"/>
    <s v="Ultraport"/>
    <s v="Renta Fija"/>
    <s v="Alan Cortes"/>
    <s v="TPA"/>
    <s v="sábado"/>
    <s v="1°"/>
    <n v="0"/>
    <m/>
    <s v="N/A"/>
    <s v="N/A"/>
  </r>
  <r>
    <n v="44"/>
    <s v="PALMA OCHOA RAMON ALBERTO"/>
    <n v="39"/>
    <s v="15.947.773-8"/>
    <s v="Masculino"/>
    <s v="OPERADOR GH"/>
    <s v="Mayor a 3 años"/>
    <m/>
    <s v="Miercoles 27 de marzo a las 10:00 en sector IMO almacen 1, colaborador que operaba equipo grúa horquilla, al momento de desconsolidar big bag IMO 8 ONU 2949, la que estaba posicionada 2 de alto cae a piso generando derrame dentro de contenedor."/>
    <x v="27"/>
    <d v="1899-12-30T10:00:00"/>
    <s v="‌Sector IMO - Arica"/>
    <s v="Estiba de origen"/>
    <x v="0"/>
    <s v="SI"/>
    <s v="SI"/>
    <m/>
    <s v="No Aplica"/>
    <s v="Bajo"/>
    <s v="No Aplica"/>
    <s v="Sin Lesión"/>
    <s v="Ultraport"/>
    <s v="Bono Turno"/>
    <s v="Negativo"/>
    <m/>
    <s v="Desconsolidado y Manipulación de Carga Peligrosa IMDG"/>
    <x v="21"/>
    <s v="Desconsolidado"/>
    <s v="OSCAR MUÑOZ"/>
    <s v="Ultraport"/>
    <s v="Renta Fija"/>
    <s v="Mario Cortes"/>
    <s v="TPA"/>
    <s v="miércoles"/>
    <s v="1°"/>
    <n v="0"/>
    <m/>
    <s v="N/A"/>
    <s v="N/A"/>
  </r>
  <r>
    <n v="45"/>
    <s v="AGUILAR CALLE EDUARDO SERGIO"/>
    <n v="49"/>
    <s v="10.909.575-3"/>
    <s v="Masculino"/>
    <s v="OPERADOR GH"/>
    <s v="Mayor a 3 años"/>
    <m/>
    <s v="Jueves 28 de marzo a las 11:45 colaborador 49 años, que operaba grúa horquilla al realizar desconsolidado de pallets con botellas liquido de frenos en sector norte, por dimensiones de carga al momento de salir de contenedor sufre golpe en parte superior de contenedor generando daño en una de ellas generando derrame en contenedor."/>
    <x v="28"/>
    <d v="1899-12-30T11:45:00"/>
    <s v="‌Sector Norte - Arica"/>
    <s v="Condicion dimension de estiba"/>
    <x v="0"/>
    <s v="SI"/>
    <s v="NO"/>
    <m/>
    <s v="No Aplica"/>
    <s v="Bajo"/>
    <s v="No Aplica"/>
    <s v="Sin Lesión"/>
    <s v="Ultraport"/>
    <s v="Bono Turno"/>
    <s v="No Aplica"/>
    <s v="Sin responsabilidad"/>
    <s v="Desconsolidado y Manipulación Carga General"/>
    <x v="0"/>
    <s v="Desconsolidado"/>
    <s v="OSCAR MUÑOZ"/>
    <s v="Ultraport"/>
    <s v="Renta Fija"/>
    <s v="Cesar Caimapu"/>
    <s v="TPA"/>
    <s v="jueves"/>
    <s v="1°"/>
    <n v="0"/>
    <m/>
    <s v="N/A"/>
    <s v="N/A"/>
  </r>
  <r>
    <n v="46"/>
    <s v="MIRANDA FLORES ALEXANDER MOISES"/>
    <n v="31"/>
    <s v="18.314.594-0"/>
    <s v="Masculino"/>
    <s v="MECANICO"/>
    <s v="Entre 1 y 3 años"/>
    <m/>
    <s v="Viernes 29 de marzo a las 20:50 al momento de retornar de la carga de gas en el crucé hacia la caleta de pescadores equipo GH 246  cae a un un desnivel y en ese momento uña de la grúa horquilla se sale de su posición quedando en el medio del crucé; mecánico ultraport  31 años  y operador de terminal que se encontraba en el área proceden al montaje de la uña para mover el equipo.  "/>
    <x v="29"/>
    <d v="1899-12-30T20:50:00"/>
    <s v="‌Puerto en General Arica"/>
    <s v="Condicion subestandar"/>
    <x v="0"/>
    <s v="SI"/>
    <s v="NO"/>
    <m/>
    <s v="No Aplica"/>
    <s v="Bajo"/>
    <s v="No Aplica"/>
    <s v="Sin Lesión"/>
    <s v="Ultraport"/>
    <s v="Renta Fija"/>
    <s v="No Aplica"/>
    <s v="Condicion subestandar"/>
    <s v="Uso surtidor de GLP en gruas horquillas"/>
    <x v="22"/>
    <s v="Carga de gas "/>
    <s v="SEBASTIAN MURA"/>
    <s v="Ultraport"/>
    <s v="Renta Fija"/>
    <s v="N/A"/>
    <s v="N/A"/>
    <s v="viernes"/>
    <s v="2°"/>
    <n v="0"/>
    <m/>
    <s v="N/A"/>
    <s v="N/A"/>
  </r>
  <r>
    <n v="47"/>
    <s v="MIRANDA FLORES ALEXANDER MOISES -_x000a_VERA TAPIA JUAN-PABLO IGNACIO"/>
    <n v="31"/>
    <s v="18.314.594-0"/>
    <s v="Masculino"/>
    <s v="MECANICO"/>
    <s v="Mayor a 3 años"/>
    <m/>
    <s v="En la tarea de normalización de presión de neumáticos se encontraban los mecánicos Alexander miranda y juan pablo vera y antes de finalizar el inflado del neumático número 05 del tracto 104 este revienta alrededor de unos 80 PSI; cabe señalar que este neumático había sido desmontado para sellar la goma y la llanta aplicando un inflado de 30 psi y luego se montó el neumático en el equipo dejando sus tuercas torquiadas, procediendo a terminar de inflar. "/>
    <x v="30"/>
    <d v="1899-12-30T05:35:00"/>
    <s v="‌Taller mantenimiento Arica"/>
    <s v="Falta de percepcion del riesgo"/>
    <x v="0"/>
    <s v="SI"/>
    <s v="NO"/>
    <s v="SI"/>
    <s v="No Aplica"/>
    <s v="Alto"/>
    <s v="No Aplica"/>
    <s v="Sin Lesión"/>
    <s v="Ultraport"/>
    <s v="Renta Fija"/>
    <s v="No Realizado"/>
    <s v="Desvio del protocolo reactivo"/>
    <s v="Montaje y desmontaje de neumaticos"/>
    <x v="23"/>
    <s v="Inflado de neumatico"/>
    <s v="SEBASTIAN MURA"/>
    <s v="Ultraport"/>
    <s v="Renta Fija"/>
    <s v="N/A"/>
    <s v="N/A"/>
    <s v="lunes"/>
    <m/>
    <m/>
    <m/>
    <m/>
    <m/>
  </r>
  <r>
    <n v="48"/>
    <s v="JAIME MENDEZ ARMANDO EDUARDO"/>
    <n v="56"/>
    <s v="10636624-1"/>
    <s v="Masculino"/>
    <s v="MOVILIZADOR"/>
    <s v="Mayor a 3 años"/>
    <m/>
    <s v="Movilizador comenta fuerte dolor en el lado derecho de su cabeza y punzadas en los parpados. "/>
    <x v="30"/>
    <d v="1899-12-30T18:30:00"/>
    <s v="‌Sector Norte - Arica"/>
    <s v="N/A"/>
    <x v="3"/>
    <s v="NO"/>
    <s v="NO"/>
    <s v="NO"/>
    <s v="No Aplica"/>
    <s v="Bajo"/>
    <s v="No Aplica"/>
    <s v="Sin Lesión"/>
    <s v="Ultraport"/>
    <s v="Bono Turno"/>
    <s v="No Aplica"/>
    <s v="No aplica"/>
    <s v="Recepción, Consolidado y Embarque de Graneles Limpios"/>
    <x v="11"/>
    <s v="N/A"/>
    <s v="N/A"/>
    <s v="N/A"/>
    <s v="N/A"/>
    <s v="N/A"/>
    <s v="N/A"/>
    <s v="lunes"/>
    <s v="2°"/>
    <s v="N/A"/>
    <s v="N/A"/>
    <s v="N/A"/>
    <s v="N/A"/>
  </r>
  <r>
    <n v="49"/>
    <s v="CHILCUMPA AGUILERA RICHARD ALEJANDRO"/>
    <n v="45"/>
    <s v="13.224.689-0"/>
    <s v="Masculino"/>
    <s v="OPERADOR CF"/>
    <s v="Mayor a 3 años"/>
    <m/>
    <s v="Operador Richard Chilcumpa al momento de remontar carga por el costado de camión boliviano placa 1720 LCY 1 de las barandas se suelta de un ganchos y por la condición del piso mas el riel este golpea la baranda provocándole un daño material al camión."/>
    <x v="30"/>
    <d v="1899-12-30T18:30:00"/>
    <s v="‌almacén 4 - Arica"/>
    <s v="Condicion subestandar"/>
    <x v="0"/>
    <s v="SI"/>
    <s v="NO"/>
    <m/>
    <s v="No Aplica"/>
    <s v="Bajo"/>
    <s v="No Aplica"/>
    <s v="Sin Lesión"/>
    <s v="Ultraport"/>
    <s v="Bono Turno"/>
    <s v="No Aplica"/>
    <s v="Sin responsabilidad"/>
    <s v="Desconsolidado y Manipulación Carga General"/>
    <x v="24"/>
    <s v="Recepcion de camiones"/>
    <s v="JORGE DONOSO"/>
    <s v="Ultraport"/>
    <s v="Renta Fija"/>
    <s v="Erich Carrillo"/>
    <s v="TPA"/>
    <s v="lunes"/>
    <m/>
    <m/>
    <m/>
    <m/>
    <m/>
  </r>
  <r>
    <n v="50"/>
    <s v="FICA GAETE KEVIN MIKE KIM"/>
    <n v="34"/>
    <s v="17.264.198-9"/>
    <s v="Masculino"/>
    <s v="OPERADOR GH"/>
    <s v="Mayor a 3 años"/>
    <m/>
    <s v="Operador de equipo grúa horquilla Kevin Fica Al momento de posicionar pallet dos de alto sobre la rampla de camión, Al momento de dejar el pallet el operador retrocede para reacomodar la posición del pallet este se voltea sobre rampa de camión provocando daño Solo al embalaje."/>
    <x v="31"/>
    <d v="1899-12-30T22:00:00"/>
    <s v="‌Sector Norte - Arica"/>
    <s v="Operación inadecuada"/>
    <x v="0"/>
    <s v="SI"/>
    <s v="SI"/>
    <m/>
    <s v="No Aplica"/>
    <s v="Bajo"/>
    <s v="No Aplica"/>
    <s v="Sin Lesión"/>
    <s v="Ultraport"/>
    <s v="Bono Turno"/>
    <s v="Negativo"/>
    <m/>
    <s v="Transferencia de Contenedores Grúa Nave y Grúa Tierra"/>
    <x v="25"/>
    <s v="Desconsolidado"/>
    <s v="SAID VERGARA"/>
    <s v="Ultraport"/>
    <s v="Renta Fija"/>
    <s v="Maximiliano Orellana"/>
    <s v="TPA"/>
    <s v="martes"/>
    <m/>
    <m/>
    <m/>
    <m/>
    <m/>
  </r>
  <r>
    <n v="51"/>
    <s v="VALENCIA ABARCA ROBERTO GERALD"/>
    <n v="30"/>
    <s v="18.599.651-4"/>
    <s v="Masculino"/>
    <s v="OPERADOR RS"/>
    <s v="Menor a 1 año"/>
    <m/>
    <s v="Operador Roberto Valencia al momento de trasladarse con el equipo por el sector del encarpado decide poner el espreder en forma recta mientras avanzaba , en ese momento pasa a llevar la escalera de aeropuerto con el mismo espreder el cual cae ocasionando daño leve."/>
    <x v="32"/>
    <d v="1899-12-30T18:00:00"/>
    <s v="‌zona de encarpado Arica"/>
    <s v="Espacio reducido"/>
    <x v="0"/>
    <s v="SI"/>
    <s v="SI"/>
    <m/>
    <s v="No Aplica"/>
    <s v="Bajo"/>
    <s v="No Aplica"/>
    <s v="Sin Lesión"/>
    <s v="Ultraport"/>
    <s v="Bono Turno"/>
    <s v="Negativo"/>
    <m/>
    <s v="Desconsolidado y Manipulación Carga General"/>
    <x v="26"/>
    <s v="Transferencia"/>
    <s v="SANDRO ZAVALA"/>
    <s v="Ultraport"/>
    <s v="Renta Fija"/>
    <s v="Sandro Zavala"/>
    <s v="Ultraport"/>
    <s v="miércoles"/>
    <m/>
    <m/>
    <m/>
    <m/>
    <m/>
  </r>
  <r>
    <n v="52"/>
    <s v="JOHNSON CALDERON LYNDON JAMES"/>
    <n v="40"/>
    <s v="15.009.076-8"/>
    <s v="Masculino"/>
    <s v="OPERADOR RS"/>
    <s v="Entre 1 y 3 años"/>
    <m/>
    <s v="Operador se encontraba en zona 10 realizando carguío de contenedores sobre tracto camión con apoyo de RS 052, en ese momento advierte filtración de líquido hidráulico sistema de frenos. "/>
    <x v="32"/>
    <d v="1899-12-30T20:30:00"/>
    <s v="Otro"/>
    <s v="Fatiga de Material"/>
    <x v="1"/>
    <s v="SI"/>
    <s v="NO"/>
    <s v="NO"/>
    <s v="Leve"/>
    <s v="Bajo"/>
    <s v="No Aplica"/>
    <s v="Sin Lesión"/>
    <s v="Ultraport"/>
    <s v="Bono Turno"/>
    <s v="No Aplica"/>
    <m/>
    <s v="Transferencia de Contenedores Grúa Nave y Grúa Tierra"/>
    <x v="18"/>
    <s v="Embarque"/>
    <s v="OSCAR MUÑOZ"/>
    <s v="Ultraport"/>
    <s v="Renta Fija"/>
    <s v="Osvaldo Diaz"/>
    <s v="Ultraport"/>
    <s v="miércoles"/>
    <s v="2°"/>
    <n v="0"/>
    <n v="0"/>
    <s v="0,1 Litros"/>
    <s v="PORTAC-0052"/>
  </r>
  <r>
    <n v="53"/>
    <s v="PALMA OCHOA RAMON ALBERTO"/>
    <n v="39"/>
    <s v="15.947.773-8"/>
    <s v="Masculino"/>
    <s v="OPERADOR GH"/>
    <s v="Mayor a 3 años"/>
    <m/>
    <s v="Colaborador Ramón Palma código 9925 que operaba equipo grúa horquilla se encontraba realizando estiba pallets resma de hojas con apoyo grúa horquilla 0250 UPORT, en ese momento por razones que se investigan cae a piso generando daño."/>
    <x v="32"/>
    <d v="1899-12-30T20:45:00"/>
    <s v="‌Sector Norte - Arica"/>
    <s v="Operación inadecuada"/>
    <x v="0"/>
    <s v="SI"/>
    <s v="SI"/>
    <m/>
    <s v="No Aplica"/>
    <s v="Bajo"/>
    <s v="No Aplica"/>
    <s v="Sin Lesión"/>
    <s v="Ultraport"/>
    <s v="Bono Turno"/>
    <s v="Negativo"/>
    <m/>
    <s v="Desconsolidado, Consolidado y Manipulación Carga Aforo Aduana / SAG"/>
    <x v="25"/>
    <s v="Desconcoslidado"/>
    <s v="OSCAR MUÑOZ"/>
    <s v="Ultraport"/>
    <s v="Renta Fija"/>
    <s v="Cesar Caimapu"/>
    <s v="TPA"/>
    <s v="miércoles"/>
    <m/>
    <m/>
    <m/>
    <m/>
    <m/>
  </r>
  <r>
    <n v="54"/>
    <s v="JOHNSON CALDERON JEREMY BENYAMIN"/>
    <n v="22"/>
    <s v="20.908.991-2"/>
    <s v="Masculino"/>
    <s v="OPERADOR TC"/>
    <s v="Menor a 1 año"/>
    <m/>
    <s v="Operador de 22 años el dia miercoles 03 de abril a las 22:00 informa al termino de turno (directo a pañolero TPA) que vidirio lateral esta fuera de su marco con una trizadura de sus esquinas."/>
    <x v="32"/>
    <d v="1899-12-30T22:00:00"/>
    <s v="‌Terminal de contenedores - Arica"/>
    <s v="Condicion"/>
    <x v="0"/>
    <s v="SI"/>
    <s v="NO"/>
    <m/>
    <s v="No Aplica"/>
    <s v="Bajo"/>
    <s v="No Aplica"/>
    <s v="Sin Lesión"/>
    <s v="Ultraport"/>
    <s v="Eventual"/>
    <s v="No Aplica"/>
    <s v="Sin responsabilidad"/>
    <s v="Recepción, Consolidado y Embarque de Graneles Limpios"/>
    <x v="26"/>
    <s v="Transferencia"/>
    <s v="OSCAR MUÑOZ"/>
    <s v="Ultraport"/>
    <s v="Renta Fija"/>
    <s v="Sin informacion"/>
    <s v="Sin informacion"/>
    <s v="miércoles"/>
    <s v="2°"/>
    <n v="0"/>
    <n v="0"/>
    <s v="N/A"/>
    <s v="N/A"/>
  </r>
  <r>
    <n v="55"/>
    <s v="RIVERA PASTEN HERNAN DAVID"/>
    <n v="64"/>
    <s v="9.236.501-8"/>
    <s v="Masculino"/>
    <s v="OPERADOR GH"/>
    <s v="Mayor a 3 años"/>
    <m/>
    <s v="Operador al momento de trasladar un pallet no se percata que uno de los sacos de alimento entre medio de las ranuras sede, siendo dañado por una de las uñas del equipo."/>
    <x v="33"/>
    <d v="1899-12-30T11:30:00"/>
    <s v="‌Aforo - SAG"/>
    <s v="Condicion"/>
    <x v="0"/>
    <s v="SI"/>
    <s v="NO"/>
    <m/>
    <s v="No Aplica"/>
    <s v="Bajo"/>
    <s v="No Aplica"/>
    <s v="Sin Lesión"/>
    <s v="Ultraport"/>
    <s v="Bono Turno"/>
    <s v="No Aplica"/>
    <s v="Sin responsabilidad"/>
    <s v="N/A"/>
    <x v="27"/>
    <s v="Consolidado"/>
    <s v="VLADIMIR VEGA"/>
    <s v="Ultraport"/>
    <s v="Renta Fija"/>
    <s v="Hector Arias"/>
    <s v="TPA"/>
    <s v="jueves"/>
    <m/>
    <m/>
    <m/>
    <m/>
    <m/>
  </r>
  <r>
    <n v="56"/>
    <s v="ROBLE COLLAO BRYAN NICOLAS"/>
    <n v="30"/>
    <s v="18.787.697-4"/>
    <s v="Masculino"/>
    <s v="OPERADOR BARREDORA"/>
    <s v="Entre 1 y 3 años"/>
    <m/>
    <s v="Operador de 30 años el dia 05 de abril a las 13:04  se encontraba realizando limpieza del sitio 3, pasa apegado al bottai y se enreda con la faja de la manteleta, no provoca daño al equipo."/>
    <x v="34"/>
    <d v="1899-12-30T13:04:00"/>
    <s v="‌Sitio 3 - Arica"/>
    <s v="Condicion de estiba de carga"/>
    <x v="0"/>
    <s v="SI"/>
    <s v="NO"/>
    <m/>
    <s v="No Aplica"/>
    <s v="Bajo"/>
    <s v="No Aplica"/>
    <s v="Sin Lesión"/>
    <s v="Ultraport"/>
    <s v="Bono Turno"/>
    <s v="Negativo"/>
    <m/>
    <s v="Desconsolidado y Manipulación Carga General"/>
    <x v="28"/>
    <s v="Limpieza y mantencion"/>
    <s v="VLADIMIR VEGA"/>
    <s v="Ultraport"/>
    <s v="Renta Fija"/>
    <s v="Sin informacion"/>
    <s v="Sin informacion"/>
    <s v="viernes"/>
    <s v="1°"/>
    <n v="0"/>
    <n v="0"/>
    <s v="N/A"/>
    <s v="N/A"/>
  </r>
  <r>
    <n v="57"/>
    <s v="VASQUEZ VASQUEZ MAURICIO FABIAN"/>
    <n v="40"/>
    <s v="15.693.324-4"/>
    <s v="Masculino"/>
    <s v="OPERADOR RS"/>
    <s v="Mayor a 3 años"/>
    <m/>
    <s v="Operador Mauricio Vásquez cód. 760 se encontraba en práctica de RS  en sector 28, en el momento de giro, impacta con contenedor generando desgaste en pintura contrapeso de máquina"/>
    <x v="34"/>
    <d v="1899-12-30T16:30:00"/>
    <s v="‌Terminal de contenedores - Arica"/>
    <s v="Operación inadecuada"/>
    <x v="0"/>
    <s v="SI"/>
    <s v="NO"/>
    <m/>
    <s v="No Aplica"/>
    <s v="Bajo"/>
    <s v="No Aplica"/>
    <s v="Sin Lesión"/>
    <s v="Ultraport"/>
    <s v="Bono Turno"/>
    <s v="Negativo"/>
    <m/>
    <s v="Recepción, Consolidado y Embarque de Graneles Limpios"/>
    <x v="11"/>
    <s v="N/A"/>
    <s v="OMAYRA CAUTIN"/>
    <s v="Ultraport"/>
    <s v="Renta Fija"/>
    <s v="Jaime Vargas"/>
    <s v="TPA"/>
    <s v="viernes"/>
    <m/>
    <m/>
    <m/>
    <m/>
    <m/>
  </r>
  <r>
    <n v="58"/>
    <s v="HERNANDEZ URRUTIA JULIO ALBERTO"/>
    <n v="52"/>
    <s v="11.722.557-7"/>
    <s v="Masculino"/>
    <s v="OPERADOR GH"/>
    <s v="Entre 1 y 3 años"/>
    <m/>
    <s v="Operador en práctica GH, al momento de cargar pallet con sacos sobre camión, dos sacos se desplazan por el costado izquierdo del equipo el cual cae sobre el extintor, activando el gatillo lo que genera que parte del producto _x000a_salga del cilindro, se destaca que no hubo daño a los sacos ni a personas, si se fortalece a colaboradores reforzar las amarras en la estiba de los sacos debido a que el material del saco es resbaloso. Por otra parte, se detecta que el extintor es demasiado grande y no esta posicionado como en las otras GH en el pilar trasero a espalda del operador. _x000a_Se sugiere modificar el tamaño y posición del extintor para mayor visión del operador al momento de trasladar carga."/>
    <x v="35"/>
    <d v="1899-12-30T09:30:00"/>
    <s v="‌Sector Norte - Arica"/>
    <s v="Operación inadecuada por proceso de practica"/>
    <x v="0"/>
    <s v="SI"/>
    <s v="NO"/>
    <m/>
    <s v="No Aplica"/>
    <s v="Bajo"/>
    <s v="No Aplica"/>
    <s v="Sin Lesión"/>
    <s v="Ultraport"/>
    <s v="Bono Turno"/>
    <s v="No Aplica"/>
    <s v="Sin responsabilidad"/>
    <s v="Desconsolidado y Manipulación Carga General"/>
    <x v="0"/>
    <s v="Desconcoslidado"/>
    <s v="VLADIMIR VEGA"/>
    <s v="Ultraport"/>
    <s v="Renta Fija"/>
    <s v="Hector Arias"/>
    <s v="TPA"/>
    <s v="sábado"/>
    <m/>
    <m/>
    <m/>
    <m/>
    <m/>
  </r>
  <r>
    <n v="59"/>
    <s v="ASTORGA BARRAZA RODRIGO ALEJANDRO"/>
    <n v="32"/>
    <s v="17.555.525-0"/>
    <s v="Masculino"/>
    <s v="OPERADOR CF"/>
    <s v="Mayor a 3 años"/>
    <m/>
    <s v="Operador Payloader al estar remontando carga de soya granel al retroceder no se percata que operador tolva 02 TPA estaba retrocediendo, colisionando las dos partes, en entrevista con el operador Uport destaca que en ningún momento operador de la tolva da aviso para ingresar al sector de trabajo, el cual no estaba habilitado ya que todo el carguío se mantenía al centro de la ruma por parte de los dos payloader."/>
    <x v="35"/>
    <d v="1899-12-30T13:11:00"/>
    <s v="‌almacén 4 - Arica"/>
    <s v="Falta de comunicación"/>
    <x v="4"/>
    <s v="SI"/>
    <s v="NO"/>
    <m/>
    <s v="Leve"/>
    <s v="Alto"/>
    <s v="Contacto con energia"/>
    <s v="Sin Lesión"/>
    <s v="Ultraport"/>
    <s v="Bono Turno"/>
    <s v="Negativo"/>
    <m/>
    <s v="Recepción, Consolidado y Embarque de Graneles Limpios"/>
    <x v="24"/>
    <s v="Recpecion de camiones"/>
    <s v="VLADIMIR VEGA"/>
    <s v="Ultraport"/>
    <s v="Renta Fija"/>
    <s v="Nicolas Flores"/>
    <s v="TPA"/>
    <s v="sábado"/>
    <m/>
    <m/>
    <m/>
    <m/>
    <m/>
  </r>
  <r>
    <n v="60"/>
    <s v="REYES FUENZALIDA GONZALO ANDRES"/>
    <n v="41"/>
    <s v="15008897-6"/>
    <s v="Masculino"/>
    <s v="OPERADOR"/>
    <s v="Entre 1 y 3 años"/>
    <m/>
    <s v="Colaborador al momento que se dirigía a IST a exámen ocupacionales por calle Sotomayor, nos comenta que   vehículo se le cruza en la bajada  en dónde  colicionan en la parte trasera de la moto callendo al piso, colaborador presenta una rasmillon leve en su pierna izquierda."/>
    <x v="36"/>
    <d v="1899-12-30T08:30:00"/>
    <s v="N/A"/>
    <s v="N/A"/>
    <x v="5"/>
    <s v="SI"/>
    <s v="NO"/>
    <s v="NO"/>
    <s v="No Aplica"/>
    <s v="No aplica"/>
    <s v="No Aplica"/>
    <s v="Sin Lesión"/>
    <s v="Ultraport"/>
    <s v="Bono Turno"/>
    <s v="No Aplica"/>
    <m/>
    <s v="Recepción y Consolidado en Big Bag"/>
    <x v="11"/>
    <s v="N/A"/>
    <s v="N/A"/>
    <s v="N/A"/>
    <s v="N/A"/>
    <s v="N/A"/>
    <s v="N/A"/>
    <s v="miércoles"/>
    <s v="N/A"/>
    <s v="N/A"/>
    <s v="N/A"/>
    <s v="N/A"/>
    <s v="N/A"/>
  </r>
  <r>
    <n v="61"/>
    <s v="DELGADO CALVO IVAN ALBERTO"/>
    <n v="35"/>
    <s v="13.413.819-K"/>
    <s v="Masculino"/>
    <s v="MOVILIZADOR"/>
    <s v="Mayor a 3 años"/>
    <m/>
    <s v="El dia miercoles 10 de abril a las 12:00 en sector norte durante el ingreso del equipo meclift al contenedor para enganchar el último paquete de fierro con el aditamento para esta tarea, las cadenas del aditamento se enganchan con la base del contenedor, generando el movimiento de la unidad hacia atrás. Lo que provoca el cierre de sus puertas, golpeando a movilizador de 35 años que se encontraba frente a la puerta del contenedor. "/>
    <x v="36"/>
    <d v="1899-12-30T12:00:00"/>
    <s v="‌Sector Norte - Arica"/>
    <s v="Falta de percepcion del riesgo"/>
    <x v="2"/>
    <s v="SI"/>
    <s v="NO"/>
    <m/>
    <s v="Leve"/>
    <s v="Alto"/>
    <s v="No Aplica"/>
    <s v="Cara"/>
    <s v="Ultraport"/>
    <s v="Bono Turno"/>
    <s v="No Realizado"/>
    <s v="Se prioriza atencion medica"/>
    <s v="N/A"/>
    <x v="29"/>
    <s v="Recepcion de camiones"/>
    <s v="JORGE DONOSO"/>
    <s v="Ultraport"/>
    <s v="Renta Fija"/>
    <s v="Jose Hidalgo"/>
    <s v="Ultraport"/>
    <s v="miércoles"/>
    <m/>
    <m/>
    <m/>
    <m/>
    <m/>
  </r>
  <r>
    <n v="62"/>
    <s v="ASTORGA BARRAZA RODRIGO ALEJANDRO"/>
    <n v="32"/>
    <s v="17.555.525-0"/>
    <s v="Masculino"/>
    <s v="OPERADOR RS"/>
    <s v="Menor a 1 año"/>
    <m/>
    <s v="Operador al momento de cargar un contendor sobre camión detecta una fuga de aceite en el pavimento, en ese momento detiene el equipo y solicita la presencia de encargados del taller de mantención UPORT el cual visualizan que es una fuga de líquido de freno. Como información encargado de Taller nos comenta que la fuga se debe a un exceso de este liquido el cual a la alta temperatura este se expande."/>
    <x v="37"/>
    <d v="1899-12-30T18:10:00"/>
    <s v="Patio Contenedores"/>
    <s v="Sobrenivel y aumento de temperatura del fluído"/>
    <x v="1"/>
    <s v="SI"/>
    <s v="NO"/>
    <s v="NO"/>
    <s v="Leve"/>
    <s v="Bajo"/>
    <s v="No Aplica"/>
    <s v="Sin Lesión"/>
    <s v="Ultraport"/>
    <s v="Bono Turno"/>
    <s v="No Aplica"/>
    <m/>
    <s v="Recepción y Consolidado en Big Bag"/>
    <x v="30"/>
    <s v="Carguio"/>
    <s v="VLADIMIR VEGA"/>
    <s v="Ultraport"/>
    <s v="Renta Fija"/>
    <s v="Cristian Lizama"/>
    <s v="TPA"/>
    <s v="jueves"/>
    <s v="2°"/>
    <n v="0"/>
    <n v="0"/>
    <s v="0,1 Litros"/>
    <s v="PORTAC-0045"/>
  </r>
  <r>
    <n v="63"/>
    <s v="VALENCIA ABARCA ROBERTO GERALD"/>
    <n v="30"/>
    <s v="18.599.651-4"/>
    <s v="Masculino"/>
    <s v="OPERADOR MC"/>
    <s v="Entre 1 y 3 años"/>
    <m/>
    <s v="En faenas de descarga de soya operador minicargador al momento de comenzar con el barrido se percata que rodillo no gira, se avisa a encargados de taller de mantención Uport el cual detectan la falta de la cadena al parecer por fatiga de material, en su revisión no se visualizó daño al equipo. Como información adicional la cadena se encuentra en el costado izquierdo del balde donde esta tapada por una base metálica el cual es difícil de visualizar en caso de daño."/>
    <x v="38"/>
    <d v="1899-12-30T04:45:00"/>
    <s v="‌almacén 4 - Arica"/>
    <s v="Fatiga de material"/>
    <x v="0"/>
    <s v="SI"/>
    <s v="NO"/>
    <m/>
    <s v="No Aplica"/>
    <s v="Bajo"/>
    <s v="No Aplica"/>
    <s v="Sin Lesión"/>
    <s v="Ultraport"/>
    <s v="Bono Turno"/>
    <s v="No Aplica"/>
    <s v="Sin responsabilidad"/>
    <s v="Recepción, Consolidado y Embarque de Graneles Limpios"/>
    <x v="4"/>
    <s v="Descarga "/>
    <s v="VLADIMIR VEGA"/>
    <s v="Ultraport"/>
    <s v="Renta Fija"/>
    <s v="Thomas Tapia"/>
    <s v="TPA"/>
    <s v="sábado"/>
    <m/>
    <m/>
    <m/>
    <m/>
    <m/>
  </r>
  <r>
    <n v="64"/>
    <s v="ROBLE COLLAO BRYAN NICOLAS"/>
    <n v="30"/>
    <s v="18787697-4"/>
    <s v="Masculino"/>
    <s v="OPERADOR TC"/>
    <s v="Entre 1 y 3 años"/>
    <m/>
    <s v="Operador de tracto N°8 nos comenta que se siente enfermo, lo acompañamos a IST para evaluación, en donde al tomar temperatura   presenta 39,2 grados. Dado que no es por tema de trabajo se sugiere que se atienda de forma particular, retirándose de faenas."/>
    <x v="39"/>
    <d v="1899-12-30T12:40:00"/>
    <s v="‌Terminal de contenedores - Arica"/>
    <s v="N/A"/>
    <x v="3"/>
    <s v="NO"/>
    <s v="NO"/>
    <s v="NO"/>
    <s v="No Aplica"/>
    <s v="Bajo"/>
    <s v="No Aplica"/>
    <s v="Sin Lesión"/>
    <s v="Ultraport"/>
    <s v="Bono Turno"/>
    <s v="No Aplica"/>
    <s v="No aplica"/>
    <s v="Transferencia de Contenedores Grúa Nave y Grúa Tierra"/>
    <x v="11"/>
    <s v="N/A"/>
    <s v="N/A"/>
    <s v="N/A"/>
    <s v="N/A"/>
    <s v="N/A"/>
    <s v="N/A"/>
    <s v="lunes"/>
    <s v="1°"/>
    <s v="N/A"/>
    <s v="N/A"/>
    <s v="N/A"/>
    <s v="N/A"/>
  </r>
  <r>
    <n v="65"/>
    <s v="CONTRERAS BASAEZ CRISTIAN PABLO"/>
    <n v="44"/>
    <s v="13.639.769-9"/>
    <s v="Masculino"/>
    <s v="OPERADOR GH"/>
    <s v="Mayor a 3 años"/>
    <m/>
    <s v="En almacén 8 colaborador de 44 años el dia martes 16 de abril a las 20:40 faena descarguío de Big Bag mineral al momento de dejar saca el piso y a retroceder se engancha una de las orejas en aditamento provocando una abertura aproximadamente de 3 cm en la parte superior de la saca."/>
    <x v="40"/>
    <d v="1899-12-30T20:40:00"/>
    <s v="‌Almacén 8 - Arica"/>
    <s v="Condicion de sacas"/>
    <x v="0"/>
    <s v="SI"/>
    <s v="NO"/>
    <m/>
    <s v="No Aplica"/>
    <s v="Bajo"/>
    <s v="No Aplica"/>
    <s v="Sin Lesión"/>
    <s v="Ultraport"/>
    <s v="Bono Turno"/>
    <s v="No Aplica"/>
    <s v="Sin responsabilidad"/>
    <s v="Transferencia Maíz"/>
    <x v="31"/>
    <s v="Recepcion"/>
    <s v="SAID VERGARA"/>
    <s v="Ultraport"/>
    <s v="Renta Fija"/>
    <s v="Cristian Medina"/>
    <s v="TPA"/>
    <s v="martes"/>
    <m/>
    <m/>
    <m/>
    <m/>
    <m/>
  </r>
  <r>
    <n v="66"/>
    <s v="PEREIRA GARCIA JUAN CARLOS"/>
    <n v="59"/>
    <s v="9.397.555-3"/>
    <s v="Masculino"/>
    <s v="OPERADOR RS"/>
    <s v="Entre 1 y 3 años"/>
    <m/>
    <s v="Operador de 59 años el dia viernes 19 de abril a las 08:30 al momento de salir con equipo RS asignada frente a taller de mantencion de ultraport, realiza giro en donde pasa a llevar un new jersey por el lado izquierdo del equipo, ocasionando un daño leve a uno de los peldaños de subida para los operadores. "/>
    <x v="41"/>
    <d v="1899-12-30T08:30:00"/>
    <s v="‌Taller mantenimiento Arica"/>
    <s v="Operación inadecuada"/>
    <x v="0"/>
    <s v="SI"/>
    <s v="NO"/>
    <m/>
    <s v="No Aplica"/>
    <s v="Bajo"/>
    <s v="No Aplica"/>
    <s v="Sin Lesión"/>
    <s v="Ultraport"/>
    <s v="Bono Turno"/>
    <s v="Negativo"/>
    <m/>
    <s v="Recepción, Consolidado y Embarque de Graneles Limpios"/>
    <x v="11"/>
    <s v="N/A"/>
    <s v="SAID VERGARA"/>
    <s v="Ultraport"/>
    <s v="Renta Fija"/>
    <s v="Sin informacion"/>
    <s v="Sin informacion"/>
    <s v="viernes"/>
    <s v="1°"/>
    <n v="0"/>
    <n v="0"/>
    <s v="N/A"/>
    <s v="N/A"/>
  </r>
  <r>
    <n v="67"/>
    <s v="CHILCUMPA AGUILERA RICHARD ALEJANDRO"/>
    <n v="46"/>
    <s v="13.224.689-0"/>
    <s v="Masculino"/>
    <s v="OPERADOR GH"/>
    <s v="Mayor a 3 años"/>
    <m/>
    <s v="Operador de 46 años el dia viernes 19 de abril a las 09:00, al momento de retroceder con el equipo de GH en almacen 8, pasa a llevar un BIG BAG ocasionando un daño leve sin derrame, como acción inmediata se realiza trasvasije."/>
    <x v="41"/>
    <d v="1899-12-30T09:00:00"/>
    <s v="‌Almacén 8 - Arica"/>
    <s v="Operación inadecuada"/>
    <x v="0"/>
    <s v="SI"/>
    <s v="NO"/>
    <m/>
    <s v="No Aplica"/>
    <s v="Bajo"/>
    <s v="No Aplica"/>
    <s v="Sin Lesión"/>
    <s v="Ultraport"/>
    <s v="Bono Turno"/>
    <s v="Negativo"/>
    <m/>
    <s v="Recepción, Consolidado y Embarque de Graneles Limpios"/>
    <x v="12"/>
    <s v="Consoliddo"/>
    <s v="Sin informacion"/>
    <s v="Sin informacion"/>
    <s v="Sin informacion"/>
    <s v="Sin informacion"/>
    <s v="Sin informacion"/>
    <s v="viernes"/>
    <s v="1°"/>
    <n v="0"/>
    <n v="0"/>
    <s v="N/A"/>
    <s v="N/A"/>
  </r>
  <r>
    <n v="68"/>
    <s v="HUMIRE MENACHO RICHARD"/>
    <n v="37"/>
    <s v="18.240.238-9"/>
    <s v="Masculino"/>
    <s v="OPERADOR CF"/>
    <s v="Menor a 1 año"/>
    <m/>
    <s v="Operador de 37 años el dia sabado 20 de abril a las 20:40 se encontraba realizando remonte de soya en sector codo de almacen  4, con apoyo de cargador frontal N° 81, en ese momento no advierte riel de ferrocarril oculto por condición de ruma dañando pernos, lo que desprende cuchilla."/>
    <x v="42"/>
    <d v="1899-12-30T20:40:00"/>
    <s v="‌almacén 4 - Arica"/>
    <s v="Condicion de riel"/>
    <x v="0"/>
    <s v="SI"/>
    <s v="NO"/>
    <m/>
    <s v="No Aplica"/>
    <s v="Bajo"/>
    <s v="No Aplica"/>
    <s v="Sin Lesión"/>
    <s v="Ultraport"/>
    <s v="Eventual"/>
    <s v="No Aplica"/>
    <s v="Condicion subestandar"/>
    <s v="Desconsolidado y Manipulación Carga General"/>
    <x v="10"/>
    <s v="Consolidado"/>
    <s v="OSCAR MUÑOZ"/>
    <s v="Ultraport"/>
    <s v="Renta Fija"/>
    <s v="Leo Delzo"/>
    <s v="TPA"/>
    <s v="sábado"/>
    <m/>
    <m/>
    <m/>
    <m/>
    <m/>
  </r>
  <r>
    <n v="69"/>
    <s v="ZUANIC GODOY STANKO MIROSLAV ANTONIO"/>
    <n v="33"/>
    <s v="17.552.810-5"/>
    <s v="Masculino"/>
    <s v="OPERADOR TC"/>
    <s v="Mayor a 3 años"/>
    <m/>
    <s v="Operador de 33 años el dia sabado 20 a las 20:30 se encontraba en media hora de descanso en donde deja equipo TC parqueado, al momento de finalizar colacion y poner en tránsito equipo no retira cuña, generando daño leve"/>
    <x v="42"/>
    <d v="1899-12-30T20:30:00"/>
    <s v="‌Terminal de contenedores - Arica"/>
    <s v="Acción inadecuada"/>
    <x v="0"/>
    <s v="SI"/>
    <s v="NO"/>
    <m/>
    <s v="No Aplica"/>
    <s v="Bajo"/>
    <s v="No Aplica"/>
    <s v="Sin Lesión"/>
    <s v="Ultraport"/>
    <s v="Bono Turno"/>
    <s v="Negativo"/>
    <m/>
    <s v="Desconsolidado y Manipulación Carga General"/>
    <x v="32"/>
    <s v="Transferencia"/>
    <s v="OSCAR MUÑOZ"/>
    <s v="Ultraport"/>
    <s v="Renta Fija"/>
    <s v="Andrea Suzarte"/>
    <s v="TPA"/>
    <s v="sábado"/>
    <m/>
    <m/>
    <m/>
    <m/>
    <m/>
  </r>
  <r>
    <n v="70"/>
    <s v="SALGADO CLIFF FREDDY ALEJANDRO"/>
    <n v="39"/>
    <s v="15.695.685-6"/>
    <s v="Masculino"/>
    <s v="CAPATAZ"/>
    <s v="Entre 1 y 3 años"/>
    <m/>
    <s v="Capataz de 39 años el dia domingo 21 de abril a las 20:30 dirigía armado de maniobras para transferencia de cargador frontal Uport 073 desde nave BBC MERCURI a molo en sitio 5, en el momento de izaje se genera daño leve en base metálica de cámara trasera."/>
    <x v="43"/>
    <d v="1899-12-30T20:30:00"/>
    <s v="‌Sitio 5 - Arica"/>
    <s v="Falta de comunicación"/>
    <x v="0"/>
    <s v="SI"/>
    <s v="NO"/>
    <m/>
    <s v="No Aplica"/>
    <s v="Bajo"/>
    <s v="No Aplica"/>
    <s v="Sin Lesión"/>
    <s v="Ultraport"/>
    <s v="Bono Turno"/>
    <s v="No Aplica"/>
    <s v="Sin responsabilidad"/>
    <s v="Desconsolidado y Manipulación Carga General"/>
    <x v="33"/>
    <s v="Acopio"/>
    <s v="OSCAR MUÑOZ"/>
    <s v="Ultraport"/>
    <s v="Renta Fija"/>
    <s v="Jose Alfaro"/>
    <s v="TPA"/>
    <s v="domingo"/>
    <m/>
    <m/>
    <m/>
    <m/>
    <m/>
  </r>
  <r>
    <n v="71"/>
    <s v="VASQUEZ VASQUEZ MAURICIO FABIAN"/>
    <n v="40"/>
    <s v="15.693.324-4"/>
    <s v="Masculino"/>
    <s v="OPERADOR MC"/>
    <s v="Mayor a 3 años"/>
    <m/>
    <s v="Operador de 40 años el dia lunes 22 de abril a las 13:20 al momento de estar consolidando soya en grano en contenedor de 40 en almacen 4, provoca daños a cuatro contenedores en el techo, de unos 5 a 8 centímetros aproximados. Por otra parte, equipo queda en taller de mantención Uport debido que una de las piezas afectada es una de las conexiones de la manguera el cual presento una leve filtración de aceite que no cayó al suelo."/>
    <x v="44"/>
    <d v="1899-12-30T13:20:00"/>
    <s v="‌almacén 4 - Arica"/>
    <s v="Falta de observacion al consolidad"/>
    <x v="0"/>
    <s v="SI"/>
    <s v="SI"/>
    <m/>
    <s v="No Aplica"/>
    <s v="Bajo"/>
    <s v="No Aplica"/>
    <s v="Sin Lesión"/>
    <s v="Ultraport"/>
    <s v="Bono Turno"/>
    <s v="Negativo"/>
    <m/>
    <s v="Desconsolidado y Manipulación Carga General"/>
    <x v="10"/>
    <s v="Consolidado"/>
    <s v="VLADIMIR VEGA"/>
    <s v="Ultraport"/>
    <s v="Renta Fija"/>
    <s v="Denny Garcia"/>
    <s v="Ultraport"/>
    <s v="lunes"/>
    <m/>
    <m/>
    <m/>
    <m/>
    <m/>
  </r>
  <r>
    <n v="72"/>
    <s v="CORTES ROJAS REGINALDO ANTONIO"/>
    <n v="36"/>
    <s v="16.769.840-9"/>
    <s v="Masculino"/>
    <s v="OPERADOR MC"/>
    <s v="Mayor a 3 años"/>
    <m/>
    <s v="colaborador que operaba minicargador para tarea de consolidado de soya  nos informa sobre dolencia en mano, brazo izquierdo. Se procede con traslado a polipueros IST para toma de signos vitales, descartando novedades. Personal Área médica recomienda reposo a colaborador por su permanente dolencia. Colabador de retira de turno siendo informado que si permanece dolor  se genere nueva evaluación medica por organismo administrador."/>
    <x v="44"/>
    <d v="1899-12-30T18:45:00"/>
    <s v="‌almacén 4 - Arica"/>
    <s v="N/A"/>
    <x v="3"/>
    <s v="NO"/>
    <s v="NO"/>
    <s v="NO"/>
    <s v="No Aplica"/>
    <s v="Bajo"/>
    <s v="No Aplica"/>
    <s v="Mano Izquierda"/>
    <s v="Ultraport"/>
    <s v="Bono Turno"/>
    <s v="No Aplica"/>
    <s v="No aplica"/>
    <s v="N/A"/>
    <x v="11"/>
    <s v="N/A"/>
    <s v="N/A"/>
    <s v="N/A"/>
    <s v="N/A"/>
    <s v="N/A"/>
    <s v="N/A"/>
    <s v="lunes"/>
    <s v="2°"/>
    <s v="N/A"/>
    <s v="N/A"/>
    <s v="N/A"/>
    <s v="N/A"/>
  </r>
  <r>
    <n v="73"/>
    <s v="LEON TABALI CRISTIAN ORLANDO"/>
    <n v="43"/>
    <s v="14.103.098-1"/>
    <s v="Masculino"/>
    <s v="OPERADOR GH"/>
    <s v="Mayor a 3 años"/>
    <m/>
    <s v="Operador Cristian León código 9887 realizaba movimiento de big bag con apoyo de grúa horquilla dentro de contenedor por error estiba 2 de alto, al momento de remover con uñas genera daño leve cayendo aproximadamente 1 kilo, cabe señalar que maniobra era dirigida por capataz Hernán parra Cód. 9867. "/>
    <x v="45"/>
    <d v="1899-12-30T01:40:00"/>
    <s v="‌Almacén 8 - Arica"/>
    <s v="Mala Operación"/>
    <x v="1"/>
    <s v="SI"/>
    <s v="NO"/>
    <s v="NO"/>
    <s v="Leve"/>
    <s v="Bajo"/>
    <s v="No Aplica"/>
    <s v="Sin Lesión"/>
    <s v="Ultraport"/>
    <s v="Bono Turno"/>
    <s v="No Aplica"/>
    <m/>
    <s v="Recepción y Consolidado en Big Bag"/>
    <x v="6"/>
    <s v="Consolidado"/>
    <s v="JORGE DONOSO"/>
    <s v="Ultraport"/>
    <s v="Renta Fija"/>
    <s v="Miguel Mendoza"/>
    <s v="TPA"/>
    <s v="martes"/>
    <s v="2°"/>
    <n v="0"/>
    <s v="10 min"/>
    <s v="1 Kg"/>
    <s v="GH E-05"/>
  </r>
  <r>
    <n v="74"/>
    <s v="PALMA OCHOA RAMON ALBERTO"/>
    <n v="39"/>
    <s v="15.947.773-8"/>
    <s v="Masculino"/>
    <s v="OPERADOR CF"/>
    <s v="Entre 1 y 3 años"/>
    <m/>
    <s v="Colaborador en función de operador CF 81, Ramos palma cod: 9925, se percata que el equipo estaba derramando líquido hidráulico, en donde automáticamente detiene el equipo dando aviso capataz de faena."/>
    <x v="45"/>
    <d v="1899-12-30T18:00:00"/>
    <s v="‌Almacén 6"/>
    <s v="Fatiga de Material"/>
    <x v="1"/>
    <s v="SI"/>
    <s v="NO"/>
    <s v="NO"/>
    <s v="Leve"/>
    <s v="Bajo"/>
    <s v="No Aplica"/>
    <s v="Sin Lesión"/>
    <s v="Ultraport"/>
    <s v="Bono Turno"/>
    <s v="No Aplica"/>
    <m/>
    <s v="Recepción de graneles limpios"/>
    <x v="34"/>
    <s v="Remonte de soya"/>
    <s v="OSCAR MUÑOZ"/>
    <s v="Ultraport"/>
    <s v="Renta Fija"/>
    <s v="Cristian Sandoval"/>
    <s v="TPA"/>
    <s v="martes"/>
    <s v="3°"/>
    <n v="0"/>
    <n v="0"/>
    <s v="2 Litros"/>
    <s v="CFRONT-0081"/>
  </r>
  <r>
    <n v="75"/>
    <s v="ZEPEDA SANTIAGO JUAN RODRIGO"/>
    <n v="45"/>
    <s v="13.637.904-6"/>
    <s v="Masculino"/>
    <s v="OPERADOR MC"/>
    <s v="Mayor a 3 años"/>
    <m/>
    <s v="Operador de 45 años el dia jueves 25 de Abril a las 11:50 al momento de retroceder equipo dentro de contenedor en sector F4 almacen 4,  se desplaza hacia al lado derecho pasando a llevar contenedor, provocando daño leve."/>
    <x v="46"/>
    <d v="1899-12-30T11:50:00"/>
    <s v="‌almacén 4 - Arica"/>
    <s v="Condicion subestandar"/>
    <x v="0"/>
    <s v="SI"/>
    <s v="NO"/>
    <m/>
    <s v="No Aplica"/>
    <s v="Bajo"/>
    <s v="No Aplica"/>
    <s v="Sin Lesión"/>
    <s v="Ultraport"/>
    <s v="Bono Turno"/>
    <s v="Negativo"/>
    <m/>
    <s v="Recepción de graneles limpios"/>
    <x v="10"/>
    <s v="Consolidado"/>
    <s v="SAID VERGARA"/>
    <s v="Ultraport"/>
    <s v="Renta Fija"/>
    <s v="Pablo Quisbert"/>
    <s v="Ultraport"/>
    <s v="jueves"/>
    <m/>
    <m/>
    <m/>
    <m/>
    <m/>
  </r>
  <r>
    <n v="76"/>
    <s v="SALINAS VELIZ FABIAN ESTEBAN"/>
    <n v="38"/>
    <s v="16.467.187-9"/>
    <s v="Masculino"/>
    <s v="OPERADOR CF"/>
    <s v="Mayor a 3 años"/>
    <m/>
    <s v="Operador Fabian Salinas cód. 9895 se encontraba Operador cargador frontal 82 Uport, realizando tarea de carga de soya en camiones tolva, en ese momento advierte filtración de aceite hidráulico. Se acerca personal de mantención Uport indicando falla de desprendimiento de acople en flexible sistema levante de pantógrafo."/>
    <x v="47"/>
    <d v="1899-12-30T18:00:00"/>
    <s v="‌Sector Codo - Arica"/>
    <s v="Fatiga de Material"/>
    <x v="1"/>
    <s v="SI"/>
    <s v="NO"/>
    <s v="NO"/>
    <s v="Leve"/>
    <s v="Bajo"/>
    <s v="No Aplica"/>
    <s v="Sin Lesión"/>
    <s v="Ultraport"/>
    <s v="Bono Turno"/>
    <s v="No Aplica"/>
    <m/>
    <s v="Embarque de soya"/>
    <x v="35"/>
    <s v="Carga"/>
    <s v="OSCAR MUÑOZ"/>
    <s v="Ultraport"/>
    <s v="Renta Fija"/>
    <s v="Ismael Vargas"/>
    <s v="TPA"/>
    <s v="sábado"/>
    <s v="2°"/>
    <n v="0"/>
    <n v="0"/>
    <s v="0,5 litros"/>
    <s v="CFRONT-0082"/>
  </r>
  <r>
    <n v="77"/>
    <s v="VALDERRAMA ALIAGA WENCELS EMILIO"/>
    <n v="54"/>
    <s v="11.615.282-7"/>
    <s v="Masculino"/>
    <s v="OPERADOR CF"/>
    <s v="Mayor a 3 años"/>
    <m/>
    <s v="Operador Wencels Valderrama cód. realizaba función como operador cargador frontal 80 Uport, ejecutando tarea   carga de soya en camiones tolva, en ese momento advierte filtración de aceite hidráulico. Se acerca personal de mantención Uport indicando falla flexible de bloque válvula de accionamiento sistema sobre-volteo. "/>
    <x v="47"/>
    <d v="1899-12-30T22:30:00"/>
    <s v="‌Sector Codo - Arica"/>
    <s v="Fatiga de Material"/>
    <x v="1"/>
    <s v="SI"/>
    <s v="NO"/>
    <s v="NO"/>
    <s v="Leve"/>
    <s v="Bajo"/>
    <s v="No Aplica"/>
    <s v="Sin Lesión"/>
    <s v="Ultraport"/>
    <s v="Bono Turno"/>
    <s v="No Aplica"/>
    <m/>
    <s v="Embarque de soya"/>
    <x v="35"/>
    <s v="Carga"/>
    <s v="OSCAR MUÑOZ"/>
    <s v="Ultraport"/>
    <s v="Renta Fija"/>
    <s v="Ismael Vargas"/>
    <s v="TPA"/>
    <s v="sábado"/>
    <s v="2°"/>
    <n v="0"/>
    <m/>
    <s v="0,5 litros"/>
    <s v="CFRONT-0080"/>
  </r>
  <r>
    <n v="78"/>
    <s v="LILLO ORTIZ JUAN VLADIMIR"/>
    <n v="41"/>
    <s v="15.008.871-2"/>
    <s v="Masculino"/>
    <s v="OPERADOR GH"/>
    <s v="Mayor a 3 años"/>
    <m/>
    <s v="Operador de 41 años el dia martes 30 de abril a las 11:25 se encontraba en sector norte desconsolidando  pallets dos de alto con apoyo grúa horquilla número 253 Uport. En el momento que posiciona sobre caen de manera repentina, dañando estructura de madera, generando derrame de herbicida."/>
    <x v="48"/>
    <d v="1899-12-30T11:25:00"/>
    <s v="‌Sector Norte - Arica"/>
    <s v="Maniobra inadecuada"/>
    <x v="0"/>
    <s v="SI"/>
    <s v="NO"/>
    <m/>
    <s v="No Aplica"/>
    <s v="Bajo"/>
    <s v="No Aplica"/>
    <s v="Sin Lesión"/>
    <s v="Ultraport"/>
    <s v="Bono Turno"/>
    <s v="Negativo"/>
    <m/>
    <s v="Recepción de graneles limpios"/>
    <x v="5"/>
    <s v="Desconsolidado"/>
    <s v="OSCAR MUÑOZ"/>
    <s v="Ultraport"/>
    <s v="Renta Fija"/>
    <s v="Maximiliano Orellana"/>
    <s v="TPA"/>
    <s v="martes"/>
    <m/>
    <m/>
    <m/>
    <m/>
    <m/>
  </r>
  <r>
    <n v="79"/>
    <s v="ARAVENA MATURANA EDUARDO DEL CARMEN"/>
    <n v="57"/>
    <s v="10389531-6"/>
    <s v="Masculino"/>
    <s v="CAPACITACION"/>
    <s v="Mayor a 3 años"/>
    <m/>
    <s v=" Trabajador refiere diarrea y vomitos en horario de almuerzo cuando se encontraba en proceso de capacitacion."/>
    <x v="48"/>
    <d v="1899-12-30T12:30:00"/>
    <s v="‌Oficina Administración - Arica"/>
    <s v="N/A"/>
    <x v="3"/>
    <s v="NO"/>
    <s v="NO"/>
    <s v="NO"/>
    <s v="No Aplica"/>
    <s v="Bajo"/>
    <s v="No Aplica"/>
    <s v="Sin Lesión"/>
    <s v="Ultraport"/>
    <s v="Bono Turno"/>
    <s v="No Aplica"/>
    <s v="No aplica"/>
    <s v="N/A"/>
    <x v="11"/>
    <s v="N/A"/>
    <s v="N/A"/>
    <s v="N/A"/>
    <s v="N/A"/>
    <s v="N/A"/>
    <s v="N/A"/>
    <s v="martes"/>
    <s v="1°"/>
    <s v="N/A"/>
    <s v="N/A"/>
    <s v="N/A"/>
    <s v="N/A"/>
  </r>
  <r>
    <n v="80"/>
    <s v="MONTES JORQUERA CONSTANZA SOLEDAD DEL CARMEN"/>
    <n v="26"/>
    <s v="19974199-3"/>
    <s v="Femenino"/>
    <s v="MOVILIZADORA"/>
    <s v="Entre 1 y 3 años"/>
    <m/>
    <s v="Colaboradora de 26 años el dia martes 30 de abril a las 18:45 hrs al estar posicionando un pilar en el sector norte, siente que le cae algo en su ojo derecho debido a una ráfaga de viento que se levantó, en ese instante empezó con molestias siendo derivada a polipuerto para un lavado de su ojo, por el momento mantiene su malestar y esta en evaluación."/>
    <x v="48"/>
    <d v="1899-12-30T18:45:00"/>
    <s v="‌Sector Norte - Arica"/>
    <s v="No uso de epp"/>
    <x v="2"/>
    <s v="SI"/>
    <s v="NO"/>
    <m/>
    <s v="Leve"/>
    <s v="Bajo"/>
    <s v="No Aplica"/>
    <s v="Ojo derecho"/>
    <s v="Ultraport"/>
    <s v="CPPT"/>
    <s v="No Realizado"/>
    <s v="Se prioriza atencion medica"/>
    <s v="Recepción de graneles limpios"/>
    <x v="16"/>
    <s v="Desconsolidado"/>
    <s v="VLADIMIR VEGA"/>
    <s v="Ultraport"/>
    <s v="Renta Fija"/>
    <s v="Sin informacion"/>
    <s v="Sin informacion"/>
    <s v="martes"/>
    <s v="2°"/>
    <n v="0"/>
    <n v="0"/>
    <s v="N/A"/>
    <s v="N/A"/>
  </r>
  <r>
    <n v="81"/>
    <s v="CALDERA ALVAREZ MARCELO ALEJANDRO"/>
    <n v="48"/>
    <s v="13.089.211-6"/>
    <s v="Masculino"/>
    <s v="OPERADOR RS"/>
    <s v="Mayor a 3 años"/>
    <m/>
    <s v="Operador de 48 años el dia miercoles 01/05 a las 08:10 se encontraba retrocediendo con equipo RS en taller de mantencion ultraport, cuando no se percata y pasa a llevar new jersey delimitador, provocando daño a escalera de equipo."/>
    <x v="49"/>
    <d v="1899-12-30T08:10:00"/>
    <s v="‌Taller mantenimiento Arica"/>
    <s v="Operación inadecuada "/>
    <x v="0"/>
    <s v="SI"/>
    <s v="NO"/>
    <m/>
    <s v="No Aplica"/>
    <s v="Bajo"/>
    <s v="Choque - Colisión"/>
    <s v="Sin Lesión"/>
    <s v="Ultraport"/>
    <s v="Bono Turno"/>
    <s v="Negativo"/>
    <m/>
    <s v="Transferencia de Contenedores Grúa Nave y Grúa Tierra"/>
    <x v="36"/>
    <s v="Fuera de la operación"/>
    <s v="CHRISTOPHER TAPIA"/>
    <s v="Ultraport"/>
    <s v="Renta Fija"/>
    <s v="N/A"/>
    <s v="N/A"/>
    <s v="miércoles"/>
    <s v="1°"/>
    <n v="0"/>
    <n v="0"/>
    <s v="N/A"/>
    <s v="N/A"/>
  </r>
  <r>
    <n v="82"/>
    <s v="REYES FUENZALIDA GONZALO ANDRES"/>
    <n v="41"/>
    <s v="15.008.897-6"/>
    <s v="Masculino"/>
    <s v="OPERADOR TC"/>
    <s v="Entre 1 y 3 años"/>
    <m/>
    <s v="Operador de 41 años el dia miercoles 01/05 a las 16:00 se encontraba al costado de grúa Tacora en sitio 4 a la espera de ser cargado, cuando siente un golpe en rampla de camión, y se percata que tractor TPA pasa llevar su rampla, lo que ocasiona un pequeño raspón y perdida de pintura en costado derecho de rampla."/>
    <x v="49"/>
    <d v="1899-12-30T16:00:00"/>
    <s v="‌Sitio 4 - Arica"/>
    <s v="Operación inadecuada de operador TC TPA"/>
    <x v="0"/>
    <s v="SI"/>
    <s v="NO"/>
    <m/>
    <s v="No Aplica"/>
    <s v="Bajo"/>
    <s v="Choque - Colisión"/>
    <s v="Sin Lesión"/>
    <s v="Ultraport"/>
    <s v="Bono Turno"/>
    <s v="No Aplica"/>
    <s v="Sin responsabilidad"/>
    <s v="Transferencia de Contenedores Grúa Nave y Grúa Tierra"/>
    <x v="37"/>
    <s v="Transferencia"/>
    <s v="ALFREDO LOPEZ"/>
    <s v="Ultraport"/>
    <s v="Renta Fija"/>
    <s v="Sin informacion"/>
    <s v="Sin informacion"/>
    <s v="miércoles"/>
    <s v="2°"/>
    <n v="0"/>
    <n v="0"/>
    <s v="N/A"/>
    <s v="N/A"/>
  </r>
  <r>
    <n v="83"/>
    <s v="VALENCIA ABARCA ROBERTO GERALD"/>
    <n v="30"/>
    <s v="18.599.651-4"/>
    <s v="Masculino"/>
    <s v="OPERADOR RS"/>
    <s v="Entre 1 y 3 años"/>
    <m/>
    <s v="Operador  se encontraba en patio movilizando contenedores, hasta que nota derrame de líquido, da aviso a supervisor, y traslada equipo al área de mantenimiento al encontrarse próximo al término del turno, allí, avisa a mantenimiento."/>
    <x v="49"/>
    <d v="1899-12-30T22:30:00"/>
    <s v="Patio Contenedores"/>
    <s v="Mantencion"/>
    <x v="1"/>
    <s v="SI"/>
    <s v="NO"/>
    <s v="NO"/>
    <s v="No Aplica"/>
    <s v="Bajo"/>
    <s v="No Aplica"/>
    <s v="Sin Lesión"/>
    <s v="Ultraport"/>
    <s v="Bono Turno"/>
    <s v="No Aplica"/>
    <s v="Fatiga de material"/>
    <s v="Transferencia de contenedores"/>
    <x v="18"/>
    <s v="Embarque"/>
    <s v="ALFREDO LOPEZ"/>
    <s v="Ultraport"/>
    <s v="Renta Fija"/>
    <s v="Sin informacion"/>
    <s v="Sin informacion"/>
    <s v="miércoles"/>
    <s v="2°"/>
    <n v="0"/>
    <n v="0"/>
    <s v="1 litro"/>
    <m/>
  </r>
  <r>
    <n v="84"/>
    <s v="CANESSA CARLINI GERALD LUIS"/>
    <n v="25"/>
    <s v="19.871.887-4"/>
    <s v="Masculino"/>
    <s v="MOVILIZADOR"/>
    <s v="Mayor a 3 años"/>
    <m/>
    <s v="Movilizador de 25 años el dia viernes 03/05 a las 15:35 se encontraba en faenas de maniobra en sitio 3 y al momento de sacar cable de gancho de grúa nave se golpea con este en tabique de nariz."/>
    <x v="50"/>
    <d v="1899-12-30T15:35:00"/>
    <s v="‌Sitio 3 - Arica"/>
    <s v="Acción inadecuada"/>
    <x v="2"/>
    <s v="SI"/>
    <s v="NO"/>
    <m/>
    <s v="Leve"/>
    <s v="Bajo"/>
    <s v="Golpeado por"/>
    <s v="Nariz"/>
    <s v="Ultraport"/>
    <s v="CPPT"/>
    <s v="No Realizado"/>
    <s v="Se prioriza atencion medica"/>
    <s v="Desconsolidado, Manipulación, Almacenaje y Despacho de Carga Suelta"/>
    <x v="38"/>
    <s v="Acopio carga de proyectos"/>
    <s v="ALFREDO LOPEZ"/>
    <s v="Ultraport"/>
    <s v="Renta Fija"/>
    <s v="Mario Cortes"/>
    <s v="TPA"/>
    <s v="viernes"/>
    <s v="1°"/>
    <n v="0"/>
    <n v="0"/>
    <s v="N/A"/>
    <s v="N/A"/>
  </r>
  <r>
    <n v="85"/>
    <s v="CONTRERAS BASAEZ CRISTIAN PABLO"/>
    <n v="44"/>
    <s v="13.639.769-9"/>
    <s v="Masculino"/>
    <s v="OPERADOR GH"/>
    <s v="Mayor a 3 años"/>
    <m/>
    <s v="Operador de 44 años el dia miercoles 08/05 a las 09:15, que fue asignado para traslado de unos caballetes para maniobra desde el taller de mantención TPA hacia el sitio 5, al momento de hacer espacio para sacar los caballetes primero tuvo que retirar un cajón de herramientas que estaba pegado a los contenedores de cortina de soya y al acomodar nuevamente el cajón se percata que choca con algo al contenedor, al revisar detecta que por el costado opuesto del cajón tenía una rampla que era parte del cajón donde el borde de este pasa a llevar el contenedor ocasionando un corte de unos diez centímetros."/>
    <x v="51"/>
    <d v="1899-12-30T09:15:00"/>
    <s v="‌Puerto en General Arica"/>
    <s v="Espacio reducido"/>
    <x v="0"/>
    <s v="SI"/>
    <s v="NO"/>
    <m/>
    <s v="No Aplica"/>
    <s v="Bajo"/>
    <s v="Choque - Colisión"/>
    <s v="Sin Lesión"/>
    <s v="Ultraport"/>
    <s v="Bono Turno"/>
    <s v="No Aplica"/>
    <s v="Sin responsabilidad"/>
    <s v="Desconsolidado, Manipulación, Almacenaje y Despacho de Carga Suelta"/>
    <x v="39"/>
    <s v="Fuera de la operación"/>
    <s v="VLADIMIR VEGA"/>
    <s v="Ultraport"/>
    <s v="Renta Fija"/>
    <s v="Mario Cortes"/>
    <s v="TPA"/>
    <s v="miércoles"/>
    <s v="1°"/>
    <n v="0"/>
    <n v="0"/>
    <s v="N/A"/>
    <s v="N/A"/>
  </r>
  <r>
    <n v="86"/>
    <s v="VINCENTI FUENTES MONICA GLADYS"/>
    <n v="55"/>
    <s v="9.837.889-8"/>
    <s v="Femenino"/>
    <s v="MOVILIZADORA"/>
    <s v="Entre 1 y 3 años"/>
    <m/>
    <s v="Movilizadora de 55 años el dia miercoles 08/05 a las 10:30 se encontraba haciendo retiro de twistlock en el sector de estaciones de piña en sitio 4, en donde uno de ellos no podia salir, en ese instante decide ocupar otro twistlock para golpear el que tenia problemas, producto de esto se golpea en uno de sus dedos (dedo medio - mano derecha)"/>
    <x v="51"/>
    <d v="1899-12-30T10:30:00"/>
    <s v="‌Sitio 4 - Arica"/>
    <s v="Acción inadecuada"/>
    <x v="2"/>
    <s v="SI"/>
    <s v="SI"/>
    <m/>
    <s v="Leve"/>
    <s v="Bajo"/>
    <s v="Golpeado por"/>
    <s v="Dedo medio derecho"/>
    <s v="Ultraport"/>
    <s v="Eventual"/>
    <s v="Negativo"/>
    <m/>
    <s v="Transferencia de Contenedores Grúa Nave y Grúa Tierra"/>
    <x v="40"/>
    <s v="Transferencia"/>
    <s v="VLADIMIR VEGA"/>
    <s v="Ultraport"/>
    <s v="Renta Fija"/>
    <s v="Sin informacion"/>
    <s v="Sin informacion"/>
    <s v="miércoles"/>
    <s v="1°"/>
    <n v="0"/>
    <n v="0"/>
    <s v="N/A"/>
    <s v="N/A"/>
  </r>
  <r>
    <n v="87"/>
    <s v="MUÑOZ ORTEGA DIEGO ARMANDO"/>
    <n v="21"/>
    <s v="21.140.841-3"/>
    <s v="Masculino"/>
    <s v="MOVILIZADOR"/>
    <s v="Entre 1 y 3 años"/>
    <m/>
    <s v="Movilizador de 21 años el dia miercoles 08/05 a las 17:00, al momento de realizar bajada de puerta junto a su compañero a las afueras del alm4 (grano), grúa horquilla Vila 158 operador Pablo Rubio (tpa ) suelta compuerta antes que el movilizador salga por completo golpeando su hombro derecho."/>
    <x v="51"/>
    <d v="1899-12-30T17:00:00"/>
    <s v="‌almacén 4 - Arica"/>
    <s v="Operacion inadecuada"/>
    <x v="0"/>
    <s v="SI"/>
    <s v="NO"/>
    <m/>
    <s v="No Aplica"/>
    <s v="Bajo"/>
    <s v="Golpeado por"/>
    <s v="Sin Lesión"/>
    <s v="Ultraport"/>
    <s v="CPPT"/>
    <s v="Negativo"/>
    <m/>
    <s v="Recepción, Consolidado y Embarque de Graneles Limpios"/>
    <x v="4"/>
    <s v="Acopio de graneles"/>
    <s v="VLADIMIR VEGA"/>
    <s v="Ultraport"/>
    <s v="Renta Fija"/>
    <s v="Freddy Salgado"/>
    <s v="Ultraport"/>
    <s v="miércoles"/>
    <s v="2°"/>
    <n v="0"/>
    <n v="0"/>
    <s v="N/A"/>
    <s v="N/A"/>
  </r>
  <r>
    <n v="88"/>
    <s v="N/A"/>
    <s v="N/A"/>
    <s v="N/A"/>
    <s v="N/A"/>
    <s v="N/A"/>
    <s v="N/A"/>
    <m/>
    <s v="El dia lunes a las 00:35 se informa por parte de mantención Ultraport que equipo mini cargador 007  se encontraba con un leve daño en tubo de escape, al realizar analisis de lo acontecido se concluye que daño se provoco al momento de tensar equipo para su treaslado a bodega de nave, donde grilletes se gira y golpea tubo de escape."/>
    <x v="52"/>
    <d v="1899-12-30T00:35:00"/>
    <s v="‌Taller mantenimiento Arica"/>
    <s v="Falta de comunicacion"/>
    <x v="0"/>
    <s v="SI"/>
    <s v="NO"/>
    <m/>
    <s v="No Aplica"/>
    <s v="Bajo"/>
    <s v="Golpeado por"/>
    <s v="Sin Lesión"/>
    <s v="Ultraport"/>
    <s v="Renta Fija"/>
    <s v="No Aplica"/>
    <s v="Sin informacion de responsable"/>
    <s v="Transferencia de Graneles Limpios"/>
    <x v="15"/>
    <s v="Limpieza"/>
    <s v="ALFREDO LOPEZ"/>
    <s v="Ultraport"/>
    <s v="Renta Fija"/>
    <s v="Sin informacion"/>
    <s v="Sin informacion"/>
    <s v="lunes"/>
    <s v="3°"/>
    <n v="0"/>
    <n v="0"/>
    <s v="N/A"/>
    <s v="N/A"/>
  </r>
  <r>
    <n v="89"/>
    <s v="MARTINEZ REYES ALONSO ALADINO"/>
    <n v="41"/>
    <s v="15.197.894-0"/>
    <s v="Masculino"/>
    <s v="OPERDADOR GH"/>
    <s v="Menor a 1 año"/>
    <m/>
    <s v="Operado GH toma Big Bag y al virar, la pasa a llevar con las uñas provocando un daño, derramando 500 gr de mineral. "/>
    <x v="53"/>
    <d v="1899-12-30T20:15:00"/>
    <s v="Almacen"/>
    <s v="Falla operacional"/>
    <x v="1"/>
    <s v="SI"/>
    <s v="NO"/>
    <s v="NO"/>
    <s v="Leve"/>
    <s v="Bajo"/>
    <s v="No Aplica"/>
    <s v="Sin Lesión"/>
    <s v="Ultraport"/>
    <s v="Bono Turno"/>
    <s v="No Aplica"/>
    <s v="Sin responsabilidad"/>
    <s v="Recepción de Big Bag"/>
    <x v="41"/>
    <s v="Descarga"/>
    <s v="JORGE DONOSO"/>
    <s v="Ultraport"/>
    <s v="Renta Fija"/>
    <s v="Luis Morales"/>
    <s v="TPA"/>
    <s v="viernes"/>
    <s v="2°"/>
    <n v="0"/>
    <n v="0"/>
    <s v="0,3 Kg"/>
    <m/>
  </r>
  <r>
    <n v="90"/>
    <s v="ASTORGA BARRAZA RODRIGO ALEJANDRO"/>
    <n v="32"/>
    <s v="17.555.525-0"/>
    <s v="Masculino"/>
    <s v="OPERADOR CF"/>
    <s v="Entre 1 y 3 años"/>
    <m/>
    <s v="Operador se dirige a charla de seguridad dentro de almacén 6, y al regresar detecta que este se encuentra derramando petróleo, dando aviso inmediato."/>
    <x v="53"/>
    <d v="1899-12-30T08:30:00"/>
    <s v="Patio Contenedores"/>
    <s v="Mantenimiento"/>
    <x v="1"/>
    <s v="SI"/>
    <s v="NO"/>
    <s v="NO"/>
    <s v="Leve"/>
    <s v="Bajo"/>
    <s v="No Aplica"/>
    <s v="Sin Lesión"/>
    <s v="Ultraport"/>
    <s v="Bono Turno"/>
    <s v="No Aplica"/>
    <s v="Sin responsabilidad"/>
    <s v="Transferencia de Graneles Limpios"/>
    <x v="42"/>
    <s v="Carguio"/>
    <s v="CHRISTOPHER TAPIA"/>
    <s v="Ultraport"/>
    <s v="Renta Fija"/>
    <s v="Nicolas Flores"/>
    <s v="TPA"/>
    <s v="viernes"/>
    <s v="2°"/>
    <n v="0"/>
    <n v="0"/>
    <s v="5 Litros"/>
    <m/>
  </r>
  <r>
    <n v="91"/>
    <s v="HERRERA CONTRERAS URICH RANDY"/>
    <n v="35"/>
    <s v="17.012.665-3"/>
    <s v="Masculino"/>
    <s v="MOVILIZADOR"/>
    <s v="Mayor a 3 años"/>
    <m/>
    <s v="Movilizador se dirigia a primer turno de trabajo, cuando sufre accidente automovilistico "/>
    <x v="54"/>
    <d v="1899-12-30T07:45:00"/>
    <s v="N/A"/>
    <s v="N/A"/>
    <x v="5"/>
    <s v="SI"/>
    <s v="NO"/>
    <s v="NO"/>
    <s v="No Aplica"/>
    <s v="No aplica"/>
    <s v="No Aplica"/>
    <s v="Sin Lesión"/>
    <s v="Ultraport"/>
    <s v="CPPT"/>
    <s v="No Aplica"/>
    <m/>
    <s v="Recepción, Consolidado y Embarque de Graneles Limpios"/>
    <x v="11"/>
    <s v="N/A"/>
    <s v="N/A"/>
    <s v="N/A"/>
    <s v="N/A"/>
    <s v="N/A"/>
    <s v="N/A"/>
    <s v="sábado"/>
    <s v="1°"/>
    <s v="N/A"/>
    <s v="N/A"/>
    <s v="N/A"/>
    <s v="N/A"/>
  </r>
  <r>
    <n v="92"/>
    <s v="RIVERA PASTEN HERNAN DAVID"/>
    <n v="60"/>
    <s v="9.236.501-8"/>
    <s v="Masculino"/>
    <s v="OPERADOR CF"/>
    <s v="Mayor a 3 años"/>
    <m/>
    <s v="Operador de 60 años el dia sabado 18/05 a las 12:50, al momento de remontar soya hacia ruma, este retrocede y no se percata que equipo Oruga minicargador se encontraba parqueado, el cual estaba siendo revisado por Supervisor de MTTO UPORT ya que equipo presentaba un problema de bloqueo, y cuando este baja desde equipo, CF golpea levemente parte izquierda de OrugaMinicargador"/>
    <x v="54"/>
    <d v="1899-12-30T12:50:00"/>
    <s v="‌almacén 4 - Arica"/>
    <s v="Falta de comunicacion"/>
    <x v="0"/>
    <s v="SI"/>
    <s v="NO"/>
    <m/>
    <s v="No Aplica"/>
    <s v="Bajo"/>
    <s v="Choque - Colisión"/>
    <s v="Sin Lesión"/>
    <s v="Ultraport"/>
    <s v="Bono Turno"/>
    <s v="Negativo"/>
    <m/>
    <s v="Recepción, Consolidado y Embarque de Graneles Limpios"/>
    <x v="43"/>
    <s v="Acopio de graneles"/>
    <s v="CHRISTOPHER TAPIA"/>
    <s v="Ultraport"/>
    <s v="Renta Fija"/>
    <s v="Gustavo Tavali"/>
    <s v="Ultraport"/>
    <s v="sábado"/>
    <s v="3°"/>
    <n v="0"/>
    <n v="0"/>
    <s v="N/A"/>
    <s v="N/A"/>
  </r>
  <r>
    <n v="93"/>
    <s v="BOBADILLA MONTOYA PABLO CESAR"/>
    <n v="40"/>
    <s v="15.562.033-2"/>
    <s v="Masculino"/>
    <s v="OPERADOR CF"/>
    <s v="Mayor a 3 años"/>
    <m/>
    <s v="Operador de 40 años el dia martes 21/05 a las 09:10 al momento de realizar el remonte de carga por el costado del camión, pasa a llevar la ultima puerta de la rampla ocasionando un daño en uno de los extremos de este, más dos sujeciones de la rampla."/>
    <x v="55"/>
    <d v="1899-12-30T09:10:00"/>
    <s v="‌almacén 4 - Arica"/>
    <s v="Operacion inadecuada"/>
    <x v="0"/>
    <s v="SI"/>
    <s v="NO"/>
    <m/>
    <s v="No Aplica"/>
    <s v="Bajo"/>
    <s v="Choque - Colisión"/>
    <s v="Hombro derecho "/>
    <s v="Ultraport"/>
    <s v="Bono Turno"/>
    <s v="Negativo"/>
    <m/>
    <s v="Recepción, Consolidado y Embarque de Graneles Limpios"/>
    <x v="4"/>
    <s v="Acopio de graneles"/>
    <s v="VLADIMIR VEGA"/>
    <s v="Ultraport"/>
    <s v="Renta Fija"/>
    <s v="Francisco Cepeda"/>
    <s v="TPA"/>
    <s v="martes"/>
    <s v="1°"/>
    <n v="0"/>
    <n v="0"/>
    <s v="N/A"/>
    <s v="N/A"/>
  </r>
  <r>
    <n v="94"/>
    <s v="PACHA ACEVEDO LUIS FERNANDO"/>
    <n v="22"/>
    <s v="20.912.493-9"/>
    <s v="Masculino"/>
    <s v="OPERADOR TC"/>
    <s v="Entre 1 y 3 años"/>
    <m/>
    <s v="Operador de 22 años el dia jueves 23/05 a las 16:10 se encontraba a la espera en el sector 30 para el carguío de contendor, comenta que pasa camión boliviano muy apegado al tracto percatándose minutos después, que paso a llevar el espejo lateral derecho plegable ocasionando un daño leve. Operador de terminal solicita mirar las cámaras el cual no detectaron al tracto debido a su posición."/>
    <x v="56"/>
    <d v="1899-12-30T16:10:00"/>
    <s v="‌Terminal de contenedores - Arica"/>
    <s v="Operacion inadecuada"/>
    <x v="0"/>
    <s v="SI"/>
    <s v="NO"/>
    <m/>
    <s v="No Aplica"/>
    <s v="Bajo"/>
    <s v="Choque - Colisión"/>
    <s v="Sin Lesión"/>
    <s v="Ultraport"/>
    <s v="CPPT"/>
    <s v="No Aplica"/>
    <s v="Sin responsabilidad"/>
    <s v="Transferencia de Contenedores Grúa Nave y Grúa Tierra"/>
    <x v="44"/>
    <s v="Transferencia"/>
    <s v="VLADIMIR VEGA"/>
    <s v="Ultraport"/>
    <s v="Renta Fija"/>
    <s v="Ricardo Cortes"/>
    <s v="TPA"/>
    <s v="jueves"/>
    <s v="2°"/>
    <n v="0"/>
    <n v="0"/>
    <s v="N/A"/>
    <s v="N/A"/>
  </r>
  <r>
    <n v="95"/>
    <s v="ALFARO QUINTEROS PRISCILLA EUGENIA"/>
    <n v="39"/>
    <s v="15.947.642-1"/>
    <s v="Masculino"/>
    <s v="MOVILIZADORA"/>
    <s v="Entre 1 y 3 años"/>
    <m/>
    <s v="Colaboradora de 39 años el dia viernes 24/05 a las 11:00 al momento de estar retirando arcos de camión, se pasa a llevar dedo índice izquierdo con un perno que se encontraba en el borde de las puertas."/>
    <x v="57"/>
    <d v="1899-12-30T11:00:00"/>
    <s v="‌Sector Norte - Arica"/>
    <s v="Condicion de camion"/>
    <x v="2"/>
    <s v="SI"/>
    <s v="NO"/>
    <m/>
    <s v="Leve"/>
    <s v="Bajo"/>
    <s v="Golpeado por"/>
    <s v="Dedo índice izquierdo"/>
    <s v="Ultraport"/>
    <s v="CPPT"/>
    <s v="Negativo"/>
    <m/>
    <s v="Desconsolidado y Manipulación Carga General"/>
    <x v="5"/>
    <s v="Desconsolidado"/>
    <s v="VLADIMIR VEGA"/>
    <s v="Ultraport"/>
    <s v="Renta Fija"/>
    <s v="Eduardo Aravena"/>
    <s v="Ultraport"/>
    <s v="viernes"/>
    <s v="1°"/>
    <n v="0"/>
    <n v="0"/>
    <s v="N/A"/>
    <s v="N/A"/>
  </r>
  <r>
    <n v="96"/>
    <s v="FIGUEROA MAIPIL LUIS NICOLAS"/>
    <n v="38"/>
    <s v="16.227.007-9"/>
    <s v="Masculino"/>
    <s v="OPERADOR MC"/>
    <s v="Mayor a 3 años"/>
    <m/>
    <s v="Colaborador de 38 años el dia viernes 24/05 a las 14:00 al momento de realizar su función en el minicargador, detecta que flexible hidráulico que está sobre el balde se sale de su posición y queda trabado en el pantógrafo ocasionando un daño a la manguera. "/>
    <x v="57"/>
    <d v="1899-12-30T14:00:00"/>
    <s v="‌Sitio 3 - Arica"/>
    <s v="Fatiga de material"/>
    <x v="0"/>
    <s v="SI"/>
    <s v="NO"/>
    <m/>
    <s v="No Aplica"/>
    <s v="Bajo"/>
    <s v="Golpeado por"/>
    <s v="Sin Lesión"/>
    <s v="Ultraport"/>
    <s v="Bono Turno"/>
    <s v="No Aplica"/>
    <s v="Sin responsabilidad"/>
    <s v="Transferencia de Graneles Limpios"/>
    <x v="45"/>
    <s v="Limpieza"/>
    <s v="VLADIMIR VEGA"/>
    <s v="Ultraport"/>
    <s v="Renta Fija"/>
    <s v="Antonio Huanca"/>
    <s v="TPA"/>
    <s v="viernes"/>
    <s v="1°"/>
    <n v="0"/>
    <n v="0"/>
    <s v="N/A"/>
    <s v="N/A"/>
  </r>
  <r>
    <n v="97"/>
    <s v="JOHNSON CALDERON LYNDON JAMES"/>
    <n v="41"/>
    <s v="15.009.076-8"/>
    <s v="Masculino"/>
    <s v="OPERADOR RS"/>
    <s v="Entre 1 y 3 años"/>
    <m/>
    <s v="Operador de 41 años el dia sabado 25/05 a las 15:00  al momento de retroceder para cargar  tracto en sector 32 NO calcula distancia, por lo cual, choca con contenedor provocando un daño a la pintura del equipo. Contenedor NO sufre ningún daño. "/>
    <x v="58"/>
    <d v="1899-12-30T15:00:00"/>
    <s v="‌Terminal de contenedores - Arica"/>
    <s v="Operacion inadecuada"/>
    <x v="0"/>
    <s v="SI"/>
    <s v="NO"/>
    <m/>
    <s v="No Aplica"/>
    <s v="Bajo"/>
    <s v="Choque - Colisión"/>
    <s v="Sin Lesión"/>
    <s v="Ultraport"/>
    <s v="Bono Turno"/>
    <s v="Negativo"/>
    <m/>
    <s v="Transferencia de Contenedores Grúa Nave y Grúa Tierra"/>
    <x v="46"/>
    <s v="Transferencia"/>
    <s v="SAID VERGARA"/>
    <s v="Ultraport"/>
    <s v="Renta Fija"/>
    <s v="Sin informacion"/>
    <s v="Sin informacion"/>
    <s v="sábado"/>
    <s v="1°"/>
    <n v="0"/>
    <n v="0"/>
    <s v="N/A"/>
    <s v="N/A"/>
  </r>
  <r>
    <n v="98"/>
    <s v="GODOY ROMERO PATRICIO IGNACIO"/>
    <n v="24"/>
    <s v="20.218.003-5"/>
    <s v="Masculino"/>
    <s v="OPERADOR GH"/>
    <s v="Menor a 1 año"/>
    <m/>
    <s v="Operado se trasladaba a portalón móvil, detectando fuga de aceite en el suelo, deteniendo el equipo y evidenciando además que había golpeado (por espacio reducido) el flexible con la base  del portalón, razón que provocó dicho derrame."/>
    <x v="59"/>
    <d v="1899-12-30T17:00:00"/>
    <s v="‌Sitio 3 - Arica"/>
    <s v="Falla operacional"/>
    <x v="1"/>
    <s v="SI"/>
    <s v="NO"/>
    <s v="NO"/>
    <s v="Leve"/>
    <s v="Bajo"/>
    <s v="No Aplica"/>
    <s v="Sin Lesión"/>
    <s v="Ultraport"/>
    <s v="Bono Turno"/>
    <s v="Negativo"/>
    <m/>
    <s v="Transferencia de contenedores"/>
    <x v="47"/>
    <s v="Control material"/>
    <s v="SAID VERGARA"/>
    <s v="Ultraport"/>
    <s v="Renta Fija"/>
    <s v="Said Vergara"/>
    <s v="Ultraport"/>
    <s v="lunes"/>
    <s v="2°"/>
    <n v="0"/>
    <n v="0"/>
    <s v="1 litros"/>
    <m/>
  </r>
  <r>
    <n v="99"/>
    <s v="CHILCUMPA AGUILERA RICHARD ALEJANDRO"/>
    <n v="46"/>
    <s v="13.224.689-0"/>
    <s v="Masculino"/>
    <s v="OPERADOR CF"/>
    <s v="Mayor a 3 años"/>
    <m/>
    <s v="Operador se encontraba remontando soya al costado de camión, cuando al llegar a ruma, se percata que balde se desprende desde brazo de equipo por lo que detiene inmediatamente equipo y da aviso."/>
    <x v="60"/>
    <d v="1899-12-30T00:35:00"/>
    <s v="‌almacén 4 - Arica"/>
    <s v="Falla operacional"/>
    <x v="1"/>
    <s v="SI"/>
    <s v="NO"/>
    <s v="NO"/>
    <s v="Leve"/>
    <s v="Bajo"/>
    <s v="No Aplica"/>
    <s v="Sin Lesión"/>
    <s v="Ultraport"/>
    <s v="Bono Turno"/>
    <s v="Negativo"/>
    <m/>
    <s v="Recepción de soya a granel"/>
    <x v="48"/>
    <s v="Remonte de soya"/>
    <s v="ALFREDO CALDERÓN"/>
    <s v="Ultraport"/>
    <s v="Renta Fija"/>
    <s v="Guillermo Maldonado"/>
    <s v="Ultraport"/>
    <s v="miércoles"/>
    <s v="3°"/>
    <n v="0"/>
    <n v="0"/>
    <s v="1 litros"/>
    <m/>
  </r>
  <r>
    <n v="100"/>
    <s v="CORTES ROJAS ALEJANDRO SEGUNDO"/>
    <n v="42"/>
    <s v="14.105.328-0"/>
    <s v="Masculino"/>
    <s v="OPERADOR GH "/>
    <s v="Mayor a 3 años"/>
    <m/>
    <s v="Operador de 42 años el dia miercoles 29/05 a las 13:10 al momento de desconsolidar tambores de asfalto con grúa horquilla, aditamento picoloro en sector norte, al ingresar a contenedor uno de ellos se desprende provocando golpe en torre causando daño en polea central del flexible."/>
    <x v="60"/>
    <d v="1899-12-30T13:10:00"/>
    <s v="‌Sector Norte - Arica"/>
    <s v="Condicion de tambores"/>
    <x v="0"/>
    <s v="SI"/>
    <s v="NO"/>
    <m/>
    <s v="No Aplica"/>
    <s v="Bajo"/>
    <s v="Caída de objetos"/>
    <s v="Sin Lesión"/>
    <s v="Ultraport"/>
    <s v="Bono Turno"/>
    <s v="No Aplica"/>
    <s v="Sin responsabilidad"/>
    <s v="Desconsolidado y Manipulación Carga General"/>
    <x v="49"/>
    <s v="Desconsolidado"/>
    <s v="SANDRO ZAVALA"/>
    <s v="Ultraport"/>
    <s v="Renta Fija"/>
    <s v="Maximiliano Orellana"/>
    <s v="TPA"/>
    <s v="miércoles"/>
    <s v="1°"/>
    <n v="0"/>
    <n v="0"/>
    <s v="N/A"/>
    <s v="N/A"/>
  </r>
  <r>
    <n v="101"/>
    <s v="BARRERA ESPINOZA MAURICIO"/>
    <n v="54"/>
    <s v="11.610.619-1"/>
    <s v="Masculino"/>
    <s v="OPERADOR RS"/>
    <s v="Mayor a 3 años"/>
    <m/>
    <s v="Operador de 54 años el dia miercoles 29/05 a las 14:15 realizaba despeje de contenedor 3 de alto (TLLU224067-7) en sector 31, al retroceder siente que se revienta neumático trasero derecho."/>
    <x v="60"/>
    <d v="1899-12-30T14:15:00"/>
    <s v="‌Terminal de contenedores - Arica"/>
    <s v="Fatiga de material"/>
    <x v="0"/>
    <s v="SI"/>
    <s v="NO"/>
    <m/>
    <s v="No Aplica"/>
    <s v="Bajo"/>
    <s v="Cambio en condición natural de componentes medio ambientales"/>
    <s v="Sin Lesión"/>
    <s v="Ultraport"/>
    <s v="Bono Turno"/>
    <s v="No Aplica"/>
    <s v="Sin responsabilidad"/>
    <s v="Transferencia de Contenedores Grúa Nave y Grúa Tierra"/>
    <x v="44"/>
    <s v="Descarga"/>
    <s v="OSCAR MUÑOZ"/>
    <s v="Ultraport"/>
    <s v="Renta Fija"/>
    <s v="Omayra Cautin"/>
    <s v="Ultraport"/>
    <s v="miércoles"/>
    <s v="1°"/>
    <n v="0"/>
    <n v="0"/>
    <s v="N/A"/>
    <s v="N/A"/>
  </r>
  <r>
    <n v="102"/>
    <s v="ZEPEDA SANTIAGO JUAN RODRIGO"/>
    <n v="45"/>
    <s v="13.637.904-6"/>
    <s v="Masculino"/>
    <s v="OPERADOR GH "/>
    <s v="Mayor a 3 años"/>
    <m/>
    <s v="Colaborador de 45 años el dia miercoles 29/05 a las 20:30 motocicleta se cae de la rampa del camion a 3 de alto, producto de la condicion de la carga, ya que el tipo de bulto ( caja de carton con moto ) es muy inestable al estibarla en rampa."/>
    <x v="60"/>
    <d v="1899-12-30T20:30:00"/>
    <s v="‌Sector Norte - Arica"/>
    <s v="Condicion de carga"/>
    <x v="0"/>
    <s v="SI"/>
    <s v="NO"/>
    <m/>
    <s v="No Aplica"/>
    <s v="Bajo"/>
    <s v="Caída de objetos"/>
    <s v="Sin Lesión"/>
    <s v="Ultraport"/>
    <s v="Bono Turno"/>
    <s v="No Aplica"/>
    <s v="Sin responsabilidad"/>
    <s v="Desconsolidado y Manipulación Carga General"/>
    <x v="50"/>
    <s v="Desconsolidado"/>
    <s v="OSCAR MUÑOZ"/>
    <s v="Ultraport"/>
    <s v="Renta Fija"/>
    <s v="Sin informacion"/>
    <s v="Sin informacion"/>
    <s v="miércoles"/>
    <s v="2°"/>
    <n v="0"/>
    <n v="0"/>
    <s v="N/A"/>
    <s v="N/A"/>
  </r>
  <r>
    <n v="103"/>
    <s v="FIGUEROA MAIPIL LUIS NICOLAS"/>
    <n v="38"/>
    <s v="16.227.007-9 "/>
    <s v="Masculino"/>
    <s v="OPERADOR MC"/>
    <s v="Mayor a 3 años"/>
    <m/>
    <s v="Operador al momento de realizar la descarga de soya con minicargador, ocaciona un daño leve (Trizadura) en una de las puertas de madera de la rampla. "/>
    <x v="61"/>
    <d v="1899-12-30T02:00:00"/>
    <s v="‌Almacén 6"/>
    <s v="Operación inadecuada"/>
    <x v="0"/>
    <s v="SI"/>
    <s v="NO"/>
    <s v="NO"/>
    <s v="Leve"/>
    <s v="Bajo"/>
    <s v="No Aplica"/>
    <s v="Sin Lesión"/>
    <s v="Ultraport"/>
    <s v="Bono Turno"/>
    <s v="Negativo"/>
    <m/>
    <s v="Descarga de camiones con soya"/>
    <x v="51"/>
    <s v="Remonte de soya"/>
    <s v="VLADIMIR VEGA"/>
    <s v="Ultraport"/>
    <s v="Renta Fija"/>
    <s v="Abraham Triviño"/>
    <s v="TPA"/>
    <s v="sábado"/>
    <s v="3°"/>
    <n v="0"/>
    <n v="0.25"/>
    <s v="N/A"/>
    <s v="N/A"/>
  </r>
  <r>
    <n v="104"/>
    <s v="CALDERA ALVAREZ MARCELO ALEJANDRO"/>
    <n v="48"/>
    <s v="13.089.211-6 "/>
    <s v="Masculino"/>
    <s v="OPERADOR"/>
    <s v="Mayor a 3 años"/>
    <m/>
    <s v="Operador Marcelo Caldera código 688 se encontraba remontando soya con apoyo de cargador frontal, en ese momento no advierte riel de ferrocarril oculto por polvo cereal chocando con balde, lo que provoca que se desprendan 4 pernos sujeción de cuchilla. "/>
    <x v="61"/>
    <d v="1899-12-30T14:45:00"/>
    <s v="‌almacén 4 - Arica"/>
    <s v="Condicion de riel"/>
    <x v="0"/>
    <s v="NO"/>
    <s v="NO"/>
    <s v="NO"/>
    <s v="Leve"/>
    <s v="Bajo"/>
    <s v="No Aplica"/>
    <s v="Sin Lesión"/>
    <s v="Ultraport"/>
    <s v="Bono Turno"/>
    <s v="No Aplica"/>
    <s v="Condicion subestandar"/>
    <s v="Granel Limpio Acopio"/>
    <x v="51"/>
    <s v="Remonte de soya"/>
    <s v="OSCAR MUÑOZ"/>
    <s v="Ultraport"/>
    <s v="Renta Fija"/>
    <s v="Abraham Triviño"/>
    <s v="TPA"/>
    <s v="sábado"/>
    <s v="1°"/>
    <n v="0"/>
    <n v="0"/>
    <s v="N/A"/>
    <s v="N/A"/>
  </r>
  <r>
    <n v="105"/>
    <s v="HUERTA PASTEN SERGIO ARANEL"/>
    <n v="47"/>
    <s v="13.213.634-3"/>
    <s v="Masculino"/>
    <s v="OPERADOR"/>
    <s v="Mayor a 3 años"/>
    <m/>
    <s v=" Operador Sergio Huerta al momento de activar el giro de la tornamesa de una fuga de aceite hidráulico por la parte superior del Spreader, deteniendo el equipo inmediatamente. mantenimiento informa ruptura de flexible por fatiga de material. "/>
    <x v="62"/>
    <d v="1899-12-30T03:40:00"/>
    <s v="‌Sector Norte - Arica"/>
    <s v="Fatiga de material"/>
    <x v="0"/>
    <s v="SI"/>
    <s v="NO"/>
    <s v="NO"/>
    <s v="Leve"/>
    <s v="Bajo"/>
    <s v="No Aplica"/>
    <s v="Sin Lesión"/>
    <s v="Ultraport"/>
    <s v="Bono Turno"/>
    <s v="No Aplica"/>
    <s v="Sin responsabilidad"/>
    <s v="Movimiento contenedores"/>
    <x v="52"/>
    <s v="Movimiento de contenedores"/>
    <s v="SAID VERGARA"/>
    <s v="Ultraport"/>
    <s v="Renta Fija"/>
    <s v="Sin informacion"/>
    <s v="Sin informacion"/>
    <s v="lunes"/>
    <s v="3°"/>
    <n v="0"/>
    <s v="N/A"/>
    <s v="N/A"/>
    <s v="N/A"/>
  </r>
  <r>
    <n v="106"/>
    <s v="CAMPOS OLIVARES VICTOR DANIEL"/>
    <n v="47"/>
    <s v="13.212.651-8 "/>
    <s v="Masculino"/>
    <s v="OPERADOR"/>
    <s v="Mayor a 3 años"/>
    <m/>
    <s v="Operador Victor Campos deja 3 carpas sobre camión Boliviano, en donde aparece chofer indicando que quiere  una de las carpas en la parte del acoplade del camión, pidiendo a operdor que lo haga. Operador al tratar de correr carpa con uñas de grúa produce pequeño corte a esta."/>
    <x v="63"/>
    <d v="1899-12-30T10:30:00"/>
    <s v="‌Sector Norte - Arica"/>
    <s v="Operacion inadecuada"/>
    <x v="0"/>
    <s v="SI"/>
    <s v="NO"/>
    <s v="NO"/>
    <s v="Leve"/>
    <s v="Bajo"/>
    <s v="No Aplica"/>
    <s v="Sin Lesión"/>
    <s v="Ultraport"/>
    <s v="Bono Turno"/>
    <s v="No Aplica"/>
    <s v="Sin responsabilidad"/>
    <s v="Carguío de camiones"/>
    <x v="11"/>
    <s v="Posicionar carpa de camión"/>
    <s v="ALFREDO CALDERÓN"/>
    <s v="Ultraport"/>
    <s v="Renta Fija"/>
    <s v="Gabriela Novoa"/>
    <s v="TPA"/>
    <s v="miércoles"/>
    <s v="1°"/>
    <n v="0"/>
    <s v="N/A"/>
    <s v="N/A"/>
    <s v="N/A"/>
  </r>
  <r>
    <n v="107"/>
    <s v="CORTES ROJAS ALEJANDRO SEGUNDO"/>
    <n v="43"/>
    <s v="14.105.328-0"/>
    <s v="Masculino"/>
    <s v="OPERADOR"/>
    <s v="Mayor a 3 años"/>
    <m/>
    <s v="Colaborador se encontraba en capacitacion en INACAP, cuando en hora de almuerzo se comienza a sentir mal, agitado. IST se dirige al lugar para evaluacion, en donde trabajador indica que sufre de crisis de panicos en donde es trasladado a su hogar. "/>
    <x v="64"/>
    <d v="1899-12-30T13:00:00"/>
    <s v="N/A"/>
    <s v="N/A"/>
    <x v="3"/>
    <s v="NO"/>
    <s v="NO"/>
    <s v="NO"/>
    <s v="No Aplica"/>
    <s v="No aplica"/>
    <s v="No Aplica"/>
    <s v="Sin Lesión"/>
    <s v="Ultraport"/>
    <s v="Bono Turno"/>
    <s v="No Aplica"/>
    <s v="No aplica"/>
    <s v="N/A"/>
    <x v="11"/>
    <s v="N/A"/>
    <s v="N/A"/>
    <s v="N/A"/>
    <s v="N/A"/>
    <s v="N/A"/>
    <s v="N/A"/>
    <s v="sábado"/>
    <s v="N/A"/>
    <s v="N/A"/>
    <s v="N/A"/>
    <s v="N/A"/>
    <s v="N/A"/>
  </r>
  <r>
    <n v="108"/>
    <s v="PACHA ACEVEDO LUIS FERNANDO"/>
    <n v="22"/>
    <s v="20.912.493-9 "/>
    <s v="Masculino"/>
    <s v="OPERADOR GH"/>
    <s v="Entre 1 y 3 años"/>
    <m/>
    <s v="Operador Luis Pacha. Código 9761. Al momento de trasladarse desde sector norte y llegar a cruce de terminal pesquero, este no se percata de las señaléticas de PARE por lo que sigue sin detenerse."/>
    <x v="65"/>
    <d v="1899-12-30T22:10:00"/>
    <s v="Sector Whisky"/>
    <s v="Acción subestandar"/>
    <x v="0"/>
    <s v="SI"/>
    <s v="NO"/>
    <s v="NO"/>
    <s v="No Aplica"/>
    <s v="Bajo"/>
    <s v="Atropello"/>
    <s v="Sin Lesión"/>
    <s v="Ultraport"/>
    <s v="CPPT"/>
    <s v="Negativo"/>
    <m/>
    <s v="Despacho y recepción de contenedores"/>
    <x v="53"/>
    <s v="Traslado de contenedores"/>
    <s v="CHRISTOPHER TAPIA"/>
    <s v="Ultraport"/>
    <s v="Renta Fija"/>
    <s v="N/A"/>
    <s v="N/A"/>
    <s v="martes"/>
    <s v="2°"/>
    <n v="0"/>
    <s v="N/A"/>
    <s v="N/A"/>
    <s v="N/A"/>
  </r>
  <r>
    <n v="109"/>
    <s v="Jonathan Palma Herrera"/>
    <n v="32"/>
    <s v="17.555.325-8"/>
    <s v="Masculino"/>
    <s v="OPERADOR TC"/>
    <s v="Entre 1 y 3 años"/>
    <m/>
    <s v="Operador al momento de girar equipo para poder salir de pasillo no se percata y pasa a llevar bottai delimitador, por lo que detiene equipo y da aviso."/>
    <x v="66"/>
    <d v="1899-12-30T12:02:00"/>
    <s v="‌Sitio 5 - Arica"/>
    <s v="Falta de atencion"/>
    <x v="0"/>
    <s v="SI"/>
    <s v="NO"/>
    <s v="SI"/>
    <s v="No Aplica"/>
    <s v="Bajo"/>
    <s v="Atropello"/>
    <s v="Sin Lesión"/>
    <s v="Ultraport"/>
    <s v="CPPT"/>
    <s v="Negativo"/>
    <m/>
    <s v="Transferencia de contenedores"/>
    <x v="54"/>
    <s v="1descarga"/>
    <s v="ALFREDO LOPEZ"/>
    <s v="Ultraport"/>
    <s v="Renta Fija"/>
    <s v="Gustavo Tavali"/>
    <s v="Ultraport"/>
    <s v="miércoles"/>
    <s v="1°"/>
    <n v="0"/>
    <s v="N/A"/>
    <s v="N/A"/>
    <s v="N/A"/>
  </r>
  <r>
    <n v="110"/>
    <s v="Wilfredo Bugueño Aguirre"/>
    <n v="57"/>
    <s v="9.105.395-0"/>
    <s v="Masculino"/>
    <s v="OPERADOR GH"/>
    <s v="Entre 1 y 3 años"/>
    <m/>
    <s v="operador al momento de levantar big bag este viene muy apegado a la puerta de la rampla (puertas bajas). al momento de levantar esta se rasga con el borde de la  puerta por su interior. "/>
    <x v="66"/>
    <d v="1899-12-30T10:08:00"/>
    <s v="‌Almacén 8 - Arica"/>
    <s v="Condicion saca"/>
    <x v="0"/>
    <s v="SI"/>
    <s v="NO"/>
    <s v="SI"/>
    <s v="No Aplica"/>
    <s v="Bajo"/>
    <s v="Caída de objetos"/>
    <s v="Sin Lesión"/>
    <s v="Ultraport"/>
    <s v="Bono Turno"/>
    <s v="No Realizado"/>
    <s v="Criterio área Operaciones"/>
    <s v="Consolidado de mineral"/>
    <x v="55"/>
    <s v="Consolidado"/>
    <s v="Sin informacion"/>
    <s v="Sin informacion"/>
    <s v="Sin informacion"/>
    <s v="Sin informacion"/>
    <s v="Sin informacion"/>
    <s v="miércoles"/>
    <s v="1°"/>
    <n v="0"/>
    <s v="N/A"/>
    <s v="N/A"/>
    <s v="N/A"/>
  </r>
  <r>
    <n v="111"/>
    <s v="CALDERA BAEZA BAYRON MATIAS"/>
    <n v="22"/>
    <s v="20.951.145-2"/>
    <s v="Masculino"/>
    <s v="OPERADOR GH"/>
    <s v="Menor a 1 año"/>
    <m/>
    <s v="Operador al trasladarse para tomar media hora de descanso pasa por desnivel lo que provoca que una de sus uñas choque con riel dañando la funda."/>
    <x v="67"/>
    <d v="1899-12-30T13:00:00"/>
    <s v="‌almacén 4 - Arica"/>
    <s v="Condicion de suelo"/>
    <x v="0"/>
    <s v="SI"/>
    <s v="NO"/>
    <s v="SI"/>
    <s v="No Aplica"/>
    <s v="Bajo"/>
    <s v="Golpeado por"/>
    <s v="Sin Lesión"/>
    <s v="Ultraport"/>
    <s v="Bono Turno"/>
    <s v="No Aplica"/>
    <s v="Por condición del entorno se decida no aplicar A&amp;D"/>
    <s v="Recepción de graneles"/>
    <x v="56"/>
    <s v="Traslado a media hora"/>
    <s v="ALFREDO CALDERÓN"/>
    <s v="Ultraport"/>
    <s v="Renta Fija"/>
    <s v="Leodan Alvarez"/>
    <s v="Ultraport"/>
    <s v="jueves"/>
    <s v="1°"/>
    <n v="0"/>
    <s v="N/A"/>
    <s v="N/A"/>
    <s v="N/A"/>
  </r>
  <r>
    <n v="112"/>
    <s v="Sebastián Perez Dinamarca"/>
    <n v="33"/>
    <s v="17.798.896-0"/>
    <s v="Masculino"/>
    <s v="MOVILIZADOR"/>
    <s v="Entre 1 y 3 años"/>
    <m/>
    <s v="Colaborador el terminar de cerrar la ultima puerta del camión, al retroceder la escalera, esta pasa a llevar uno de los espejos lateral izquierdo quebrando una de sus dos bases."/>
    <x v="68"/>
    <d v="1899-12-30T12:00:00"/>
    <s v="‌Sector Codo - Arica"/>
    <s v="Falta atención del entorno"/>
    <x v="0"/>
    <s v="SI"/>
    <s v="NO"/>
    <s v="SI"/>
    <s v="No Aplica"/>
    <s v="Bajo"/>
    <s v="Golpeado por"/>
    <s v="Sin Lesión"/>
    <s v="Ultraport"/>
    <s v="CPPT"/>
    <s v="Negativo"/>
    <m/>
    <s v="Limpieza de camiones"/>
    <x v="57"/>
    <s v="Cierre de puertas"/>
    <s v="VLADIMIR VEGA"/>
    <s v="Ultraport"/>
    <s v="Renta Fija"/>
    <s v="Erich Carillo"/>
    <s v="TPA"/>
    <s v="sábado"/>
    <s v="1°"/>
    <n v="0"/>
    <s v="N/A"/>
    <s v="N/A"/>
    <s v="N/A"/>
  </r>
  <r>
    <n v="113"/>
    <s v="Jeremy Johnson Calderon"/>
    <n v="22"/>
    <s v="20.908.991-2"/>
    <s v="Masculino"/>
    <s v="OPERADOR TC"/>
    <s v="Menor a 1 año"/>
    <m/>
    <s v="Operador al momento de salir de romana cargado con contenedor full (soya) se engancha en tacos de apoyo que van suelto por la vibración del trayecto, estos se pillan entre el conjunto trasero derecho reventando los cuatro neumáticos traseros de lado derecho de rampla de tractocamión."/>
    <x v="68"/>
    <d v="1899-12-30T04:00:00"/>
    <s v="‌almacén 4 - Arica"/>
    <s v="Condición estación de Romaneo"/>
    <x v="0"/>
    <s v="SI"/>
    <s v="NO"/>
    <s v="SI"/>
    <s v="No Aplica"/>
    <s v="Bajo"/>
    <s v="Liberación de energía"/>
    <s v="Sin Lesión"/>
    <s v="Ultraport"/>
    <s v="CPPT"/>
    <s v="No Aplica"/>
    <s v="por condición"/>
    <s v="Traslado de contenedores"/>
    <x v="58"/>
    <s v="Traslado contenedor con soya"/>
    <s v="JORGE DONOSO"/>
    <s v="Ultraport"/>
    <s v="Renta Fija"/>
    <s v="Leo Delzo"/>
    <s v="TPA"/>
    <s v="sábado"/>
    <s v="1°"/>
    <n v="0"/>
    <s v="N/A"/>
    <s v="N/A"/>
    <s v="N/A"/>
  </r>
  <r>
    <n v="114"/>
    <s v="Patrich Cárcamo Bijman"/>
    <n v="47"/>
    <s v="13.212.323-3"/>
    <s v="Masculino"/>
    <s v="OPERADOR GH"/>
    <s v="Entre 1 y 3 años"/>
    <m/>
    <s v="Colaborador al momento de desconsolidar big-bag de mineral con apoyo de grúa horquilla, posiciona uñas debajo de esta generando fatiga de material, cayendo 20 kg en interior de contenedor."/>
    <x v="68"/>
    <d v="1899-12-30T18:10:00"/>
    <s v="‌Almacén 8 - Arica"/>
    <s v="Fatiga de material"/>
    <x v="1"/>
    <s v="SI"/>
    <s v="NO"/>
    <s v="SI"/>
    <s v="Leve"/>
    <s v="Bajo"/>
    <s v="No Aplica"/>
    <s v="Sin Lesión"/>
    <s v="Ultraport"/>
    <s v="Eventual"/>
    <s v="No Aplica"/>
    <s v="Fatiga de material"/>
    <s v="Consolidado Big Bag"/>
    <x v="55"/>
    <s v="Consolidado de sacas"/>
    <s v="OSCAR MUÑOZ"/>
    <s v="Ultraport"/>
    <s v="Renta Fija"/>
    <s v="Cristian Medina"/>
    <s v="TPA"/>
    <s v="sábado"/>
    <s v="2°"/>
    <n v="0"/>
    <n v="0"/>
    <s v="20 kg"/>
    <s v="GH E02"/>
  </r>
  <r>
    <n v="115"/>
    <s v="Wilfredo Bugueño Aguirre"/>
    <n v="57"/>
    <s v="9.105.395-0"/>
    <s v="Masculino"/>
    <s v="OPERADOR GH"/>
    <s v="Entre 1 y 3 años"/>
    <m/>
    <s v="Operador al momento de levantar new jersey para que colaboradores realicen la función de enrollar la manteleta en el costado de molo, este se voltea cayendo al agua. Existe probabilidad de que movilizadores hubieran sido arrastrados por manteleta"/>
    <x v="69"/>
    <d v="1899-12-30T16:15:00"/>
    <s v="‌Sitio 3 - Arica"/>
    <s v="no se identifica distancia de seguridad en PTS"/>
    <x v="0"/>
    <s v="SI"/>
    <s v="NO"/>
    <s v="SI"/>
    <s v="No Aplica"/>
    <s v="Alto"/>
    <s v="Caída de persona al Agua"/>
    <s v="Sin Lesión"/>
    <s v="Ultraport"/>
    <s v="Bono Turno"/>
    <s v="Negativo"/>
    <m/>
    <s v="Movimiento manteleta"/>
    <x v="59"/>
    <s v="posicionamiento new jersey"/>
    <s v="VLADIMIR VEGA"/>
    <s v="Ultraport"/>
    <s v="Renta Fija"/>
    <s v="Mauricio Navarro"/>
    <s v="Ultraport"/>
    <s v="domingo"/>
    <s v="2°"/>
    <n v="0"/>
    <s v="N/A"/>
    <s v="N/A"/>
    <s v="N/A"/>
  </r>
  <r>
    <n v="116"/>
    <s v="Sebastián Marín Carrión y "/>
    <n v="25"/>
    <s v="19.872.031-3"/>
    <s v="Masculino"/>
    <s v="MOVILIZADOR"/>
    <s v="Mayor a 3 años"/>
    <m/>
    <s v="Colaboradores al momento de realizar la apertura de la primera puerta de la rampla con el apoyo de la grúa horquilla, uno de los seguros el cual eran giratorios del pilar, se gira muentras la puerta se aperturaba ocasionando un daño leve al quedar con presión la puerta."/>
    <x v="70"/>
    <d v="1899-12-30T17:00:00"/>
    <s v="‌almacén 4 - Arica"/>
    <s v="Condición de los seguros"/>
    <x v="0"/>
    <s v="SI"/>
    <s v="NO"/>
    <s v="SI"/>
    <s v="No Aplica"/>
    <s v="Bajo"/>
    <s v="Golpeado por"/>
    <s v="Sin Lesión"/>
    <s v="Ultraport"/>
    <s v="CPPT"/>
    <s v="No Realizado"/>
    <s v="Criterio área Operaciones"/>
    <s v="Descarga de camiones"/>
    <x v="60"/>
    <s v="Apertura de puertas"/>
    <s v="VLADIMIR VEGA"/>
    <s v="Ultraport"/>
    <s v="Renta Fija"/>
    <s v="Sin informacion"/>
    <s v="Sin informacion"/>
    <s v="martes"/>
    <s v="2°"/>
    <n v="0"/>
    <s v="N/A"/>
    <s v="N/A"/>
    <s v="N/A"/>
  </r>
  <r>
    <n v="117"/>
    <s v="REBOLLEDO FLORES LUIS ARMANDO"/>
    <n v="57"/>
    <s v="10.107.872-8"/>
    <s v="Masculino"/>
    <s v="OPERADOR GH"/>
    <s v="Mayor a 3 años"/>
    <m/>
    <s v="Operador se encontraba realizando desconsolidado de contenedor de carga general, al momento de ingresar operador da aviso que la carga viene mal estibada a encargado de área y representante de la carga y recibe como instrucción que igual se tiene que desconsolidar, y al momento de sacar un pallet de tambor con la punta de la uña, pasa a llevar un saco provocando un daño."/>
    <x v="71"/>
    <d v="1899-12-30T12:15:00"/>
    <s v="‌Almacén 1 - Arica"/>
    <s v="Mala estiba"/>
    <x v="0"/>
    <s v="SI"/>
    <s v="NO"/>
    <s v="SI"/>
    <s v="No Aplica"/>
    <s v="Bajo"/>
    <s v="Choque - Colisión"/>
    <s v="Sin Lesión"/>
    <s v="Ultraport"/>
    <s v="CPPT"/>
    <s v="No Aplica"/>
    <s v="Por condición de la carga"/>
    <s v="Desconsolidado de ocntenedor"/>
    <x v="61"/>
    <s v="Internación de carga"/>
    <s v="JORGE DONOSO"/>
    <s v="Ultraport"/>
    <s v="Renta Fija"/>
    <s v="Sin informacion"/>
    <s v="Sin informacion"/>
    <s v="miércoles"/>
    <s v="1°"/>
    <n v="0"/>
    <s v="N/A"/>
    <s v="N/A"/>
    <s v="N/A"/>
  </r>
  <r>
    <n v="118"/>
    <s v="REBOLLEDO FLORES LUIS ARMANDO"/>
    <n v="57"/>
    <s v="10.107.872-8"/>
    <s v="Masculino"/>
    <s v="OPERADOR MC"/>
    <s v="Mayor a 3 años"/>
    <m/>
    <s v="Operador se encontraba realizando tarea de barrido en sector f4, al momento de retroceder el flexible de accionamiento de cepillo se engancha en contenedorr, sufriendo  daño la férula de flexible, derramando aceite. "/>
    <x v="68"/>
    <d v="1899-12-30T00:30:00"/>
    <s v="‌almacén 4 - Arica"/>
    <s v="Operación"/>
    <x v="1"/>
    <s v="SI"/>
    <s v="NO"/>
    <s v="SI"/>
    <s v="Leve"/>
    <s v="Bajo"/>
    <s v="No Aplica"/>
    <s v="Sin Lesión"/>
    <s v="Ultraport"/>
    <s v="CPPT"/>
    <s v="Negativo"/>
    <m/>
    <s v="Limpieza del área de trabajo"/>
    <x v="62"/>
    <s v="Barrido de soya"/>
    <s v="JORGE DONOSO"/>
    <s v="Ultraport"/>
    <s v="Renta Fija"/>
    <s v="Leo Delzo"/>
    <s v="TPA"/>
    <s v="sábado"/>
    <s v="3°"/>
    <n v="0"/>
    <n v="0"/>
    <s v="2 Litros"/>
    <s v="MINICF-0008"/>
  </r>
  <r>
    <n v="119"/>
    <s v="Patrick Carcamo Bijman"/>
    <n v="48"/>
    <s v="13.212.323-3 "/>
    <s v="Masculino"/>
    <s v="OPERADOR GH"/>
    <s v="Entre 1 y 3 años"/>
    <m/>
    <s v="Operador GH Patrick Cárcamo se encontraba realizando consolidado de contenedor de Big-Bag (mineral) al interior de almacén 8, al momento de tomar ultimo pallets pasa a llevar Big-Bag con la punta de la uña provocando un daño al embalaje "/>
    <x v="72"/>
    <d v="1899-12-30T14:23:00"/>
    <s v="‌Almacén 8 - Arica"/>
    <s v="Operación"/>
    <x v="1"/>
    <s v="SI"/>
    <s v="NO"/>
    <s v="SI"/>
    <s v="Leve"/>
    <s v="Bajo"/>
    <s v="No Aplica"/>
    <s v="Sin Lesión"/>
    <s v="Ultraport"/>
    <s v="Eventual"/>
    <s v="Negativo"/>
    <m/>
    <s v="Consolidado Big Bag"/>
    <x v="63"/>
    <s v="Consolidado de sacas Big Bag"/>
    <s v="JORGE DONOSO"/>
    <s v="Ultraport"/>
    <s v="Renta Fija"/>
    <s v="Allan Vega"/>
    <s v="TPA"/>
    <s v="jueves"/>
    <s v="1°"/>
    <n v="0"/>
    <n v="0"/>
    <s v="1 Kg"/>
    <s v="GH243"/>
  </r>
  <r>
    <n v="120"/>
    <s v="Cristian Muena"/>
    <n v="39"/>
    <s v="15947440-2 "/>
    <s v="Masculino"/>
    <s v="OPERADOR GH"/>
    <s v="Entre 1 y 3 años"/>
    <m/>
    <s v="operador mientras trasladaba big bag por su parte inferior(base) , al colocar 2 de alto big bag, este resbala de sus uñas, cayendose a píso y razgandose en su base al interior de contenedor "/>
    <x v="72"/>
    <d v="1899-12-30T19:15:00"/>
    <s v="‌Almacén 8 - Arica"/>
    <s v="Operacion"/>
    <x v="1"/>
    <s v="SI"/>
    <s v="NO"/>
    <s v="SI"/>
    <s v="Leve"/>
    <s v="Bajo"/>
    <s v="No Aplica"/>
    <s v="Sin Lesión"/>
    <s v="Ultraport"/>
    <s v="Eventual"/>
    <s v="Negativo"/>
    <m/>
    <s v="Consolidado indirecto"/>
    <x v="55"/>
    <s v="Consolidado en sacas"/>
    <s v="ALFREDO LOPEZ"/>
    <s v="Ultraport"/>
    <s v="Renta Fija"/>
    <s v="Cristian Sandoval"/>
    <s v="TPA"/>
    <s v="jueves"/>
    <s v="2°"/>
    <n v="0"/>
    <n v="0.25"/>
    <s v="8 Kg"/>
    <s v="GH E02"/>
  </r>
  <r>
    <n v="121"/>
    <s v="Gonzalo Reyes"/>
    <n v="41"/>
    <s v="15.008.897-6 "/>
    <s v="Masculino"/>
    <s v="OPERADOR MC"/>
    <s v="Entre 1 y 3 años"/>
    <m/>
    <s v="Operador Gonzalo reyes Fuenzalida código (8448) al realizar trabajo de barrido se percata que equipo deja mancha de aceite en el piso al realizar barrido en marcha atrás y el cual reacciona a detener el equipo y da aviso a supervisores TPA, UPORT, operador terminal, HSE TPA UPORT. "/>
    <x v="72"/>
    <d v="1899-12-30T14:10:00"/>
    <s v="‌Sitio 2B - Arica"/>
    <s v="Fatiga de material"/>
    <x v="1"/>
    <s v="SI"/>
    <s v="NO"/>
    <s v="SI"/>
    <s v="Leve"/>
    <s v="Bajo"/>
    <s v="No Aplica"/>
    <s v="Sin Lesión"/>
    <s v="Ultraport"/>
    <s v="Bono Turno"/>
    <s v="No Aplica"/>
    <s v="Sin responsabilidad"/>
    <s v="Embarque Soya a granel"/>
    <x v="64"/>
    <s v="Barrido de soya"/>
    <s v="SEBASTIAN MURA"/>
    <s v="Ultraport"/>
    <s v="Renta Fija"/>
    <s v="Jose Alfaro"/>
    <s v="TPA"/>
    <s v="jueves"/>
    <s v="1°"/>
    <n v="0"/>
    <n v="0"/>
    <s v="1 litros"/>
    <s v="MINICF-0007"/>
  </r>
  <r>
    <n v="122"/>
    <s v="Hector Herrera"/>
    <n v="37"/>
    <s v="16.671.471-0 "/>
    <s v="Masculino"/>
    <s v="OPERADOR CF"/>
    <s v="Entre 1 y 3 años"/>
    <m/>
    <s v="Operador CF Héctor Herrera, se encontraba en actividad de remonte de soya al costado de nave y al momento de retroceder se percata que 2 tripulantes pasan por detrás de Equipo deteniéndose de manera inmediata, dando aviso a jefe nave TPA."/>
    <x v="73"/>
    <d v="1899-12-30T19:00:00"/>
    <s v="‌Sitio 2B - Arica"/>
    <s v="Accion inadecuada por parte de tripulantes"/>
    <x v="0"/>
    <s v="NO"/>
    <s v="NO"/>
    <s v="NO"/>
    <s v="No Aplica"/>
    <s v="Bajo"/>
    <s v="Atropello"/>
    <s v="Sin Lesión"/>
    <s v="Ultraport"/>
    <s v="Bono Turno"/>
    <s v="No Aplica"/>
    <s v="Sin responsabilidad"/>
    <s v="Transferencia de Graneles Limpios"/>
    <x v="65"/>
    <s v="Remonte de soya"/>
    <s v="ALFREDO LOPEZ"/>
    <s v="Ultraport"/>
    <s v="Renta Fija"/>
    <s v="Gustavo Tavali"/>
    <s v="Ultraport"/>
    <s v="viernes"/>
    <s v="2°"/>
    <n v="0"/>
    <n v="0.25"/>
    <s v="N/A"/>
    <s v="N/A"/>
  </r>
  <r>
    <n v="123"/>
    <s v="SALINAS VELIZ FABIAN ESTEBAN"/>
    <n v="38"/>
    <s v="16.467.187-9"/>
    <s v="Masculino"/>
    <s v="N/A"/>
    <s v="N/A"/>
    <m/>
    <s v="SE PRESENTA SUPERVISOR CON DON FABIÁN SALINAS, REFIERE CEFALEA Y DOLOR CERVICAL, SIN OTROS SÍNTOMAS, SIN ENFERMEDAD DE BASE, SE REALIZA CONTROL DE SIGNOS VITALES, P/A: 163/103, FC: 66, Sato2: 99%, LUEGO DE 15 MINUTOS, P/A: 142/96, FC: 62 X, T. 36,2."/>
    <x v="74"/>
    <d v="1899-12-30T00:45:00"/>
    <s v="N/A"/>
    <s v="Preexistencia"/>
    <x v="3"/>
    <s v="NO"/>
    <s v="NO"/>
    <s v="NO"/>
    <s v="No Aplica"/>
    <s v="No aplica"/>
    <s v="No Aplica"/>
    <s v="Sin Lesión"/>
    <s v="Ultraport"/>
    <s v="Bono Turno"/>
    <s v="No Aplica"/>
    <s v="No aplica"/>
    <s v="N/A"/>
    <x v="11"/>
    <s v="N/A"/>
    <s v="N/A"/>
    <s v="N/A"/>
    <s v="N/A"/>
    <s v="N/A"/>
    <s v="N/A"/>
    <s v="martes"/>
    <s v="3°"/>
    <s v="N/A"/>
    <s v="N/A"/>
    <s v="N/A"/>
    <s v="N/A"/>
  </r>
  <r>
    <n v="124"/>
    <s v="Fabian Hernandez"/>
    <n v="39"/>
    <s v="16.772.541-4"/>
    <s v="Masculino"/>
    <s v="OPERADOR GH"/>
    <s v="Menor a 1 año"/>
    <s v="El día miércoles 03/07 a las 09:45 AM en almacén 8, Operador de 39 años al posicionar saca con mineral a 2 de alto, se percata que las fundas de la horquilla la pasan a llevar,  rompiendo sin caída de material a piso."/>
    <s v="El día miércoles 03/07 a las 09:45 AM en almacén 8, Operador de 39 años al posicionar saca con mineral a 2 de alto, se percata que las fundas de la horquilla la pasan a llevar,  rompiendo sin caída de material a piso."/>
    <x v="75"/>
    <d v="1899-12-30T09:45:00"/>
    <s v="‌Almacén 8 - Arica"/>
    <s v="Condicion cable funda"/>
    <x v="0"/>
    <s v="SI"/>
    <s v="NO"/>
    <s v="SI"/>
    <s v="No Aplica"/>
    <s v="Bajo"/>
    <s v="No Aplica"/>
    <s v="Sin Lesión"/>
    <s v="Ultraport"/>
    <s v="Bono Turno"/>
    <s v="No Aplica"/>
    <s v="Condición sacas"/>
    <s v="Recepción y Consolidado en Big Bag"/>
    <x v="66"/>
    <s v="Desconsolidado de sacas"/>
    <s v="OMAYRA CAUTIN"/>
    <s v="Ultraport"/>
    <s v="No aplica"/>
    <s v="Luis Morales"/>
    <s v="TPA"/>
    <s v="miércoles"/>
    <s v="1°"/>
    <s v="N/A"/>
    <s v="N/A"/>
    <s v="N/A"/>
    <s v="N/A"/>
  </r>
  <r>
    <n v="125"/>
    <s v="Hernan Rivera y Roberto Valencia"/>
    <n v="61"/>
    <s v="9.236.501-8 "/>
    <s v="Masculino"/>
    <s v="OPERADOR CF"/>
    <s v="Mayor a 3 años"/>
    <m/>
    <s v="Al termino de tener cerradas las puertas de la rampla y camión poder retirarce, chofer boliviano detecta que las ultimas dos puertas del lado izquierdo presentan daños al parecer por presión de la carga (Curbatura y un rayon en la ultima de estas) producidas nos comenta por los equipos que trabajaron en el lugar sin tener la certesa de cual equipo fue. Al entrevistar al Operador payloader Hernan Rivera y operador Minicargador Roberto Valencia, comentan que en ningun momento ocacionaron daños, al revisar las puertas no presentan marcas de neumaticos pero si un rayon en su ultima puerta. "/>
    <x v="75"/>
    <d v="1899-12-30T02:45:00"/>
    <s v="‌Sector Codo - Arica"/>
    <s v="Presion de equipo a compuerta"/>
    <x v="0"/>
    <s v="SI"/>
    <s v="SI"/>
    <s v="NO"/>
    <s v="No Aplica"/>
    <s v="Bajo"/>
    <s v="No Aplica"/>
    <s v="Sin Lesión"/>
    <s v="Ultraport"/>
    <s v="Bono Turno"/>
    <s v="Negativo"/>
    <m/>
    <s v="Recepción, Consolidado y Embarque de Graneles Limpio"/>
    <x v="67"/>
    <s v="Descarga y remonte"/>
    <s v="VLADIMIR VEGA"/>
    <s v="Ultraport"/>
    <s v="Renta Fija"/>
    <s v="Gabriel Vasquez"/>
    <s v="Ultraport"/>
    <s v="miércoles"/>
    <s v="3°"/>
    <n v="0"/>
    <n v="0.57999999999999996"/>
    <s v="N/A"/>
    <s v="N/A"/>
  </r>
  <r>
    <n v="126"/>
    <s v="Genaro Santibañez"/>
    <n v="26"/>
    <s v="19494578-7 "/>
    <s v="Masculino"/>
    <s v="OPERADOR GH"/>
    <s v="Entre 1 y 3 años"/>
    <m/>
    <s v="Operador de GH Emaresa E04 Genaro Santibañez Código 10338, al momento de apoyar el bajado de puerta trasera de camión  en TTC,  horquilla se apaga por condiciones del equipo lo cual, fue informado al inició del turno a pañol tpa y capataces de faena, este enciende horquilla avanza y golpea plástico de parachoque trasero."/>
    <x v="75"/>
    <d v="1899-12-30T12:30:00"/>
    <s v="‌almacén 4 - Arica"/>
    <s v="Condición de equipo"/>
    <x v="0"/>
    <s v="SI"/>
    <s v="NO"/>
    <s v="NO"/>
    <s v="No Aplica"/>
    <s v="Bajo"/>
    <s v="No Aplica"/>
    <s v="Sin Lesión"/>
    <s v="Ultraport"/>
    <s v="Bono Turno"/>
    <s v="No Aplica"/>
    <s v="Condición de equipo"/>
    <s v="Bajada y subida de compuertas"/>
    <x v="68"/>
    <s v="Bajado de compuertas"/>
    <s v="SANDRO ZAVALA"/>
    <s v="Ultraport"/>
    <s v="Renta Fija"/>
    <s v="Sergio Flores"/>
    <s v="TPA"/>
    <s v="miércoles"/>
    <s v="1°"/>
    <n v="0"/>
    <s v="N/A"/>
    <s v="N/A"/>
    <s v="N/A"/>
  </r>
  <r>
    <n v="127"/>
    <s v="Fabian Hernandez"/>
    <n v="39"/>
    <s v="16.772.541-4 "/>
    <s v="Masculino"/>
    <s v="OPERADOR GH"/>
    <s v="Entre 1 y 3 años"/>
    <m/>
    <s v="Operador Fabián Hernández Código 10337 Al posicionar saca  con mineral 2 de alto las fundas de la horquilla pasa a llevar saca  rompiendo sin caer material al piso. "/>
    <x v="75"/>
    <d v="1899-12-30T09:45:00"/>
    <s v="‌Almacén 8 - Arica"/>
    <s v="Condición fundas"/>
    <x v="1"/>
    <s v="SI"/>
    <s v="SI"/>
    <s v="NO"/>
    <s v="Leve"/>
    <s v="Bajo"/>
    <s v="No Aplica"/>
    <s v="Sin Lesión"/>
    <s v="Ultraport"/>
    <s v="Bono Turno"/>
    <s v="Negativo"/>
    <m/>
    <s v="Recepción y Consolidado en Big Bag"/>
    <x v="69"/>
    <s v="Desconsolidado de sacas"/>
    <s v="OMAYRA CAUTIN"/>
    <s v="Ultraport"/>
    <s v="Renta Fija"/>
    <s v="Luis Morales"/>
    <s v="TPA"/>
    <s v="miércoles"/>
    <s v="1°"/>
    <n v="0"/>
    <s v="N/A"/>
    <s v="N/A"/>
    <m/>
  </r>
  <r>
    <n v="128"/>
    <s v="HUANCA CONTRERAS BRAYAN CAMILO"/>
    <n v="25"/>
    <s v="18.871.945-5"/>
    <s v="Masculino"/>
    <s v="MECANICO"/>
    <s v="Menor a 1 año"/>
    <m/>
    <s v="HACE 2 SEMANAS ESTOY CON TRATAMIENTO PARA LOS ORZUELOS DEL OJO DERECHO. Y HOY EN LA MAÑANA INICIÓ DOLOR E INFLAMACIÓN EN EL OJO IZQUIERDO"/>
    <x v="75"/>
    <d v="1899-12-30T16:51:00"/>
    <s v="‌Taller mantenimiento Arica"/>
    <s v="N/A"/>
    <x v="3"/>
    <s v="NO"/>
    <s v="NO"/>
    <s v="NO"/>
    <s v="No Aplica"/>
    <s v="No aplica"/>
    <s v="No Aplica"/>
    <s v="Ojo derecho"/>
    <s v="Ultraport"/>
    <s v="Renta Fija"/>
    <s v="No Aplica"/>
    <s v="No aplica"/>
    <s v="N/A"/>
    <x v="11"/>
    <s v="N/A"/>
    <s v="N/A"/>
    <s v="N/A"/>
    <s v="N/A"/>
    <s v="N/A"/>
    <s v="N/A"/>
    <s v="miércoles"/>
    <s v="2°"/>
    <s v="N/A"/>
    <s v="N/A"/>
    <s v="N/A"/>
    <s v="N/A"/>
  </r>
  <r>
    <n v="129"/>
    <s v="Nicolas Villena"/>
    <n v="37"/>
    <s v="19.356.612-k "/>
    <s v="Masculino"/>
    <s v="OPERADOR CF"/>
    <s v="Mayor a 3 años"/>
    <m/>
    <s v="Operador de CF 82 Nicolás Villena, al momento de botar el granel del camión Placa 2521SUY, se percata que venía con manteleta y con la rampla en malas condiciones, pasando a llevar cartonera de porta piña y generando un daño."/>
    <x v="76"/>
    <d v="1899-12-30T03:10:00"/>
    <s v="‌almacén 4 - Arica"/>
    <s v="Condición camion"/>
    <x v="0"/>
    <s v="SI"/>
    <s v="NO"/>
    <s v="NO"/>
    <s v="No Aplica"/>
    <s v="Bajo"/>
    <s v="No Aplica"/>
    <s v="Sin Lesión"/>
    <s v="Ultraport"/>
    <s v="Bono Turno"/>
    <s v="No Aplica"/>
    <s v="Condición de camión"/>
    <s v="Recepción, Consolidado y Embarque de Graneles Limpios"/>
    <x v="51"/>
    <s v="Recepción de soya"/>
    <s v="JORGE DONOSO"/>
    <s v="Ultraport"/>
    <s v="Renta Fija"/>
    <s v="Francisco Tapia"/>
    <s v="TPA"/>
    <s v="jueves"/>
    <s v="3°"/>
    <n v="0"/>
    <s v="N/A"/>
    <s v="N/A"/>
    <s v="N/A"/>
  </r>
  <r>
    <n v="130"/>
    <s v="CHONG ALVAREZ HECTOR JUAN"/>
    <n v="45"/>
    <s v="15000057-2 "/>
    <s v="Masculino"/>
    <s v="OPERADOR CF"/>
    <s v="Mayor a 3 años"/>
    <m/>
    <s v="perador de CF N°80 Héctor Chong (Practica) en la recepción de camiones con soya, al botar carga de camión retrocede y con punta de balde golpea puerta de camión causando daño a esta. "/>
    <x v="77"/>
    <d v="1899-12-30T16:30:00"/>
    <s v="‌Sector Codo - Arica"/>
    <s v="Mala Operación"/>
    <x v="0"/>
    <s v="SI"/>
    <s v="SI"/>
    <s v="NO"/>
    <s v="No Aplica"/>
    <s v="Bajo"/>
    <s v="No Aplica"/>
    <s v="Sin Lesión"/>
    <s v="Ultraport"/>
    <s v="Bono Turno"/>
    <s v="Negativo"/>
    <m/>
    <s v="Recepción, Consolidado y Embarque de Graneles Limpios"/>
    <x v="51"/>
    <s v="Practica de cargador frontal"/>
    <s v="ALFREDO LOPEZ"/>
    <s v="Ultraport"/>
    <s v="Renta Fija"/>
    <s v="Juan cepeda"/>
    <s v="TPA"/>
    <s v="viernes"/>
    <s v="2°"/>
    <n v="0"/>
    <n v="0"/>
    <s v="N/A"/>
    <s v="N/A"/>
  </r>
  <r>
    <n v="131"/>
    <s v="REBOLLEDO FLORES LUIS ARMANDO"/>
    <n v="58"/>
    <s v="10.107.872-8"/>
    <s v="Masculino"/>
    <s v="N/A"/>
    <s v="N/A"/>
    <m/>
    <s v="SE PRESENTA EL SUPERVISOR DE ULTRAPORT CON SR LUIS, REFIERE DOLOR  ABDOMINAL CON 2 HORAS DE EVOLUCIÓN, PIEL FRÍA, SIN NÁUSEAS, NI VÓMITOS, SIN DEPOSICIONES LÍQUIDAS, ABDOMEN DISTENDIDO BLANDO, HIPERTENSIÓN EN TRATAMIENTO, CONTROL DE SIGNOS PA: 158/112, FC: 55 X, Sato2. 96%."/>
    <x v="78"/>
    <d v="1899-12-30T16:50:00"/>
    <s v="N/A"/>
    <s v="N/A"/>
    <x v="3"/>
    <s v="NO"/>
    <s v="NO"/>
    <s v="NO"/>
    <s v="No Aplica"/>
    <s v="No aplica"/>
    <s v="No Aplica"/>
    <s v="Sin Lesión"/>
    <s v="Ultraport"/>
    <s v="CPPT"/>
    <s v="No Aplica"/>
    <s v="No aplica"/>
    <s v="N/A"/>
    <x v="11"/>
    <s v="N/A"/>
    <s v="N/A"/>
    <s v="N/A"/>
    <s v="N/A"/>
    <s v="N/A"/>
    <s v="N/A"/>
    <s v="lunes"/>
    <s v="2°"/>
    <s v="N/A"/>
    <s v="N/A"/>
    <s v="N/A"/>
    <s v="N/A"/>
  </r>
  <r>
    <n v="132"/>
    <s v="Stanko Zuanic"/>
    <n v="33"/>
    <s v="17.552.810-5 "/>
    <s v="Masculino"/>
    <s v="OPERADOR GH"/>
    <s v="Entre 1 y 3 años"/>
    <m/>
    <s v="Colaborador al momento de consolidar big-bag con apoyo de grúa horquilla, de manera repentina sufre de fatiga. Como información no hay derrame de mineral. Se procede con trasvasije. "/>
    <x v="79"/>
    <d v="1899-12-30T17:50:00"/>
    <s v="‌Almacén 8 - Arica"/>
    <s v="Fatiga de Material"/>
    <x v="1"/>
    <s v="SI"/>
    <s v="NO"/>
    <s v="NO"/>
    <s v="Leve"/>
    <s v="Bajo"/>
    <s v="No Aplica"/>
    <s v="Sin Lesión"/>
    <s v="Ultraport"/>
    <s v="Bono Turno"/>
    <s v="No Aplica"/>
    <s v="Condición Bigbag"/>
    <s v="Recepción y Consolidado en Big Bag"/>
    <x v="70"/>
    <s v="Consolidado Bigbag"/>
    <s v="OSCAR MUÑOZ"/>
    <s v="Ultraport"/>
    <s v="Renta Fija"/>
    <s v="Cristian Medina"/>
    <s v="TPA"/>
    <s v="martes"/>
    <s v="2°"/>
    <n v="0"/>
    <n v="0"/>
    <s v="N/A"/>
    <m/>
  </r>
  <r>
    <n v="133"/>
    <s v="Robinson Zapata"/>
    <n v="65"/>
    <s v="6.900.375-3 "/>
    <s v="Masculino"/>
    <s v="OPERADOR TC"/>
    <s v="Menor a 1 año"/>
    <m/>
    <s v="Operador tracto al realizar un giro frente a la entrada del sitio 2B por la avenida principal, pasa a llevar el parachoque de otro tractor que estaba detenido ocacionando solo un raspon sin tener daño estructural al equipo. "/>
    <x v="80"/>
    <d v="1899-12-30T13:20:00"/>
    <s v="Sector 29"/>
    <s v="Falla operacional"/>
    <x v="0"/>
    <s v="SI"/>
    <s v="SI"/>
    <s v="NO"/>
    <s v="No Aplica"/>
    <s v="Bajo"/>
    <s v="No Aplica"/>
    <s v="Sin Lesión"/>
    <s v="Ultraport"/>
    <s v="Eventual"/>
    <s v="Negativo"/>
    <m/>
    <s v="Transferencia de Contenedores "/>
    <x v="71"/>
    <s v="Conducción tracto"/>
    <s v="VLADIMIR VEGA"/>
    <s v="Ultraport"/>
    <s v="Renta Fija"/>
    <s v="Antonio Huanca"/>
    <s v="TPA"/>
    <s v="miércoles"/>
    <s v="1°"/>
    <n v="0"/>
    <n v="0.75"/>
    <s v="N/A"/>
    <s v="N/A"/>
  </r>
  <r>
    <n v="135"/>
    <s v="CHONG ALVAREZ HECTOR JUAN"/>
    <n v="45"/>
    <s v="15.000.057-2"/>
    <s v="Masculino"/>
    <s v="OPERADOR GH"/>
    <s v="Mayor a 3 años"/>
    <m/>
    <s v="Operador al momento de posicionar big-bag a dos de alto la de piso se engancha con la torre del equipo provocando un daño."/>
    <x v="81"/>
    <d v="1899-12-30T18:30:00"/>
    <s v="‌Almacén 8 - Arica"/>
    <s v="Condición de la Carga"/>
    <x v="1"/>
    <s v="SI"/>
    <s v="NO"/>
    <m/>
    <s v="Leve"/>
    <s v="Bajo"/>
    <s v="No Aplica"/>
    <s v="Sin Lesión"/>
    <s v="Ultraport"/>
    <s v="Bono Turno"/>
    <s v="Negativo"/>
    <m/>
    <s v="Consolidado indirecto"/>
    <x v="72"/>
    <s v="Consolidado en sacas"/>
    <s v="JORGE DONOSO"/>
    <s v="Ultraport"/>
    <s v="Renta Fija"/>
    <s v="Luis Morales"/>
    <s v="TPA"/>
    <s v="sábado"/>
    <s v="2°"/>
    <n v="0"/>
    <n v="0"/>
    <s v="1 Kg"/>
    <s v="EMARESA"/>
  </r>
  <r>
    <n v="136"/>
    <s v="Enrique Leiva"/>
    <n v="37"/>
    <s v="16523009-4 "/>
    <s v="Masculino"/>
    <s v="OPERADOR CF"/>
    <s v="Entre 1 y 3 años"/>
    <m/>
    <s v="Operador Enrique Leiva informa que al momento de sacar equipo CF 72 ULTRAPORT de bodega en descarga de clinker, se percata que tiene daño en soporte de izaje lado derecho y en ambos cilindros de levante de pantógrafo, en donde no fueron realizados al tercer turno ya que equipo se encontraba en bodega desde segundo turno. "/>
    <x v="82"/>
    <d v="1899-12-30T03:00:00"/>
    <s v="‌Sitio 2B - Arica"/>
    <s v="Falla operacional"/>
    <x v="0"/>
    <s v="SI"/>
    <s v="NO"/>
    <s v="NO"/>
    <s v="No Aplica"/>
    <s v="Alto"/>
    <s v="No Aplica"/>
    <s v="Sin Lesión"/>
    <s v="Ultraport"/>
    <s v="Bono Turno"/>
    <s v="No Aplica"/>
    <s v="No se detecta en el instante"/>
    <s v="Transferencia de Clinker"/>
    <x v="73"/>
    <s v="Izaje de CF"/>
    <s v="ALFREDO LOPEZ"/>
    <s v="Ultraport"/>
    <s v="Renta Fija"/>
    <s v="Alan Cortes"/>
    <s v="TPA"/>
    <s v="lunes"/>
    <s v="3°"/>
    <n v="0"/>
    <n v="0"/>
    <n v="0"/>
    <s v="N/A"/>
  </r>
  <r>
    <n v="137"/>
    <s v="UBILLA MUÑOZ CRISTIAN GUILLERMO"/>
    <n v="44"/>
    <s v="13862942-2 "/>
    <s v="Masculino"/>
    <s v="OPERADOR GH"/>
    <s v="Entre 1 y 3 años"/>
    <m/>
    <s v="Operador Cristian Ubilla al posicionar big bag en ruma 2 de alto, no se percata y pasa sobre perno de pilar de almacén  provocando desnivel y cayendo big bag a piso derramando  5 kilos. "/>
    <x v="82"/>
    <d v="1899-12-30T00:50:00"/>
    <s v="‌Almacén 8 - Arica"/>
    <s v="Condición sacas"/>
    <x v="1"/>
    <s v="SI"/>
    <s v="NO"/>
    <s v="NO"/>
    <s v="Leve"/>
    <s v="Bajo"/>
    <s v="No Aplica"/>
    <s v="Sin Lesión"/>
    <s v="Ultraport"/>
    <s v="Bono Turno"/>
    <s v="Negativo"/>
    <m/>
    <s v="Consolidado indirecto"/>
    <x v="74"/>
    <s v="Posicionamiento de bigbag en ruma"/>
    <s v="ALFREDO LOPEZ"/>
    <s v="Ultraport"/>
    <s v="Renta Fija"/>
    <s v="Luis Morales"/>
    <s v="TPA"/>
    <s v="lunes"/>
    <s v="3°"/>
    <n v="0"/>
    <n v="0.3"/>
    <s v="5kg"/>
    <m/>
  </r>
  <r>
    <n v="138"/>
    <s v="Javier Vega"/>
    <n v="26"/>
    <s v="19496058-4 "/>
    <s v="Masculino"/>
    <s v="MOVILIZADOR"/>
    <s v="Entre 1 y 3 años"/>
    <m/>
    <s v="Al realizar descarga de asfalto a camión cisterna telescópica se sale de posición por motivo que camión al ser cargado baja por peso lo que provoca caída de material sobre camión, manteleta de piso y 300 cc fuera de manteleta. "/>
    <x v="83"/>
    <d v="1899-12-30T00:40:00"/>
    <s v="‌Sitio 3 - Arica"/>
    <s v="Condición camión"/>
    <x v="1"/>
    <s v="SI"/>
    <s v="NO"/>
    <s v="NO"/>
    <s v="Leve"/>
    <s v="Bajo"/>
    <s v="No Aplica"/>
    <s v="Sin Lesión"/>
    <s v="Ultraport"/>
    <s v="Eventual"/>
    <s v="Negativo"/>
    <m/>
    <s v="Descarga de aslfato"/>
    <x v="75"/>
    <s v="Cierre de cistena"/>
    <s v="ALFREDO LOPEZ"/>
    <s v="Ultraport"/>
    <s v="Renta Fija"/>
    <s v="Pedro Tapia"/>
    <s v="TPA"/>
    <s v="martes"/>
    <s v="3°"/>
    <n v="0"/>
    <n v="0.08"/>
    <s v="0.3L"/>
    <m/>
  </r>
  <r>
    <n v="139"/>
    <s v="_x000a_PACHECO IBACACHES ROMINA ISABEL"/>
    <n v="37"/>
    <s v="16.468.976-K"/>
    <s v="Masculino"/>
    <s v="N/A"/>
    <s v="N/A"/>
    <m/>
    <s v="DOLOR DE CABEZA Y NAUSEAS"/>
    <x v="83"/>
    <d v="1899-12-30T15:30:00"/>
    <s v="N/A"/>
    <s v="N/A"/>
    <x v="3"/>
    <s v="NO"/>
    <s v="NO"/>
    <s v="NO"/>
    <s v="No Aplica"/>
    <s v="No aplica"/>
    <s v="No Aplica"/>
    <s v="Sin Lesión"/>
    <s v="Ultraport"/>
    <s v="Bono Turno"/>
    <s v="No Aplica"/>
    <s v="No aplica"/>
    <s v="N/A"/>
    <x v="11"/>
    <s v="N/A"/>
    <s v="N/A"/>
    <s v="N/A"/>
    <s v="N/A"/>
    <s v="N/A"/>
    <s v="N/A"/>
    <s v="martes"/>
    <s v="2°"/>
    <s v="N/A"/>
    <s v="N/A"/>
    <s v="N/A"/>
    <s v="N/A"/>
  </r>
  <r>
    <n v="140"/>
    <s v="CORTES ARCE ASHLY VALENTINA"/>
    <n v="23"/>
    <s v="20.945.043-9"/>
    <s v="Femenino"/>
    <s v="Operadora TC"/>
    <s v="Menor a 1 año"/>
    <m/>
    <s v="SE PRESENTA SUPERVISOR CON TRABAJADORA, REFIERE MAREO Y 3 EPISODIOS DE VÓMITOS CON ESCASO CONTENIDO, CONTROL DE SIGNOS VITALES PA: 130/101, FC: 69X’, T°: 36,8, Sato2: 99%, LUEGO DE 20 MINUTOS PA: 98/72. "/>
    <x v="83"/>
    <d v="1899-12-30T18:45:00"/>
    <s v="N/A"/>
    <s v="N/A"/>
    <x v="3"/>
    <s v="NO"/>
    <s v="NO"/>
    <s v="NO"/>
    <s v="No Aplica"/>
    <s v="No aplica"/>
    <s v="No Aplica"/>
    <s v="Sin Lesión"/>
    <s v="Ultraport"/>
    <s v="Eventual"/>
    <s v="No Aplica"/>
    <s v="No aplica"/>
    <s v="N/A"/>
    <x v="11"/>
    <s v="N/A"/>
    <s v="N/A"/>
    <s v="N/A"/>
    <s v="N/A"/>
    <s v="N/A"/>
    <s v="N/A"/>
    <s v="martes"/>
    <s v="2°"/>
    <s v="N/A"/>
    <s v="N/A"/>
    <s v="N/A"/>
    <s v="N/A"/>
  </r>
  <r>
    <n v="141"/>
    <s v="Javier Vega Ortega"/>
    <n v="26"/>
    <s v="19.496.058-1"/>
    <s v="Masculino"/>
    <s v="MOVILIZADOR"/>
    <s v="Menor a 1 año"/>
    <m/>
    <s v="Al realizar descarga de asfalto a camión cisterna telescópica se sale de posición por motivo que camión al ser cargado baja por peso lo que provoca caída de material sobre camión, manteleta de piso y 300 cc fuera de manteleta."/>
    <x v="83"/>
    <d v="1899-12-30T00:40:00"/>
    <s v="‌Sitio 2B granelero- Arica"/>
    <s v="Condición de la cisterna"/>
    <x v="1"/>
    <s v="SI"/>
    <s v="NO"/>
    <s v="NO"/>
    <s v="Leve"/>
    <s v="Bajo"/>
    <s v="No Aplica"/>
    <s v="Sin Lesión"/>
    <s v="Ultraport"/>
    <s v="Eventual"/>
    <s v="Negativo"/>
    <m/>
    <s v="Transferencia de Asfalto"/>
    <x v="14"/>
    <s v="Descarga"/>
    <s v="ALFREDO LOPEZ"/>
    <s v="Ultraport"/>
    <s v="Renta Fija"/>
    <s v="Pedro Tapia"/>
    <s v="Ultraport"/>
    <s v="martes"/>
    <s v="3°"/>
    <n v="0"/>
    <n v="0.08"/>
    <s v="0,3 listros"/>
    <s v="N/A"/>
  </r>
  <r>
    <n v="142"/>
    <s v="UBILLA MUÑOZ CRISTIAN GUILLERMO"/>
    <n v="44"/>
    <s v="13.862.942-2"/>
    <s v="Masculino"/>
    <s v="OPERADOR GH"/>
    <s v="Mayor a 3 años"/>
    <m/>
    <s v="Operador al posicionar big bag en ruma 2 de alto, no se percata y pasa sobre perno de pilar de almacén  provocando desnivel y cayendo big bag a piso derramando  5 kilos."/>
    <x v="83"/>
    <d v="1899-12-30T00:50:00"/>
    <s v="‌Almacén 8 - Arica"/>
    <s v="Condición del lugar (espacio reducido)"/>
    <x v="1"/>
    <s v="SI"/>
    <s v="NO"/>
    <s v="SI"/>
    <s v="Leve"/>
    <s v="Bajo"/>
    <s v="No Aplica"/>
    <s v="Sin Lesión"/>
    <s v="Ultraport"/>
    <s v="Bono Turno"/>
    <s v="No Aplica"/>
    <s v="Condicion"/>
    <s v="consolidado indirecto"/>
    <x v="72"/>
    <s v="Consolidado"/>
    <m/>
    <m/>
    <m/>
    <m/>
    <m/>
    <s v="martes"/>
    <m/>
    <m/>
    <m/>
    <m/>
    <m/>
  </r>
  <r>
    <n v="143"/>
    <s v="Jonatan Rojas"/>
    <n v="35"/>
    <s v="17.013.015-4 "/>
    <s v="Masculino"/>
    <s v="OPERADOR TC"/>
    <s v="Entre 1 y 3 añoa"/>
    <m/>
    <s v="Operador Jonatan Rojas quien operaba Tracto - 16, se dirigía desde costado de nave con Contenedor de 40 ‘ de descarga, hacia estación de Piñas, en ese momento cae 1 twistlock de los 4 que llevaba el contenedor para ser retirados en la estación.  _x000a__x000a_El operador detiene el equipo al sentir un ruido y se da cuenta que el twistlock quedó entre las 2 ruedas traseras, por otra parte equipo de mantención desinfla uno de los neumaticos retirando el twistlock y prosiguiendo con la operación ya que no hubo daño alguno. "/>
    <x v="84"/>
    <d v="1899-12-30T17:45:00"/>
    <s v="‌Sitio 4 - Arica"/>
    <s v="Twistlock Suelto"/>
    <x v="0"/>
    <s v="SI"/>
    <s v="NO"/>
    <s v="NO"/>
    <s v="No Aplica"/>
    <s v="Bajo"/>
    <s v="No Aplica"/>
    <s v="Sin Lesión"/>
    <s v="Ultraport"/>
    <s v="CPPT"/>
    <s v="No Aplica"/>
    <s v="Condición Subestandar"/>
    <s v="Transferencia de Contenedores "/>
    <x v="76"/>
    <s v="Desplazamiento hacia nave"/>
    <s v="VLADIMIR VEGA"/>
    <s v="Ultraport"/>
    <s v="Renta Fija"/>
    <s v="Camilo Diaz"/>
    <s v="TPA"/>
    <s v="miércoles"/>
    <s v="2°"/>
    <n v="0"/>
    <n v="0.5"/>
    <s v="N/A"/>
    <s v="N/A"/>
  </r>
  <r>
    <n v="144"/>
    <s v="Wilfredo Bugueño Aguirre"/>
    <n v="54"/>
    <s v="9.105.395-0"/>
    <s v="Masculino"/>
    <s v="OPERADOR GH"/>
    <s v="Entre 1 y 3 años"/>
    <m/>
    <s v="Operador GH Sr, Wilfredo Bugueño al momento de trasladar Big Bag este se desliza frente al contenedor ocasionando un daño por la parte de abajo del Big Bag, Capataz TPA nos comenta que operador estaba realizando el traslado de acuerdo a los procedimientos siendo tomado por la parte de abajo para ser posicionado con las uñas del equipo. Se realiza el trasvasije y limpieza correspondiente."/>
    <x v="85"/>
    <d v="1899-12-30T19:15:00"/>
    <s v="‌Almacén 8 - Arica"/>
    <s v="Operación"/>
    <x v="1"/>
    <s v="SI"/>
    <s v="NO"/>
    <m/>
    <s v="Leve"/>
    <s v="Bajo"/>
    <s v="No Aplica"/>
    <s v="Sin Lesión"/>
    <s v="Ultraport"/>
    <s v="Bono Turno"/>
    <s v="Negativo"/>
    <m/>
    <s v="Consolidado indirecto"/>
    <x v="77"/>
    <s v="Traslado"/>
    <s v="VLADIMIR VEGA"/>
    <m/>
    <s v="Renta Fija"/>
    <s v="Cristian Sandoval"/>
    <s v="TPA"/>
    <s v="viernes"/>
    <m/>
    <m/>
    <n v="0"/>
    <s v="2 Kg"/>
    <s v="GRHORQ-0252"/>
  </r>
  <r>
    <n v="145"/>
    <s v="Jonatan Rojas"/>
    <n v="35"/>
    <s v="17.013.015-4 "/>
    <s v="Masculino"/>
    <s v="OPERADOR TOLVA"/>
    <s v="Entre 1 y 3 años"/>
    <m/>
    <s v="Jonathan Rojas informa presencia de humo al interior de cabina al momento de esperar para descargar soya en molo."/>
    <x v="86"/>
    <d v="1899-12-30T14:17:00"/>
    <s v="‌Sitio 3 - Arica"/>
    <s v="Materia de investigación"/>
    <x v="0"/>
    <s v="NO"/>
    <s v="NO"/>
    <s v="NO"/>
    <s v="No Aplica"/>
    <s v="Bajo"/>
    <s v="No Aplica"/>
    <s v="Sin Lesión"/>
    <s v="Ultraport"/>
    <s v="Bono Turno"/>
    <s v="No Aplica"/>
    <s v="Condición Subestandar"/>
    <s v="Transferencia de Contenedores "/>
    <x v="65"/>
    <s v="Traslado de soya a costado de nave"/>
    <s v="CHRISTOPHER TAPIA"/>
    <s v="Ultraport"/>
    <s v="Renta Fija"/>
    <s v="Nelson Morun"/>
    <s v="Ultraport"/>
    <s v="sábado"/>
    <s v="1°"/>
    <n v="0"/>
    <n v="0"/>
    <s v="N/A"/>
    <s v="N/A"/>
  </r>
  <r>
    <n v="146"/>
    <s v="CAMPOS OLIVARES VICTOR DANIEL"/>
    <n v="46"/>
    <s v="13.212.651-8 "/>
    <s v="Masculino"/>
    <s v="OPERADOR GH"/>
    <s v="Mayor a 3 años"/>
    <m/>
    <s v="Operador al momento de trasladar una escalera de aeropuerto en el sector norte 8 esta se desliza y se cae, produciendose un daño leve, sin daños a personas. "/>
    <x v="87"/>
    <d v="1899-12-30T16:15:00"/>
    <s v="Norte 8"/>
    <s v="Movimiento de grúa horquilla"/>
    <x v="0"/>
    <s v="SI"/>
    <s v="SI"/>
    <s v="NO"/>
    <s v="No Aplica"/>
    <s v="Bajo"/>
    <s v="No Aplica"/>
    <s v="Sin Lesión"/>
    <s v="Ultraport"/>
    <s v="Bono Turno"/>
    <s v=" Negativo"/>
    <m/>
    <s v="Desconsolidado y Manipulación Carga General"/>
    <x v="78"/>
    <s v="Conducir Grúa Horquilla"/>
    <s v="VLADIMIR VEGA"/>
    <s v="Ultraport"/>
    <s v="Renta Fija"/>
    <s v="Sebastian Suazo"/>
    <s v="TPA"/>
    <s v="jueves"/>
    <s v="2°"/>
    <n v="0"/>
    <n v="0.5"/>
    <s v="N/A"/>
    <s v="N/A"/>
  </r>
  <r>
    <n v="147"/>
    <s v="CORTES ROJAS REGINALDO ANTONIO"/>
    <n v="36"/>
    <s v="16.769.840-9"/>
    <s v="Masculino"/>
    <s v="OPERADOR MC"/>
    <s v="Mayor a 3 años"/>
    <m/>
    <s v="Operador de minicargador al estar consolidando granos de soya en almacen 4, al momento de retroceder patina con el equipo produciendo un corte con el balde en el costado del contendor de unos diez centimetros. "/>
    <x v="88"/>
    <d v="1899-12-30T14:10:00"/>
    <s v="‌almacén 4 - Arica"/>
    <s v="Condición de carga"/>
    <x v="0"/>
    <s v="SI"/>
    <s v="SI"/>
    <s v="NO"/>
    <s v="No Aplica"/>
    <s v="Bajo"/>
    <s v="No Aplica"/>
    <s v="Sin Lesión"/>
    <s v="Ultraport"/>
    <s v="Bono Turno"/>
    <s v="Negativo"/>
    <m/>
    <s v="Recepción, Consolidado y Embarque de Graneles Limpios"/>
    <x v="79"/>
    <s v="Salida de contenedor"/>
    <s v="VLADIMIR VEGA"/>
    <s v="Ultraport"/>
    <s v="Renta Fija"/>
    <s v="Danko Arias"/>
    <s v="TPA"/>
    <s v="viernes"/>
    <s v="1°"/>
    <n v="0"/>
    <n v="0.83"/>
    <s v="N/A"/>
    <s v="N/A"/>
  </r>
  <r>
    <n v="148"/>
    <s v="Paticio Godoy"/>
    <n v="24"/>
    <s v="20.218.003-5 "/>
    <s v="Masculino"/>
    <s v="OPERADOR GH"/>
    <s v="Menor a 1 año"/>
    <m/>
    <s v="Operador grua horquilla Sr Patricio Godoy, código 10140  al momento de subir compuerta de plataforma de camión, provoca un leve daño a compuerta de camión con funda. "/>
    <x v="89"/>
    <d v="1899-12-30T12:00:00"/>
    <s v="‌almacén 4 - Arica"/>
    <s v="Condición de fundas"/>
    <x v="0"/>
    <s v="SI"/>
    <s v="NO"/>
    <s v="NO"/>
    <s v="No Aplica"/>
    <s v="Bajo"/>
    <s v="No Aplica"/>
    <s v="Sin Lesión"/>
    <s v="Ultraport"/>
    <s v="Bono Turno"/>
    <s v="No Aplica"/>
    <s v="Condición Subestandar"/>
    <s v="Consolidación de Graneles Limpios: Consolidado de graneles limpios con Cargador Frontal y Minicargador"/>
    <x v="80"/>
    <s v="Subida de compuertas"/>
    <s v="JORGE DONOSO"/>
    <s v="Ultraport"/>
    <s v="Renta Fija"/>
    <s v="Leonel Delzo"/>
    <s v="TPA"/>
    <s v="lunes"/>
    <s v="2°"/>
    <n v="0"/>
    <s v="N/A"/>
    <s v="N/A"/>
    <s v="N/A"/>
  </r>
  <r>
    <n v="149"/>
    <s v="Rodrigo Astorga"/>
    <n v="32"/>
    <s v="17.555.525-0 "/>
    <s v="Masculino"/>
    <s v="OPERADOR GH"/>
    <s v="Mayor a 3 años"/>
    <m/>
    <s v="Operador grúa horquilla Sr Rodrigo Astorga, al momento de dejar el BIG BAG en la ruma esta se descose en una de sus orejas por fatiga de material. "/>
    <x v="90"/>
    <d v="1899-12-30T17:55:00"/>
    <s v="‌Almacén 8 - Arica"/>
    <s v="Fatiga de Material"/>
    <x v="1"/>
    <s v="SI"/>
    <s v="NO"/>
    <s v="NO"/>
    <s v="Leve"/>
    <s v="Bajo"/>
    <s v="No Aplica"/>
    <s v="Sin Lesión"/>
    <s v="Ultraport"/>
    <s v="Bono Turno"/>
    <s v="No Aplica"/>
    <s v="Fatiga de material"/>
    <s v="Consolidado indirecto"/>
    <x v="81"/>
    <s v="Posicionar Big-bag en ruma"/>
    <s v="SAID VERGARA"/>
    <s v="Ultraport"/>
    <s v="Renta Fija"/>
    <s v="Luis Morales"/>
    <s v="TPA"/>
    <s v="martes"/>
    <s v="2°"/>
    <n v="0"/>
    <n v="0.16"/>
    <n v="5"/>
    <m/>
  </r>
  <r>
    <n v="150"/>
    <s v="CONTRERAS BASAEZ CRISTIAN PABLO"/>
    <n v="44"/>
    <s v="13.639.769-9"/>
    <s v="Masculino"/>
    <s v="OPERADOR GH"/>
    <s v="Mayor a 3 años"/>
    <m/>
    <s v="Operador grúa horquilla Sr Cristian Contreras, al momento estar entrando al contenedor con BIG BAG, rampa se desplaza, ocasionando que BIG BAG se deslice y caiga dentro del contenedor siendo dañada por las uñas del equipo 241."/>
    <x v="91"/>
    <d v="1899-12-30T18:40:00"/>
    <s v="‌Almacén 8 - Arica"/>
    <s v="Desplazamiento de la rampla por probable aceleración"/>
    <x v="1"/>
    <s v="SI"/>
    <s v="NO"/>
    <m/>
    <s v="Leve"/>
    <s v="Bajo"/>
    <s v="No Aplica"/>
    <s v="Sin Lesión"/>
    <s v="Ultraport"/>
    <s v="Bono Turno"/>
    <s v="No Aplica"/>
    <s v="Por condicion"/>
    <s v="Consolidado indirecto"/>
    <x v="77"/>
    <s v="Traslado"/>
    <s v="VLADIMIR VEGA"/>
    <s v="Ultraport"/>
    <s v="Renta Fija"/>
    <s v="Luis Morales"/>
    <s v="TPA"/>
    <s v="jueves"/>
    <s v="2°"/>
    <n v="0"/>
    <n v="0"/>
    <s v="40 Kg"/>
    <s v="GRHORQ-0241"/>
  </r>
  <r>
    <n v="151"/>
    <s v="Luis Figueroa Maipil"/>
    <n v="38"/>
    <s v="16.227.007-9"/>
    <s v="Masculino"/>
    <s v="OPERADOR MC"/>
    <s v="Mayor a 3 años"/>
    <m/>
    <s v="Supervisor Sr, Abraham Triviño nos comenta que en el consolidado de granos de soya, se verifica ya terminada la faena en su totalidad, que uno de los contendores presenta un daño (Corte de uno diez centimetros aproximado), no se activa protocolo de A&amp;D debido que el personal fue despachado, solo se adjuntan algunos datos del operador del minicargador que estubo en faenas como primera información. "/>
    <x v="92"/>
    <d v="1899-12-30T16:30:00"/>
    <s v="‌Almacén 8 - Arica"/>
    <s v="Condición de la carga."/>
    <x v="0"/>
    <s v="SI"/>
    <s v="NO"/>
    <m/>
    <s v="No Aplica"/>
    <s v="Bajo"/>
    <s v="Golpeado por"/>
    <s v="Sin Lesión"/>
    <s v="Ultraport"/>
    <s v="Bono Turno"/>
    <s v="No Realizado"/>
    <s v="Se da aviso tardio del evento"/>
    <s v="Consolidado"/>
    <x v="82"/>
    <s v="Consolidado"/>
    <s v="VLADIMIR VEGA"/>
    <s v="Ultraport"/>
    <s v="Renta Fija"/>
    <s v="Danko Arias"/>
    <s v="TPA"/>
    <s v="domingo"/>
    <s v="2°"/>
    <n v="0"/>
    <s v="N/A"/>
    <s v="N/A"/>
    <s v="GRHORQ-0250"/>
  </r>
  <r>
    <n v="152"/>
    <s v="CORTES ROJAS REGINALDO ANTONIO"/>
    <n v="36"/>
    <s v="16.769.840-9"/>
    <s v="Masculino"/>
    <s v="OPERADOR CF"/>
    <s v="Mayor a 3 años"/>
    <m/>
    <s v="Operador de cargador frontal N°81 Reginaldo Cortes al echar carga a buzón, se desprende balde cayendo en buzón."/>
    <x v="93"/>
    <d v="1899-12-30T12:20:00"/>
    <s v="‌Almacén 8 - Arica"/>
    <s v="deformidad del balde que impide anclaje correcto"/>
    <x v="0"/>
    <s v="SI"/>
    <s v="NO"/>
    <m/>
    <s v="No Aplica"/>
    <s v="Bajo"/>
    <s v="Caída de objetos"/>
    <s v="Sin Lesión"/>
    <s v="Ultraport"/>
    <s v="Bono Turno"/>
    <s v="Negativo"/>
    <m/>
    <s v="Transferencia de graneles minerales"/>
    <x v="83"/>
    <s v="Carguio"/>
    <s v="ALFREDO LOPEZ"/>
    <s v="Ultraport"/>
    <s v="Renta Fija"/>
    <s v="Pablo Ramos"/>
    <s v="Ultraport"/>
    <s v="martes"/>
    <s v="1°"/>
    <n v="0"/>
    <s v="N/A"/>
    <s v="N/A"/>
    <s v="GRHORQ-0252"/>
  </r>
  <r>
    <n v="153"/>
    <s v="Rodrigo Astorga Barraza"/>
    <n v="32"/>
    <s v="17.555.525-0"/>
    <s v="Masculino"/>
    <s v="OPERADOR GH"/>
    <s v="Entre 1 y 3 años"/>
    <m/>
    <s v="Colaborador Rodrigo Astorga cód. 9911 realizaba consolidado Indirecto big bag mineral con apoyo de grúa horquilla, en el momento de traslado daña con uña una de estas generando rajado, cayendo a piso 2 kg. "/>
    <x v="94"/>
    <d v="1899-12-30T19:45:00"/>
    <s v="‌Almacén 8 - Arica"/>
    <s v="Fatiga Material"/>
    <x v="1"/>
    <s v="SI"/>
    <s v="NO"/>
    <m/>
    <s v="Leve"/>
    <s v="Bajo"/>
    <s v="No Aplica"/>
    <s v="Sin Lesión"/>
    <s v="Ultraport"/>
    <s v="Bono Turno"/>
    <s v="Negativo"/>
    <m/>
    <s v="Consolidado indirecto"/>
    <x v="77"/>
    <s v="Traslado"/>
    <s v="OSCAR MUÑOZ"/>
    <s v="Ultraport"/>
    <s v="Renta Fija"/>
    <s v="Javier Vega"/>
    <s v="TPA"/>
    <s v="viernes"/>
    <s v="2°"/>
    <n v="0"/>
    <n v="0"/>
    <s v="2 Kg"/>
    <s v="GRHORQ-0250"/>
  </r>
  <r>
    <n v="154"/>
    <s v="REBOLLEDO FLORES LUIS ARMANDO"/>
    <n v="57"/>
    <s v="10.107.872-8"/>
    <s v="Masculino"/>
    <s v="OPERADOR GH"/>
    <s v="Mayor a 3 años"/>
    <m/>
    <s v="Operador al momento de estar por retirar mesa de trabajo con restos de carga de azucar, intenta sacudir la mesa el cual esta se voltea ocacionando daño leve al pasa manos. "/>
    <x v="94"/>
    <d v="1899-12-30T11:50:00"/>
    <s v="‌Almacén 8 - Arica"/>
    <s v="Acción inadecuada"/>
    <x v="0"/>
    <s v="SI"/>
    <s v="NO"/>
    <m/>
    <s v="No Aplica"/>
    <s v="Bajo"/>
    <s v="Caída de objetos"/>
    <s v="Sin Lesión"/>
    <s v="Ultraport"/>
    <s v="CPPT"/>
    <s v="Negativo"/>
    <m/>
    <s v="Consolidado"/>
    <x v="84"/>
    <s v="Armado de eslingas"/>
    <s v="VLADIMIR VEGA"/>
    <s v="Ultraport"/>
    <s v="Renta Fija"/>
    <s v="Javier Vega"/>
    <s v="TPA"/>
    <s v="viernes"/>
    <s v="1°"/>
    <n v="0"/>
    <s v="N/A"/>
    <s v="N/A"/>
    <s v="GRHORQ-0249"/>
  </r>
  <r>
    <n v="155"/>
    <s v="Victor Campos Olivares"/>
    <n v="47"/>
    <s v="13.212.651-8"/>
    <s v="Masculino"/>
    <s v="OPERADOR CF"/>
    <s v="Mayor a 3 años"/>
    <m/>
    <s v="Colaborador Victor Campos código 1636 realizaba descarga de camiones con soya apoyado de cargador frontal, en ese momento genera daño en soporte de sujeción compuertas laterales con balde. (camión Bolivia patente 3865XKX)"/>
    <x v="94"/>
    <d v="1899-12-30T00:50:00"/>
    <s v="‌almacén 4 - Arica"/>
    <s v="Maniobra inadecuada"/>
    <x v="0"/>
    <s v="SI"/>
    <s v="SI"/>
    <m/>
    <s v="No Aplica"/>
    <s v="Bajo"/>
    <s v="Golpeado por"/>
    <s v="Sin Lesión"/>
    <s v="Ultraport"/>
    <s v="Bono Turno"/>
    <s v="Negativo"/>
    <m/>
    <s v="Recepción soya a granel"/>
    <x v="85"/>
    <s v="Descarga"/>
    <s v="SANDRO ZAVALA"/>
    <s v="Ultraport"/>
    <s v="Renta Fija"/>
    <s v="Miguel Mendoza"/>
    <s v="TPA"/>
    <s v="viernes"/>
    <s v="3°"/>
    <n v="0"/>
    <s v="N/A"/>
    <s v="N/A"/>
    <m/>
  </r>
  <r>
    <n v="156"/>
    <s v="Marcelo Caldera Alvarez"/>
    <n v="48"/>
    <s v="13.089.211-k"/>
    <s v="Masculino"/>
    <s v="OPERADOR GH"/>
    <s v="Mayor a 3 años"/>
    <m/>
    <s v="En faenas de aforo sag operador Marcelo caldera al momento de retroceder No se percata de barrera de limitacion,  provocando un daño a esta. "/>
    <x v="95"/>
    <d v="1899-12-30T13:20:00"/>
    <s v="‌Aforo - SAG"/>
    <s v="Operador no se percato de barrera  "/>
    <x v="0"/>
    <s v="SI"/>
    <s v="NO"/>
    <m/>
    <s v="No Aplica"/>
    <s v="Bajo"/>
    <s v="Atropello"/>
    <s v="Sin Lesión"/>
    <s v="Ultraport"/>
    <s v="Bono Turno"/>
    <s v="Negativo"/>
    <m/>
    <s v="Traslado pallet"/>
    <x v="86"/>
    <s v="Revision"/>
    <s v="JORGE DONOSO"/>
    <s v="Ultraport"/>
    <s v="Renta Fija"/>
    <s v="Ernesto Moya"/>
    <s v="Ultraport"/>
    <s v="martes"/>
    <s v="1°"/>
    <n v="0"/>
    <s v="N/A"/>
    <s v="N/A"/>
    <m/>
  </r>
  <r>
    <n v="157"/>
    <s v="Julio Hernández Urrutia"/>
    <n v="52"/>
    <s v="11.722.577-7"/>
    <s v="Masculino"/>
    <s v="MOVILIZADOR"/>
    <s v="Entre 1 y 3 años"/>
    <m/>
    <s v="Movilizador en función de Embalado, Julio Hernández COD: 11111 al realizar retiro de arco de camión, es pasado a llevar por arco que cae, provocando un roce superficial en su nariz. "/>
    <x v="95"/>
    <d v="1899-12-30T10:50:00"/>
    <s v="Almacén 2"/>
    <s v="Falta experiencia  "/>
    <x v="0"/>
    <s v="SI"/>
    <s v="SI"/>
    <m/>
    <s v="No Aplica"/>
    <s v="Bajo"/>
    <s v="Golpeado por"/>
    <s v="Nariz"/>
    <s v="Ultraport"/>
    <s v="Eventual"/>
    <s v="Negativo"/>
    <m/>
    <s v="Embalado"/>
    <x v="87"/>
    <s v="Embalado"/>
    <s v="JORGE DONOSO"/>
    <s v="Ultraport"/>
    <s v="Renta Fija"/>
    <s v="Javier Vega"/>
    <s v="TPA"/>
    <s v="martes"/>
    <s v="1°"/>
    <n v="0"/>
    <s v="N/A"/>
    <s v="N/A"/>
    <m/>
  </r>
  <r>
    <n v="158"/>
    <s v="Rodrigo Villalobos Cardenas - Kesia Villar Canales"/>
    <n v="30"/>
    <s v="18.599.927-0"/>
    <s v="Masculino"/>
    <s v="MOVILIZADOR"/>
    <s v="Menor a 1 año"/>
    <m/>
    <s v="En inicio de turno Movilizadores en función de embalador Kesia Villar COD: 10854, Rodrigo Villalobos COD: 11043, al momento de apertura de contenedor carga mal estivaga (desde origen) cae sin provocar daño ni lesiones a personas involucrada a colaboradores en mansión. "/>
    <x v="96"/>
    <d v="1899-12-30T08:40:00"/>
    <s v="‌Sector Norte - Arica"/>
    <s v="Condición de Estiva (origen), apertura de puertas sin seguir pts"/>
    <x v="0"/>
    <s v="SI"/>
    <s v="NO"/>
    <m/>
    <s v="No Aplica"/>
    <s v="Bajo"/>
    <s v="Caída de objetos"/>
    <s v="Sin Lesión"/>
    <s v="Ultraport"/>
    <s v="Eventual"/>
    <s v="No Aplica"/>
    <s v="Condicion estiba"/>
    <s v="Descosolidado"/>
    <x v="88"/>
    <s v="Embalado"/>
    <s v="JORGE DONOSO"/>
    <s v="Ultraport"/>
    <s v="Renta Fija"/>
    <s v="Cesar Caimapu"/>
    <s v="TPA"/>
    <s v="viernes"/>
    <s v="1°"/>
    <n v="0"/>
    <s v="N/A"/>
    <s v="N/A"/>
    <m/>
  </r>
  <r>
    <n v="159"/>
    <s v="Lyndon Johnson Calderon"/>
    <n v="41"/>
    <s v="15.009.076-8"/>
    <s v="Masculino"/>
    <s v="OPERADOR RS"/>
    <s v="Entre 1 y 3 años"/>
    <m/>
    <s v="Operador Lyndon Johnson (8421), Al realizar despeje de contenedores, pasa sobre desnivel golpeando contenedor de ruma provocando daño."/>
    <x v="96"/>
    <d v="1899-12-30T02:45:00"/>
    <s v="‌Terminal de contenedores - Arica"/>
    <s v="baja percepción y condición"/>
    <x v="0"/>
    <s v="SI"/>
    <s v="NO"/>
    <m/>
    <s v="No Aplica"/>
    <s v="Bajo"/>
    <s v="Golpeado por"/>
    <s v="Sin Lesión"/>
    <s v="Ultraport"/>
    <s v="Bono Turno"/>
    <s v="Negativo"/>
    <m/>
    <s v="Transferencia contenedores"/>
    <x v="89"/>
    <s v="Despeje"/>
    <s v="ALFREDO LOPEZ"/>
    <s v="Ultraport"/>
    <s v="Renta Fija"/>
    <s v="Francisco Pizarro"/>
    <s v="TPA"/>
    <s v="viernes"/>
    <s v="3°"/>
    <n v="0"/>
    <s v="N/A"/>
    <s v="N/A"/>
    <m/>
  </r>
  <r>
    <n v="160"/>
    <s v="Julio Hernández Urrutia"/>
    <n v="52"/>
    <s v="11.722.577-7"/>
    <s v="Masculino"/>
    <s v="OPERADOR TC"/>
    <s v="Entre 1 y 3 años"/>
    <m/>
    <s v="Operador TPA Yerco breskovic realiza transferencia de contenedor (descarga) con grúa gottwald ARICA sobre plataforma de camión tracto Uport 111 operado por colaborador Julio Hernández código 11111, en ese momento por razones que se investigan colaborador no advierte liberación de spreader (grúa tierra) avanzando de manera repentina ocasionando acción insegura. "/>
    <x v="97"/>
    <d v="1899-12-30T16:30:00"/>
    <s v="‌Sitio 2B - Arica"/>
    <s v="Falta percepción de riesgos. "/>
    <x v="6"/>
    <s v="SI"/>
    <s v="SI"/>
    <s v="SI"/>
    <s v="No Aplica"/>
    <s v="Alto"/>
    <s v="Sobretensión física"/>
    <s v="Sin Lesión"/>
    <s v="Ultraport"/>
    <s v="Eventual"/>
    <s v="Negativo"/>
    <m/>
    <s v="Transferencia contenedores"/>
    <x v="90"/>
    <s v="Descarga"/>
    <s v="OSVALDO DÍAZ"/>
    <s v="Ultraport"/>
    <s v="Renta Fija"/>
    <s v="Javier Vega"/>
    <s v="TPA"/>
    <s v="domingo"/>
    <s v="2°"/>
    <n v="0"/>
    <s v="N/A"/>
    <s v="N/A"/>
    <m/>
  </r>
  <r>
    <n v="161"/>
    <s v="Sergio Huerta Pasten"/>
    <n v="46"/>
    <s v="13.213.634-3"/>
    <s v="Masculino"/>
    <s v="OPERADOR RS"/>
    <s v="Mayor a 3 años"/>
    <m/>
    <s v="Operador al levantar contenedor para posicionarlo sobre tracto, le advierten que estaba filtrando liquido hidraulico de por boom de lenate de equipo, por lo que se detiene y apaga el equipo."/>
    <x v="98"/>
    <d v="1899-12-30T13:30:00"/>
    <s v="‌Terminal de contenedores - Arica"/>
    <s v="Fatiga Material"/>
    <x v="1"/>
    <s v="SI"/>
    <s v="NO"/>
    <m/>
    <s v="Leve"/>
    <s v="Bajo"/>
    <s v="No Aplica"/>
    <s v="Sin Lesión"/>
    <s v="Ultraport"/>
    <s v="Bono Turno"/>
    <s v="No Aplica"/>
    <s v="Fatiga de material"/>
    <s v="Traslado de contenedores"/>
    <x v="91"/>
    <s v="Carguio"/>
    <s v="ALFREDO LOPEZ"/>
    <s v="Ultraport"/>
    <s v="Renta Fija"/>
    <s v="Danko Arias"/>
    <s v="TPA"/>
    <s v="viernes"/>
    <s v="1°"/>
    <n v="0"/>
    <n v="0.33"/>
    <s v="0,5 litros"/>
    <s v="RS-052"/>
  </r>
  <r>
    <n v="162"/>
    <s v="Juan Zepeda Santiago"/>
    <n v="45"/>
    <s v="13.637.904-6"/>
    <s v="Masculino"/>
    <s v="OPERADOR MC"/>
    <s v="Mayor a 3 años"/>
    <m/>
    <s v="Operador al momento de estar consolidando con el minicargador se percata que en el techo se encontraba un hoyo de unos 8 centimetros, el cual en forma temprana no visualiza que lo pasa a llevar con el balde del equipo, ante eso da aviso a capataz y supervisor para actibar protocolo. "/>
    <x v="99"/>
    <d v="1899-12-30T11:40:00"/>
    <s v="‌almacén 4 - Arica"/>
    <s v="Falta cálculo al levantar balde"/>
    <x v="0"/>
    <s v="SI"/>
    <s v="NO"/>
    <m/>
    <s v="No Aplica"/>
    <s v="Bajo"/>
    <s v="Choque - Colisión"/>
    <s v="Sin Lesión"/>
    <s v="Ultraport"/>
    <s v="Bono Turno"/>
    <s v="Negativo"/>
    <m/>
    <s v="Recepción Soya a Granel"/>
    <x v="82"/>
    <s v="Consolidado"/>
    <s v="VLADIMIR VEGA"/>
    <s v="Ultraport"/>
    <s v="Renta Fija"/>
    <s v="Cristian Ramirez"/>
    <s v="Ultraport"/>
    <s v="domingo"/>
    <s v="1°"/>
    <n v="0"/>
    <s v="N/A"/>
    <s v="N/A"/>
    <m/>
  </r>
  <r>
    <n v="163"/>
    <s v="Luis Aravena Gomez"/>
    <n v="28"/>
    <s v="19.256.794-7"/>
    <s v="Masculino"/>
    <s v="OPERADOR TC"/>
    <s v="Entre 1 y 3 años"/>
    <m/>
    <s v="Operador Luis Aravena al momento de acercarse al tracto asignado 05 se encuentra con el personal del equipo de mantención TPA el cual le comenta que el equipo estaba listo para usarse, en ese momento operador realiza el enganche y junto al operador de servicio verifican que el seguro cerró, al quedar enganchado operador realiza un chequeo y después al salir con el tracto, avanza un metro y se produce un desacople quedando una parte de la rampa apoyada en el parachoque del tracto donde se refleja que uno de los cables de acople se daña su base plástica (Se adjunta declaración del encargado de equipo TPA). "/>
    <x v="100"/>
    <d v="1899-12-30T16:30:00"/>
    <s v="‌Sitio 5 - Arica"/>
    <s v="Acople inadecuado"/>
    <x v="0"/>
    <s v="SI"/>
    <s v="NO"/>
    <m/>
    <s v="No Aplica"/>
    <s v="Bajo"/>
    <s v="Sobretensión física"/>
    <s v="Sin Lesión"/>
    <s v="Ultraport"/>
    <s v="Bono Turno"/>
    <s v="Negativo"/>
    <m/>
    <s v="Traslado de contenedores"/>
    <x v="92"/>
    <s v="Enganche"/>
    <s v="VLADIMIR VEGA"/>
    <s v="Ultraport"/>
    <s v="Renta Fija"/>
    <s v="Jaime Vargas"/>
    <s v="TPA"/>
    <s v="miércoles"/>
    <s v="2°"/>
    <n v="0"/>
    <s v="N/A"/>
    <s v="N/A"/>
    <m/>
  </r>
  <r>
    <n v="164"/>
    <s v="Johan Carreño Ramirez"/>
    <n v="22"/>
    <s v="20.844.863-3"/>
    <s v="Masculino"/>
    <s v="MOVILIZADOR"/>
    <s v="Entre 1 y 3 años"/>
    <m/>
    <s v="Colaborador Johan Carreño código 9819 se encontraba realizando desenganche chinguillo cajas de pescado, en ese momento operador tripulación de MN SHABALIN por razones que se investigan al izar maniobra aprieta dedo anular mano izquierda de trabajador."/>
    <x v="100"/>
    <d v="1899-12-30T00:30:00"/>
    <s v="‌Sitio 3 - Arica"/>
    <s v="Operador grúa de tripulación no espera instrucción de capataz."/>
    <x v="2"/>
    <s v="SI"/>
    <s v="NO"/>
    <m/>
    <s v="Leve"/>
    <s v="Bajo"/>
    <s v="Atrapamiento"/>
    <s v="Dedo anular izquierdo"/>
    <s v="Ultraport"/>
    <s v="CPPT"/>
    <s v="Negativo"/>
    <m/>
    <s v="Descarga Cajas de pescado"/>
    <x v="93"/>
    <s v="Desenganche"/>
    <s v="OSCAR MUÑOZ"/>
    <s v="Ultraport"/>
    <s v="Renta Fija"/>
    <s v="Camilo Diaz"/>
    <s v="TPA"/>
    <s v="miércoles"/>
    <s v="3°"/>
    <n v="0"/>
    <s v="N/A"/>
    <s v="N/A"/>
    <m/>
  </r>
  <r>
    <n v="165"/>
    <s v="Salvador Rojas Allende"/>
    <n v="46"/>
    <s v="9.944.826-1"/>
    <s v="Masculino"/>
    <s v="OPERADOR GH"/>
    <s v="Mayor a 3 años"/>
    <m/>
    <s v="Al momento del trasladó de la saca para ser Consolidado en la entrada del contenedor está se desengancha de las asas y se raja lo antes mencionado. Operador Salvador Rojas Código 561 derrame aproximado"/>
    <x v="101"/>
    <d v="1899-12-30T19:35:00"/>
    <s v="‌Almacén 8 - Arica"/>
    <s v="Poca experiencia en esa faena"/>
    <x v="1"/>
    <s v="SI"/>
    <s v="NO"/>
    <m/>
    <s v="Leve"/>
    <s v="Bajo"/>
    <s v="No Aplica"/>
    <s v="Sin Lesión"/>
    <s v="Ultraport"/>
    <s v="CPPT"/>
    <s v="Negativo"/>
    <m/>
    <s v="Consolidado indirecto"/>
    <x v="77"/>
    <s v="Traslado"/>
    <s v="ALFREDO LOPEZ"/>
    <s v="Ultraport"/>
    <s v="Renta Fija"/>
    <s v="Ernesto Moya"/>
    <s v="Ultraport"/>
    <s v="jueves"/>
    <s v="2°"/>
    <n v="0"/>
    <n v="0.75"/>
    <s v="3 Kg"/>
    <s v="GRHORQ-0249"/>
  </r>
  <r>
    <n v="166"/>
    <s v="Juan Pereira García"/>
    <n v="59"/>
    <s v="9.397.555-3"/>
    <s v="Masculino"/>
    <s v="OPERADOR RS"/>
    <s v="Entre 1 y 3 años"/>
    <m/>
    <s v="Operador Juan Pereira, Código 9869, al momento de posicionar contenedor de 40' full a dos de alto, siente ruido extraño y prosigue con tarea y al momento de posicionar el tres de alto, se da cuenta que contenedor de dos de alto se encontraba con ruptura de techo en el centro y caía líquido, por lo que detiene equipo y da aviso. "/>
    <x v="102"/>
    <d v="1899-12-30T00:00:00"/>
    <s v="‌Puerto en General Arica"/>
    <s v="Poca experiencia en esa faena"/>
    <x v="0"/>
    <s v="SI"/>
    <s v="NO"/>
    <m/>
    <s v="No Aplica"/>
    <s v="Bajo"/>
    <s v="Golpeado por"/>
    <s v="Sin Lesión"/>
    <s v="Ultraport"/>
    <s v="Bono Turno"/>
    <s v="Negativo"/>
    <m/>
    <s v="Despacho y recepción de contenedores"/>
    <x v="94"/>
    <s v="Movimiento"/>
    <s v="CHRISTOPHER TAPIA"/>
    <s v="Ultraport"/>
    <s v="Renta Fija"/>
    <s v="Jaime Vargas"/>
    <s v="TPA"/>
    <s v="viernes"/>
    <s v="3°"/>
    <n v="0"/>
    <s v="N/A"/>
    <s v="N/A"/>
    <m/>
  </r>
  <r>
    <n v="167"/>
    <s v="MURA CASANOVA SEBASTIAN ERMENEGILDO"/>
    <n v="38"/>
    <s v="16.374.746-4"/>
    <s v="Masculino"/>
    <s v="SUPERVISOR MANTENCION"/>
    <s v="Mayor a 3 años"/>
    <m/>
    <s v="El dia 01/09 a las 9:30 en sitio 3, durante consolidado de contenedores de cajas de pescado, operador de equipo GH informa que push pull no funciona. Mencionar que equipo de mantencion uport soluciona problema en el momento. "/>
    <x v="103"/>
    <d v="1899-12-30T09:30:00"/>
    <s v="‌Sitio 3 granelero- Arica"/>
    <s v="Falla armado del equipo"/>
    <x v="0"/>
    <s v="SI"/>
    <s v="NO"/>
    <m/>
    <s v="No Aplica"/>
    <s v="Bajo"/>
    <s v="Caída de objetos"/>
    <s v="Sin Lesión"/>
    <s v="Ultraport"/>
    <s v="Renta Fija"/>
    <s v="No Aplica"/>
    <s v="Sin responsabilidad"/>
    <s v="Descarga y consolidado directo de cajas de pescado"/>
    <x v="95"/>
    <s v="Traslado de cajas en pallet"/>
    <s v="JORGE DONOSO"/>
    <s v="Ultraport"/>
    <s v="Renta Fija"/>
    <s v="Sebastian Mura"/>
    <s v="Ultraport"/>
    <s v="domingo"/>
    <s v="1°"/>
    <n v="0"/>
    <s v="N/A"/>
    <s v="N/A"/>
    <m/>
  </r>
  <r>
    <n v="168"/>
    <s v="SANTIBAÑEZ VILLALOBOS GENARO JAVIER"/>
    <n v="26"/>
    <s v="19.494.578-7"/>
    <s v="Masculino"/>
    <s v="OPERADOR GH"/>
    <s v="Entre 1 y 3 años"/>
    <m/>
    <s v="El dia lunes 02/09 a las 19:45 en sitio 5, operador de 26 años durante el traslado de equipos y ramplas del sitio 2B al sitio 3,  al momento de trasladar tracto acoplado con MAFI, operador deja equipo parqueado y desacopla, cuando al desacoplar aditamento cae por no tener base de apoyo."/>
    <x v="104"/>
    <d v="1899-12-30T19:45:00"/>
    <s v="‌Sitio 5 containero - Arica"/>
    <s v="Falta de conocimiento"/>
    <x v="0"/>
    <s v="SI"/>
    <s v="NO"/>
    <m/>
    <s v="No Aplica"/>
    <s v="Bajo"/>
    <s v="Caída de objetos"/>
    <s v="Sin Lesión"/>
    <s v="Ultraport"/>
    <s v="Bono Turno"/>
    <s v="No Aplica"/>
    <s v="Sin responsabilidad "/>
    <s v="Transferencia de Contenedores Grúa Nave y Grúa Tierra"/>
    <x v="96"/>
    <s v="Traslado de materiales"/>
    <s v="VLADIMIR VEGA"/>
    <s v="Ultraport"/>
    <s v="Renta Fija"/>
    <s v="Sin informacion"/>
    <s v="Sin informacion"/>
    <s v="lunes"/>
    <s v="2°"/>
    <n v="0"/>
    <s v="N/A"/>
    <s v="N/A"/>
    <m/>
  </r>
  <r>
    <n v="169"/>
    <s v="PALMA HERRERA JONATHAN MANUEL"/>
    <n v="32"/>
    <s v="17.555.325-8"/>
    <s v="Masculino"/>
    <s v="OPERADOR GH"/>
    <s v="Menor a 1 año"/>
    <m/>
    <s v="El dia sabado 07/09 a las 12:00 en almacen 1 colaborador de 32 años al realizar  interaccion de  pallets con compotas, retrocede y pasa llevar un frasco que se encontraba mas afuera,produciendo  daño a éste."/>
    <x v="105"/>
    <d v="1899-12-30T12:00:00"/>
    <s v="‌Almacén 1 - Arica"/>
    <s v="Operación inadecuada"/>
    <x v="0"/>
    <s v="SI"/>
    <s v="NO"/>
    <s v="SI"/>
    <s v="No Aplica"/>
    <s v="Bajo"/>
    <s v="Choque - Colisión"/>
    <s v="Sin Lesión"/>
    <s v="Ultraport"/>
    <s v="CPPT"/>
    <s v="Negativo"/>
    <m/>
    <s v="Desconsolidado, manipulacion, almacenaje y despacho de carga suelta"/>
    <x v="97"/>
    <s v="Desconsolidado"/>
    <s v="ALFREDO LOPEZ"/>
    <s v="Ultraport"/>
    <s v="Renta Fija"/>
    <s v="Juan Aguirre"/>
    <s v="TPA"/>
    <s v="sábado"/>
    <s v="1°"/>
    <n v="0"/>
    <n v="0"/>
    <s v="N/A"/>
    <m/>
  </r>
  <r>
    <n v="170"/>
    <s v="UBILLA MUÑOZ CRISTIAN GUILLERMO"/>
    <n v="44"/>
    <s v="13.862.942-2"/>
    <s v="Masculino"/>
    <s v="OPERADOR GH"/>
    <s v="Entre 1 y 3 años"/>
    <m/>
    <s v="El dia sabado 07/09 a las 20:20 en sector norte operador de 44 años,  al momento de tomar levantar la saca qué se encontraba sobre el pallets, el operador se percata que esta se estaba descociendo en todas las costuras arreando el nuevamente sobre el pallets  "/>
    <x v="105"/>
    <d v="1899-12-30T20:20:00"/>
    <s v="‌Sector Norte - Arica"/>
    <s v="Condicion de carga"/>
    <x v="0"/>
    <s v="SI"/>
    <s v="NO"/>
    <s v="SI"/>
    <s v="No Aplica"/>
    <s v="Bajo"/>
    <s v="No Aplica"/>
    <s v="Sin Lesión"/>
    <s v="Ultraport"/>
    <s v="Bono Turno"/>
    <s v="Negativo"/>
    <m/>
    <s v="Desconsolidado y maniplacion carga general"/>
    <x v="98"/>
    <s v="Desconsolidado"/>
    <s v="SAID VERGARA"/>
    <s v="Ultraport"/>
    <s v="Renta Fija"/>
    <s v="Gabriela Novoa"/>
    <s v="TPA"/>
    <s v="sábado"/>
    <s v="2°"/>
    <n v="0"/>
    <s v="N/A"/>
    <s v="N/A"/>
    <m/>
  </r>
  <r>
    <n v="171"/>
    <s v="Robinson Zapata Tane"/>
    <n v="65"/>
    <s v="6.900.375-3 "/>
    <s v="Masculino"/>
    <s v="OPERADOR GH"/>
    <s v="Entre 1 y 3 años"/>
    <m/>
    <s v="El día lunes 09/09, Colaborador de 65 años asignado al 3er turno en dirección a su trabajo es atropellado con posterior trasladado a Urgencia del Hospital."/>
    <x v="106"/>
    <d v="1899-12-30T23:00:00"/>
    <s v="Exterior puerto"/>
    <s v="Atropello por externo"/>
    <x v="5"/>
    <s v="NO"/>
    <s v="NO"/>
    <s v="NO"/>
    <s v="No Aplica"/>
    <s v="No aplica"/>
    <s v="No Aplica"/>
    <s v="Cara"/>
    <s v="Ultraport"/>
    <s v="Eventual"/>
    <s v="No Aplica"/>
    <s v="Accidente Trayecto"/>
    <s v="N/A"/>
    <x v="11"/>
    <s v="N/A"/>
    <s v="SAID VERGARA"/>
    <s v="Ultraport"/>
    <s v="Renta Fija"/>
    <s v="N/A"/>
    <s v="N/A"/>
    <s v="lunes"/>
    <s v="3°"/>
    <n v="0"/>
    <s v="N/A"/>
    <s v="N/A"/>
    <m/>
  </r>
  <r>
    <n v="172"/>
    <s v="Luis Muñoz"/>
    <n v="57"/>
    <s v="9.933.631-5 "/>
    <s v="Masculino"/>
    <s v="OPERADOR RS"/>
    <s v="Mayor a 3 años"/>
    <m/>
    <s v="El día martes 10/09, Operador de 57 años, al momento de trasladar un contenedor, al retroceder, pierde la mirada de frente, sin percatarse que contendor se balancea hacia el lado derecho del tapabarro del equipo ocacionando un daño leve a este. Por otro lado contendor queda con un daño (Corte) de unos 35 centimetros aproximados sin tener daño en el producto del interior que son big bag con mineral. "/>
    <x v="107"/>
    <d v="1899-12-30T13:55:00"/>
    <s v="‌Almacén 8 - Arica"/>
    <s v="Acción inadecuada"/>
    <x v="0"/>
    <s v="SI"/>
    <s v="SI"/>
    <m/>
    <s v="No Aplica"/>
    <s v="Bajo"/>
    <s v="No Aplica"/>
    <s v="Sin Lesión"/>
    <s v="Ultraport"/>
    <s v="Bono Turno"/>
    <s v="Negativo"/>
    <m/>
    <s v="Traslado de contenedores"/>
    <x v="99"/>
    <s v="Retroceso"/>
    <s v="VLADIMIR VEGA"/>
    <s v="Ultraport"/>
    <s v="Renta Fija"/>
    <s v="Cristian Lizama"/>
    <s v="TPA"/>
    <s v="martes"/>
    <s v="1°"/>
    <n v="0"/>
    <n v="1"/>
    <s v="N/A"/>
    <m/>
  </r>
  <r>
    <n v="173"/>
    <s v="Eduardo Aguilar"/>
    <n v="49"/>
    <s v="10.909.575-3 "/>
    <s v="Masculino"/>
    <s v="Opoerador GH"/>
    <s v="Mayor a 3 años"/>
    <m/>
    <s v="El día miércoles 11/09, colaborador de 49 años, se encontraba realizando estiba de big-bag polietileno con apoyo grúa horquilla N*245 Uport sobre plataforma de camión. En momentos de remover pallets genera daño leve en una de ellas con uña. "/>
    <x v="108"/>
    <d v="1899-12-30T20:30:00"/>
    <s v="‌Sector Norte - Arica"/>
    <s v="Acción inadecuada"/>
    <x v="0"/>
    <s v="SI"/>
    <s v="SI"/>
    <m/>
    <s v="No Aplica"/>
    <s v="Bajo"/>
    <s v="No Aplica"/>
    <s v="Sin Lesión"/>
    <s v="Ultraport"/>
    <s v="Bono Turno"/>
    <s v="Negativo"/>
    <m/>
    <s v="Desconsolidado y maniplacion carga general"/>
    <x v="100"/>
    <s v="Retiro de pallets"/>
    <s v="OSCAR MUÑOZ"/>
    <s v="Ultraport"/>
    <s v="Renta Fija"/>
    <s v="Ricardo Sanchez"/>
    <s v="TPA"/>
    <s v="miércoles"/>
    <s v="2°"/>
    <n v="0"/>
    <s v="N/A"/>
    <s v="N/A"/>
    <s v="N/A"/>
  </r>
  <r>
    <n v="174"/>
    <s v="Kevin Fica"/>
    <n v="34"/>
    <s v="17.264.198-9 "/>
    <s v="Masculino"/>
    <s v="OPERADOR RS"/>
    <s v="Mayor a 3 años"/>
    <m/>
    <s v="El día jueves 12/09, Operador RS de 34 años, al entrar al pasillo 39 A se encuentra con una congestión de camiones, al intentar salir pasa a llevar un contenedor con la parte trasera del equipo lado izquierdo, Después del protocolo A&amp;D prosigue en la operación en el mismo equipo el cual solo tuvo detalle en la pintura de la parte trasera lado izquierdo del equipo. "/>
    <x v="109"/>
    <d v="1899-12-30T13:30:00"/>
    <s v="Patio Contenedores"/>
    <s v="Acción inadecuada"/>
    <x v="0"/>
    <s v="SI"/>
    <s v="SI"/>
    <m/>
    <s v="No Aplica"/>
    <s v="Bajo"/>
    <s v="No Aplica"/>
    <s v="Sin Lesión"/>
    <s v="Ultraport"/>
    <s v="Bono Turno"/>
    <s v="Negativo"/>
    <m/>
    <s v="Traslado de contenedores"/>
    <x v="94"/>
    <s v="Desplazamiento con contenedor"/>
    <s v="VLADIMIR VEGA"/>
    <s v="Ultraport"/>
    <s v="Renta Fija"/>
    <s v="Edgardo Maya"/>
    <s v="TPA"/>
    <s v="jueves"/>
    <s v="1°"/>
    <n v="0"/>
    <n v="1"/>
    <s v="N/A"/>
    <s v="N/A"/>
  </r>
  <r>
    <n v="175"/>
    <s v="CORTES ROJAS REGINALDO ANTONIO"/>
    <n v="37"/>
    <s v="16.769.840-9"/>
    <s v="Masculino"/>
    <s v="OPERADOR CF"/>
    <s v="Mayor a 3 años"/>
    <m/>
    <s v="El día jueves 12/09, operador CF, durante remonte de soya, se produce daño en camion de recepción de soya placa 3469 AIE, en parapeto trasero ."/>
    <x v="109"/>
    <d v="1899-12-30T02:30:00"/>
    <s v="‌almacén 4 - Arica"/>
    <s v="Acción inadecuada"/>
    <x v="0"/>
    <s v="SI"/>
    <s v="NO"/>
    <m/>
    <s v="No Aplica"/>
    <s v="Bajo"/>
    <s v="No Aplica"/>
    <s v="Sin Lesión"/>
    <s v="Ultraport"/>
    <s v="Bono Turno"/>
    <s v="Negativo"/>
    <m/>
    <s v="Recepción de soya"/>
    <x v="80"/>
    <s v="Remonte de soya"/>
    <s v="SANDRO ZAVALA"/>
    <s v="Ultraport"/>
    <s v="Renta Fija"/>
    <s v="Miguel Mendoza"/>
    <s v="TPA"/>
    <s v="jueves"/>
    <s v="3°"/>
    <n v="0"/>
    <s v="N/A"/>
    <s v="N/A"/>
    <s v="N/A"/>
  </r>
  <r>
    <n v="176"/>
    <s v="_x000a_MORENO CORONA JOSUE MARIO ERNESTO"/>
    <n v="26"/>
    <s v="19.870.022-3"/>
    <s v="Masculino"/>
    <s v="MOVILIZADOR"/>
    <s v="Menor a 1 año"/>
    <m/>
    <s v="El día viernes 13/09, movilizador de XX años, ESTABA CARGANDO SACOS DE FERTILIZANTES Y ESTE SUELTA UN POLVO, QUE CAYÓ SOBRE UNA HERIDA POST QUIRÚRGICA EN LA REGIÓN POSTERIOR DEL CUELLO (RESECCIÓN DE LIPOMA) LA CUAL FUERON RETIRADOS LOS PUNTOS HACE 5 DÍAS. ESTE PRODUCTO EMPEZÓ A GENERAR  IRRITACIÓN EN LA ZONA DE LA HERIDA."/>
    <x v="110"/>
    <d v="1899-12-30T09:50:00"/>
    <s v="Almacén 2"/>
    <s v="Lesión preexistente"/>
    <x v="3"/>
    <s v="NO"/>
    <s v="NO"/>
    <s v="NO"/>
    <s v="No Aplica"/>
    <s v="No aplica"/>
    <s v="No Aplica"/>
    <s v="Cuello Cervical"/>
    <s v="Ultraport"/>
    <s v="Eventual"/>
    <s v="No Aplica"/>
    <s v="No aplica"/>
    <s v="N/A"/>
    <x v="11"/>
    <s v="N/A"/>
    <s v="N/A"/>
    <s v="N/A"/>
    <s v="N/A"/>
    <s v="N/A"/>
    <s v="N/A"/>
    <s v="viernes"/>
    <s v="1°"/>
    <s v="N/A"/>
    <s v="N/A"/>
    <s v="N/A"/>
    <s v="N/A"/>
  </r>
  <r>
    <n v="177"/>
    <s v="CALDERA ALVAREZ MARCELO ALEJANDRO"/>
    <n v="48"/>
    <s v="13.089.211-6"/>
    <s v="Masculino"/>
    <s v="OPERADOR CF"/>
    <s v="Mayor a 3 años"/>
    <m/>
    <s v="El dia lunes 16/09 a las 12:10 operador de 48 años al realizar la tarea de remonte de soya en el sector 56 almacen 4, este choca el balde con riel, provocando el desprendimiento de 2 cuchillas. "/>
    <x v="111"/>
    <d v="1899-12-30T12:10:00"/>
    <s v="‌almacén 4 - Arica"/>
    <s v="Conidicion subestandar"/>
    <x v="0"/>
    <s v="SI"/>
    <s v="NO"/>
    <m/>
    <s v="No Aplica"/>
    <s v="Bajo"/>
    <s v="Choque - Colisión"/>
    <s v="Sin Lesión"/>
    <s v="Ultraport"/>
    <s v="Bono Turno"/>
    <s v="No Aplica"/>
    <s v="Sin responsabilidad del operador"/>
    <s v="Recepcion, consolidadoy embarque de graneles limpios"/>
    <x v="4"/>
    <s v="Descarga"/>
    <s v="SAID VERGARA"/>
    <s v="Ultraport"/>
    <s v="Renta Fija"/>
    <s v="Sin informacion"/>
    <s v="Sin informacion"/>
    <s v="lunes"/>
    <s v="1°"/>
    <n v="0"/>
    <s v="N/A"/>
    <s v="N/A"/>
    <s v="N/A"/>
  </r>
  <r>
    <n v="178"/>
    <s v="BERRIOS MORALES IGNACIO ALEJANDRO"/>
    <n v="26"/>
    <s v="19.868.825-8"/>
    <s v="Masculino"/>
    <s v="MOVILIZADOR"/>
    <s v="Entre 1 y 3 años"/>
    <m/>
    <s v="El dia martes 17/09 a las 10:10 Colaborador de 26 años, en sector norte realiza una mala estiba de cajas de licores sobre pallets. generando que el operador de la grúa Horquilla al momento de retirar el pallet y dejarlo al costado del camión estas se cayeran, quebrándose 29 botellas en 10 cajas. "/>
    <x v="112"/>
    <d v="1899-12-30T10:10:00"/>
    <s v="‌Sector Norte - Arica"/>
    <s v="Mala estiba de carga"/>
    <x v="0"/>
    <s v="SI"/>
    <s v="NO"/>
    <s v="SI"/>
    <s v="No Aplica"/>
    <s v="Bajo"/>
    <s v="Caida de objetos"/>
    <s v="Sin Lesión"/>
    <s v="Ultraport"/>
    <s v="Eventual"/>
    <s v="Negativo"/>
    <m/>
    <s v="Desconsolidado y maniplacion carga general"/>
    <x v="16"/>
    <s v="Desconsolidado"/>
    <s v="SAID VERGARA"/>
    <s v="Ultraport"/>
    <s v="Renta Fija"/>
    <s v="Sin informacion"/>
    <s v="Sin informacion"/>
    <s v="martes"/>
    <s v="1°"/>
    <n v="0"/>
    <s v="N/A"/>
    <s v="N/A"/>
    <s v="N/A"/>
  </r>
  <r>
    <n v="179"/>
    <s v="REBOLLEDO FLORES LUIS ARMANDO"/>
    <n v="57"/>
    <s v="10.107.872-8"/>
    <s v="Masculino"/>
    <s v="OPERADOR MC"/>
    <s v="Mayor a 3 años"/>
    <m/>
    <s v="El dia 20/09 a las 00:10 operador de 57 años al momento de realizar barrido de soya en el sitio 2B, uno de los flexible era mas largo y se encontraba encima del balde, se desplaza para el lado izquierdo del equipo siendo dañado al momento que toca el pavimento pasado a llevar con el cepillo. "/>
    <x v="113"/>
    <d v="1899-12-30T00:10:00"/>
    <s v="‌Sitio 2B granelero- Arica"/>
    <s v="Fatiga de material"/>
    <x v="1"/>
    <s v="SI"/>
    <s v="NO"/>
    <s v="SI"/>
    <s v="No Aplica"/>
    <s v="Bajo"/>
    <s v="No Aplica"/>
    <s v="Sin Lesión"/>
    <s v="Ultraport"/>
    <s v="CPPT"/>
    <s v="No Aplica"/>
    <s v="Sin responsabilidad del operador"/>
    <s v="Transferencia de Graneles Limpios"/>
    <x v="101"/>
    <s v="Barrido de soya"/>
    <s v="VLADIMIR VEGA"/>
    <s v="Ultraport"/>
    <s v="Renta Fija"/>
    <s v="Antonio Huanca"/>
    <s v="TPA"/>
    <s v="viernes"/>
    <s v="3°"/>
    <n v="0"/>
    <s v="N/A"/>
    <s v="N/A"/>
    <s v="N/A"/>
  </r>
  <r>
    <n v="180"/>
    <s v="ECHALAR ROMERO ANGELO BASTIAN"/>
    <n v="33"/>
    <s v="17.553.641-8"/>
    <s v="Masculino"/>
    <s v="MOVILIZADOR"/>
    <s v="Mayor a 3 años"/>
    <m/>
    <s v="El dia 24/09 a las 09:00 movilizador de 33 años en función de embalador en sector norte, se encontraba al costado de compuerta de camión a la espera de que GH se posicione, cuando equipo al girar se le desprende funda y le pasa a llevar levemente el casco."/>
    <x v="114"/>
    <d v="1899-12-30T09:00:00"/>
    <s v="‌Sector Norte - Arica"/>
    <s v="Funda no corresponde a diametro de uña de equipo"/>
    <x v="0"/>
    <s v="SI"/>
    <s v="NO"/>
    <s v="SI"/>
    <s v="No Aplica"/>
    <s v="Bajo"/>
    <s v="Golpeado por"/>
    <s v="Sin Lesión"/>
    <s v="Ultraport"/>
    <s v="CPPT"/>
    <s v="Negativo"/>
    <m/>
    <s v="Desconsolidado y manipulacion de carga general"/>
    <x v="97"/>
    <s v="Desconsolidado"/>
    <s v="CHRISTOPHER TAPIA"/>
    <s v="Ultraport"/>
    <s v="Renta Fija"/>
    <s v="Thomas Tapia"/>
    <s v="TPA"/>
    <s v="martes"/>
    <s v="1°"/>
    <n v="0"/>
    <s v="N/A"/>
    <s v="N/A"/>
    <s v="N/A"/>
  </r>
  <r>
    <n v="181"/>
    <s v="OYARCE CASTILLO FABIAN JOAQUIN"/>
    <n v="39"/>
    <s v="16.224.233-4"/>
    <s v="Masculino"/>
    <s v="MOVILIZADOR"/>
    <s v="Mayor a 3 años"/>
    <m/>
    <s v="El dia 25/09 a las 11:35 movilizador de 39 años, se encontraba sacando cajas de pescados desde chinguillo a pallets en sitio 3, cuando se engancha punta de pie derecho con chinguillo y se dobla el tobillo del mismo."/>
    <x v="115"/>
    <d v="1899-12-30T11:35:00"/>
    <s v="‌Sitio 3 - Arica"/>
    <s v="Por condicion de chinguillo"/>
    <x v="0"/>
    <s v="SI"/>
    <s v="NO"/>
    <s v="SI"/>
    <s v="No Aplica"/>
    <s v="Bajo"/>
    <s v="Caida al mismo nivel"/>
    <s v="Tobillo derecho "/>
    <s v="Ultraport"/>
    <s v="CPPT"/>
    <s v="Negativo"/>
    <m/>
    <s v="Descarga y consolidado directo de cajas de pescado"/>
    <x v="102"/>
    <s v="Armado de pallet"/>
    <s v="CHRISTOPHER TAPIA"/>
    <s v="Ultraport"/>
    <s v="Renta Fija"/>
    <s v="Mauricio Navarro"/>
    <s v="Ultraport"/>
    <s v="miércoles"/>
    <s v="1°"/>
    <n v="0"/>
    <s v="N/A"/>
    <s v="N/A"/>
    <s v="N/A"/>
  </r>
  <r>
    <n v="182"/>
    <s v="VALENCIA ABARCA ROBERTO GERALD"/>
    <n v="31"/>
    <s v="18.599.651-4"/>
    <s v="Masculino"/>
    <s v="OPERADOR GH"/>
    <s v="Menor a 1 año"/>
    <m/>
    <s v="El dia 27/09 a las 13:40 operador de 31 años al momento de mantener el pallet para que movilizadores TPA sacarán los sacos que pesaban 70 kilos en sector AFORO, movilizadores le piden al operador bajar un poco más el pallet, en ese momento pasa a llevar dos sacos con el mismo pallet ocasionando 2 cortes y derramé del producto."/>
    <x v="116"/>
    <d v="1899-12-30T13:40:00"/>
    <s v="‌Aforo - SAG"/>
    <s v="Operacion inadecuada"/>
    <x v="0"/>
    <s v="SI"/>
    <s v="NO"/>
    <m/>
    <s v="No Aplica"/>
    <s v="Bajo"/>
    <s v="Choque - Colisión"/>
    <s v="Sin Lesión"/>
    <s v="Ultraport"/>
    <s v="Bono Turno"/>
    <s v="Negativo"/>
    <m/>
    <s v="Desconsolidado, consolidado y manipulacion carga aforo Aduana/SAG"/>
    <x v="103"/>
    <s v="conduccion de equipo"/>
    <s v="VLADIMIR VEGA"/>
    <s v="Ultraport"/>
    <s v="Renta Fija"/>
    <s v="Yanet Elgueta"/>
    <s v="TPA"/>
    <s v="viernes"/>
    <s v="1°"/>
    <n v="0"/>
    <s v="N/A"/>
    <s v="N/A"/>
    <s v="N/A"/>
  </r>
  <r>
    <n v="183"/>
    <s v="ZARATE CORNEJO JORGE ENRIQUE"/>
    <n v="33"/>
    <s v="17.831.199-9"/>
    <s v="Masculino"/>
    <s v="OPERADOR CF"/>
    <s v="Mayor a 3 años"/>
    <m/>
    <s v="El dia 01/10 a las 19:19 operador de equipo cargador frontal de 33 años, en sector codo, almacen 4 al remontar soya a granel por costado de camión , es advertido por capataz TPA quien le informa que estaba saliendo humo por parte trasera, deteniendo equipo. "/>
    <x v="117"/>
    <d v="1899-12-30T19:19:00"/>
    <s v="‌almacén 4 - Arica"/>
    <s v="cumplimiento vida util de baterias de equipo"/>
    <x v="0"/>
    <s v="SI"/>
    <s v="NO"/>
    <m/>
    <s v="Leve"/>
    <s v="Bajo"/>
    <s v="No Aplica"/>
    <s v="Sin Lesión"/>
    <s v="Ultraport"/>
    <s v="Bono Turno"/>
    <s v="No Aplica"/>
    <s v="Condición de equipo"/>
    <s v="Recepción, Consolidado y Embarque de Graneles Limpios"/>
    <x v="104"/>
    <s v="Remonte soya"/>
    <s v="ALFREDO LOPEZ"/>
    <s v="Ultraport"/>
    <s v="No aplica"/>
    <s v="Leonel Delzo"/>
    <s v="TPA"/>
    <s v="martes"/>
    <s v="2°"/>
    <s v="N/A"/>
    <s v="N/A"/>
    <s v="N/A"/>
    <m/>
  </r>
  <r>
    <n v="184"/>
    <s v="GONZALEZ LA REGLA HECTOR PATRICIO"/>
    <n v="32"/>
    <s v="18.174.710-2"/>
    <s v="Masculino"/>
    <s v="OPERADOR GH"/>
    <s v="Menor a 1 año"/>
    <m/>
    <s v="El dia 03/10 a las 19:35 en almacen 4 operador de 32 años, al momento de que se encontraba bajando compuertas de camión, no se percata que raya levemente compuertas."/>
    <x v="118"/>
    <d v="1899-12-30T19:35:00"/>
    <s v="‌almacén 4 - Arica"/>
    <s v="Acción subestandar"/>
    <x v="0"/>
    <s v="SI"/>
    <s v="NO"/>
    <m/>
    <s v="Leve"/>
    <s v="Bajo"/>
    <s v="No Aplica"/>
    <s v="Sin Lesión"/>
    <s v="Ultraport"/>
    <s v="Bono Turno"/>
    <s v="Negativo"/>
    <m/>
    <s v="Recepción, Consolidado y Embarque de Graneles Limpios"/>
    <x v="105"/>
    <s v="Bajada compuertas de camión"/>
    <s v="CHRISTOPHER TAPIA"/>
    <s v="Ultraport"/>
    <s v="No aplica"/>
    <s v="Yoshio Nishinaga"/>
    <s v="Ultraport"/>
    <s v="jueves"/>
    <s v="2°"/>
    <s v="N/A"/>
    <s v="N/A"/>
    <s v="N/A"/>
    <m/>
  </r>
  <r>
    <n v="185"/>
    <s v="CORTES ROJAS ALEJANDRO SEGUNDO"/>
    <n v="42"/>
    <s v="14.105.328-0"/>
    <s v="Masculino"/>
    <s v="OPERADOR GH"/>
    <s v="Mayor a 3 años"/>
    <m/>
    <s v="El dia 04/10 a las 9:30 en sector norte operador de 42 años realizaba desconsolidado de tambores con apoyo de grúa horquilla con aditamento picoloro, en ese momento tambor se desprende por condiciones complejas de toma, adicionalmente con problemas en aditamento, lo genera que se eleve polea central golpeando parte superior de contenedor generando daño leve."/>
    <x v="119"/>
    <d v="1899-12-30T09:30:00"/>
    <s v="‌Sector Norte - Arica"/>
    <s v="Condicion de aditamento picoloro"/>
    <x v="0"/>
    <s v="SI"/>
    <s v="NO"/>
    <m/>
    <s v="Leve"/>
    <s v="Bajo"/>
    <s v="No Aplica"/>
    <s v="Sin Lesión"/>
    <s v="Ultraport"/>
    <s v="Bono Turno"/>
    <s v="No Aplica"/>
    <s v="No existe acción insegura"/>
    <s v="Desconsolidado y Manipulación Carga General"/>
    <x v="106"/>
    <s v="Desconsolidado de tambores"/>
    <s v="OSCAR MUÑOZ"/>
    <s v="Ultraport"/>
    <s v="No aplica"/>
    <s v="Ricardo Sanchez"/>
    <s v="TPA"/>
    <s v="viernes"/>
    <s v="1°"/>
    <s v="N/A"/>
    <s v="N/A"/>
    <s v="N/A"/>
    <m/>
  </r>
  <r>
    <n v="186"/>
    <s v="LATORRE CRUZ CRISTIAN ANDRES"/>
    <n v="47"/>
    <s v="13.007.680-7"/>
    <s v="Masculino"/>
    <s v="OPERADOR CF"/>
    <s v="Mayor a 3 años"/>
    <m/>
    <s v="El dia 05/10 a las 17:45 operador de 47 años en almacen 4 realizaba descarga de soya con apoyo de cargador frontal 81, en ese momento daña de manera leve pretina de compuerta trasera con balde de máquina. "/>
    <x v="120"/>
    <d v="1899-12-30T17:45:00"/>
    <s v="‌almacén 4 - Arica"/>
    <s v="Maniobra inadecuada"/>
    <x v="0"/>
    <s v="SI"/>
    <s v="NO"/>
    <m/>
    <s v="Leve"/>
    <s v="Bajo"/>
    <s v="No Aplica"/>
    <s v="Sin Lesión"/>
    <s v="Ultraport"/>
    <s v="CPPT"/>
    <s v="No Aplica"/>
    <s v="No existe acción insegura"/>
    <s v="Recepción, Consolidado y Embarque de Graneles Limpios"/>
    <x v="107"/>
    <s v="Descarga de camiones"/>
    <s v="OSCAR MUÑOZ"/>
    <s v="Ultraport"/>
    <s v="No aplica"/>
    <s v="Abraham Triviño"/>
    <s v="TPA"/>
    <s v="sábado"/>
    <s v="2°"/>
    <s v="N/A"/>
    <s v="N/A"/>
    <s v="N/A"/>
    <m/>
  </r>
  <r>
    <n v="187"/>
    <s v="BOBADILLA VILLEGAS ANDRES IGNACIO"/>
    <n v="21"/>
    <s v="21.359.341-2"/>
    <s v="Masculino"/>
    <s v="HATCHCLERK"/>
    <s v="Menor a 1 año"/>
    <m/>
    <s v="El dia 05/10 a las 19:00 aprox colaborador de 21 años en función de hatchclerk, cae por escotilla, en medio de un pasillo hacia la popa de MN, durante monitoreo de contenedores para el ingreso de datos en capturador, continúa trabajando y no da aviso oportuno de su incidente notificando aproximadamente 2 horas después, cuando comenzó a presentar dolencias en el cuerpo."/>
    <x v="120"/>
    <d v="1899-12-30T19:00:00"/>
    <s v="‌Sitio 4  containero - Arica"/>
    <s v="Escotilla abierta"/>
    <x v="7"/>
    <s v="SI"/>
    <s v="NO"/>
    <m/>
    <s v="Medio"/>
    <s v="Alto"/>
    <s v="Altura"/>
    <s v="Hombro derecho "/>
    <s v="Ultraport"/>
    <s v="Bono Turno"/>
    <s v="Negativo"/>
    <m/>
    <s v="Transferencia de Contenedores Grúa Nave y Grúa Tierra"/>
    <x v="108"/>
    <s v="Ingreso datos a capturador"/>
    <s v="OMAYRA CAUTIN"/>
    <s v="Ultraport"/>
    <s v="No aplica"/>
    <s v="Yoshio Nishinaga"/>
    <s v="Ultraport"/>
    <s v="sábado"/>
    <s v="2°"/>
    <n v="33"/>
    <s v="N/A"/>
    <s v="N/A"/>
    <m/>
  </r>
  <r>
    <n v="188"/>
    <s v="ASTORGA BARRAZA RODRIGO ALEJANDRO"/>
    <n v="32"/>
    <s v="17.555.525-0"/>
    <s v="Masculino"/>
    <s v="OPERADOR CF"/>
    <s v="Entre 1 y 3 años"/>
    <m/>
    <s v="El dia 08/10 a las 00:00 en almacen 4 operador de 32 años al momento de observar que tolva se retira despues de ser cargado con soya, visualiza una tapa del estanque de petroleo en terreno."/>
    <x v="121"/>
    <d v="1899-12-30T00:00:00"/>
    <s v="‌almacén 4 - Arica"/>
    <s v="Desprendimiento de tapa de combustible"/>
    <x v="0"/>
    <s v="SI"/>
    <s v="NO"/>
    <m/>
    <s v="Leve"/>
    <s v="Bajo"/>
    <s v="No Aplica"/>
    <s v="Nariz"/>
    <s v="Ultraport"/>
    <s v="Bono Turno"/>
    <s v="No Aplica"/>
    <s v="Condición de equipo"/>
    <s v="Recepción, Consolidado y Embarque de Graneles Limpios"/>
    <x v="109"/>
    <s v="Carguío de tolva"/>
    <s v="VLADIMIR VEGA"/>
    <s v="Ultraport"/>
    <s v="No aplica"/>
    <s v="Danko Arias"/>
    <s v="Ultraport"/>
    <s v="martes"/>
    <s v="3°"/>
    <s v="N/A"/>
    <s v="N/A"/>
    <s v="N/A"/>
    <m/>
  </r>
  <r>
    <n v="189"/>
    <s v="ARAYA PANGUE CESAR ARTURO"/>
    <n v="40"/>
    <s v="16.465.979-8"/>
    <s v="Masculino"/>
    <s v="MOVILIZADOR"/>
    <s v="Mayor a 3 años"/>
    <m/>
    <s v="El dia 08/10 a las 04:15 en almacen 4 movilizador de 40 años al momento de bajar de la ruma de soya comenta que pisa un hoyo que se encontraba tapado con la lona. En su momento siente una dolencia en su tobillo derecho dando aviso a capataz siendo derivado como primera atención en poli puerto, donde despues de unos minutos rechaza la atención al no sentir mucho dolor y no tener inflamación, volviendo a realizar sus labores."/>
    <x v="121"/>
    <d v="1899-12-30T04:15:00"/>
    <s v="‌almacén 4 - Arica"/>
    <s v="Condicion de ruma tapada por lona"/>
    <x v="0"/>
    <s v="SI"/>
    <s v="NO"/>
    <m/>
    <s v="Leve"/>
    <s v="Bajo"/>
    <s v="No Aplica"/>
    <s v="Tobillo derecho "/>
    <s v="Ultraport"/>
    <s v="Bono Turno"/>
    <s v="Negativo"/>
    <m/>
    <s v="Recepción, Consolidado y Embarque de Graneles Limpios"/>
    <x v="110"/>
    <s v="Embalado"/>
    <s v="VLADIMIR VEGA"/>
    <s v="Ultraport"/>
    <s v="No aplica"/>
    <s v="Juan Guaman"/>
    <s v="Ultraport"/>
    <s v="martes"/>
    <s v="3°"/>
    <n v="0"/>
    <s v="N/A"/>
    <s v="N/A"/>
    <m/>
  </r>
  <r>
    <n v="190"/>
    <s v="N/A"/>
    <s v="N/A"/>
    <s v="N/A"/>
    <s v="N/A"/>
    <s v="N/A"/>
    <s v="N/A"/>
    <m/>
    <s v="El dia 08/10 a las 19:35 equipo de mantencion se dirigen a sopletear equipos en almacen 4, en donde operador advierte que desde equipo se encontraba emanando humo desde el compartimiento de motor y decide actuar levantando el capot del equipo y transmitir la informacion a los mecanicos los cuales tomaron las medidas correspondientes para mitigar la emanacion de humo utilizando el extintor del equipo."/>
    <x v="121"/>
    <d v="1899-12-30T19:35:00"/>
    <s v="‌almacén 4 - Arica"/>
    <s v="Desprendimiento de material acumulado en equipo"/>
    <x v="0"/>
    <s v="SI"/>
    <s v="NO"/>
    <m/>
    <s v="Leve"/>
    <s v="Bajo"/>
    <s v="No Aplica"/>
    <s v="Sin Lesión"/>
    <s v="Ultraport"/>
    <s v="N/A"/>
    <s v="No Aplica"/>
    <s v="No aplica"/>
    <s v="Recepción, Consolidado y Embarque de Graneles Limpios"/>
    <x v="111"/>
    <s v="Descarga de camiones"/>
    <s v="SEBASTIAN MURA"/>
    <s v="Ultraport"/>
    <s v="No aplica"/>
    <s v="No aplica"/>
    <s v="No aplica"/>
    <s v="martes"/>
    <s v="2°"/>
    <s v="No"/>
    <s v="N/A"/>
    <s v="N/A"/>
    <m/>
  </r>
  <r>
    <n v="191"/>
    <s v="CHILCUMPA AGUILERA RICHARD ALEJANDRO"/>
    <n v="47"/>
    <s v="13.224.689-0"/>
    <s v="Masculino"/>
    <s v="OPERADOR MC"/>
    <s v="Mayor a 3 años"/>
    <m/>
    <s v="El dia 03/10 a las 19:35 en almacen 4 operador de 47 años al regresar de la media hora y comenzar con el barrido del sector, se corta manguera hidraulica por el atrapamiento de esta en la barredora por estar muy largas las mangueras."/>
    <x v="122"/>
    <d v="1899-12-30T19:35:00"/>
    <s v="Otro"/>
    <s v="Fatiga de material"/>
    <x v="1"/>
    <s v="SI"/>
    <s v="NO"/>
    <m/>
    <s v="Leve"/>
    <s v="Bajo"/>
    <s v="No Aplica"/>
    <s v="Sin Lesión"/>
    <s v="Ultraport"/>
    <s v="Bono Turno"/>
    <s v="No Aplica"/>
    <s v="Fatiga de material"/>
    <s v="Transferencia de Contenedores Grúa Nave y Grúa Tierra"/>
    <x v="28"/>
    <s v="Limpieza"/>
    <s v="CHRISTOPHER TAPIA"/>
    <s v="Ultraport"/>
    <s v="No aplica"/>
    <s v="Bryan Reyes"/>
    <s v="Ultraport"/>
    <s v="miércoles"/>
    <s v="3°"/>
    <n v="0"/>
    <n v="0"/>
    <s v="0,5 litros"/>
    <s v="MINICF0008"/>
  </r>
  <r>
    <n v="192"/>
    <s v="CORTES ROJAS ALEJANDRO SEGUNDO"/>
    <n v="42"/>
    <s v="14.105.328-0"/>
    <s v="Masculino"/>
    <s v="OPERADOR TC"/>
    <s v="Mayor a 3 años"/>
    <m/>
    <s v="El dia 11/10 a las 14:15 operador de 42 años, al momento de entrar a pasillo 42 por sector molo, pasa a llevar levemente con rampla de tracto camión, defensa delantera de camión boliviano patente 6299-eku que se encontraba parqueado en molo. "/>
    <x v="123"/>
    <d v="1899-12-30T14:15:00"/>
    <s v="‌Sitio 3 containero  - Arica"/>
    <s v="Maniobra inadecuada"/>
    <x v="0"/>
    <s v="SI"/>
    <s v="NO"/>
    <m/>
    <s v="Leve"/>
    <s v="Bajo"/>
    <s v="No Aplica"/>
    <s v="Sin Lesión"/>
    <s v="Ultraport"/>
    <s v="Bono Turno"/>
    <s v="Negativo"/>
    <m/>
    <s v="Transferencia de Contenedores Grúa Nave y Grúa Tierra"/>
    <x v="76"/>
    <s v="Embarque de contenedores"/>
    <s v="CHRISTOPHER TAPIA"/>
    <s v="Ultraport"/>
    <s v="No aplica"/>
    <s v="Luis Roa"/>
    <s v="TPA"/>
    <s v="viernes"/>
    <s v="1°"/>
    <s v="N/A"/>
    <s v="N/A"/>
    <s v="N/A"/>
    <m/>
  </r>
  <r>
    <n v="193"/>
    <s v="ASTORGA BARRAZA RODRIGO ALEJANDRO"/>
    <n v="32"/>
    <s v="17.555.525-0"/>
    <s v="Masculino"/>
    <s v="OPERADOR RS"/>
    <s v="Menor a 1 año"/>
    <m/>
    <s v="El dia 11/10 a las 23:50 operador de 32 años, al momento de cargar un contenedor de 20' en sector 16 sobre plataforma de camión boliviano placa 2512-CPC con barandas, se genera daño en la parte inferior de esta al parecer por un perno suelto el contenedor se engancha provocando la ruptura de esta. notar que como muestra la imagen la baranda en la parte superior no tiene ningún tipo de daño. "/>
    <x v="123"/>
    <d v="1899-12-30T23:50:00"/>
    <s v="‌Terminal de contenedores - Arica"/>
    <s v="Condicion de camion"/>
    <x v="0"/>
    <s v="SI"/>
    <s v="NO"/>
    <m/>
    <s v="Leve"/>
    <s v="Bajo"/>
    <s v="No Aplica"/>
    <s v="Sin Lesión"/>
    <s v="Ultraport"/>
    <s v="Bono Turno"/>
    <s v="No Aplica"/>
    <s v="por condición"/>
    <s v="Desconsolidado y Manipulación Carga General"/>
    <x v="53"/>
    <s v="Carguío "/>
    <s v="SAID VERGARA"/>
    <s v="Ultraport"/>
    <s v="No aplica"/>
    <s v="Francisco Pizarro"/>
    <s v="TPA"/>
    <s v="viernes"/>
    <s v="3°"/>
    <s v="N/A"/>
    <n v="0.4"/>
    <s v="N/A"/>
    <m/>
  </r>
  <r>
    <n v="194"/>
    <s v="BURGOS GARCIA PETER FRANCIS"/>
    <n v="44"/>
    <s v="13.717.086-8"/>
    <s v="Masculino"/>
    <s v="OPERADOR GH"/>
    <s v="Mayor a 3 años"/>
    <m/>
    <s v="El dia 12/10 a las 17:15 en sector norte operador de 44 años al momento de estar desconsolidando pallet con sacos visualiza que la base presentaba un daño de origen el cual al trasladar este se cáe originando la rotura de dos sacos."/>
    <x v="124"/>
    <d v="1899-12-30T17:15:00"/>
    <s v="‌Sector Norte - Arica"/>
    <s v="Condicion de pallets"/>
    <x v="0"/>
    <s v="SI"/>
    <s v="NO"/>
    <m/>
    <s v="Leve"/>
    <s v="Bajo"/>
    <s v="No Aplica"/>
    <s v="Sin Lesión"/>
    <s v="Ultraport"/>
    <s v="Bono Turno"/>
    <s v="No Aplica"/>
    <s v="Condición de pallet"/>
    <s v="Recepción, Consolidado y Embarque de Graneles Limpios"/>
    <x v="112"/>
    <s v="Conducción GH"/>
    <s v="VLADIMIR VEGA"/>
    <s v="Ultraport"/>
    <s v="No aplica"/>
    <s v="Tomas Tapia"/>
    <s v="TPA"/>
    <s v="sábado"/>
    <s v="2°"/>
    <s v="N/A"/>
    <s v="N/A"/>
    <s v="N/A"/>
    <m/>
  </r>
  <r>
    <n v="195"/>
    <s v="PALMA BUGUEÑO JUAN CARLOS"/>
    <n v="47"/>
    <s v="11.814.456-2"/>
    <s v="Masculino"/>
    <s v="CAPATAZ"/>
    <s v="Mayor a 3 años"/>
    <m/>
    <s v="El dia 12/10 a las 19:00 se realizaba tarea bajada compuertas laterales de camión con apoyo de grúa horquilla y movilizadores, en ese momento seguro genera daño a neumático, ya que sujeción pasaba por condición insegura (alambre) provocando perdida de aire. "/>
    <x v="124"/>
    <d v="1899-12-30T19:00:00"/>
    <s v="‌almacén 4 - Arica"/>
    <s v="Condicion de camion"/>
    <x v="0"/>
    <s v="SI"/>
    <s v="NO"/>
    <m/>
    <s v="Leve"/>
    <s v="Bajo"/>
    <s v="No Aplica"/>
    <s v="Sin Lesión"/>
    <s v="Ultraport"/>
    <s v="Bono Turno"/>
    <s v="Negativo"/>
    <m/>
    <s v="Transferencia de Contenedores Grúa Nave y Grúa Tierra"/>
    <x v="107"/>
    <s v="Bajada de compuerta"/>
    <s v="OSCAR MUÑOZ"/>
    <s v="Ultraport"/>
    <s v="No aplica"/>
    <s v="Abraham Triviño"/>
    <s v="TPA"/>
    <s v="sábado"/>
    <s v="2°"/>
    <s v="N/A"/>
    <s v="N/A"/>
    <s v="N/A"/>
    <m/>
  </r>
  <r>
    <n v="196"/>
    <s v="CALDERA ALVAREZ MARCELO ALEJANDRO"/>
    <n v="48"/>
    <s v="13.089.211-6"/>
    <s v="Masculino"/>
    <s v="OPERADOR RS"/>
    <s v="Mayor a 3 años"/>
    <m/>
    <s v="El dia 14/10 a las 12:30 en sector 21 de patio, operador al momento de terminar su media hora de descanso y salir con su equipo, se olvida retirar una cuña de los neumaticos pasando a llevar esta."/>
    <x v="125"/>
    <d v="1899-12-30T12:30:00"/>
    <s v="Otro"/>
    <s v="Acción inadecuada"/>
    <x v="0"/>
    <s v="SI"/>
    <s v="NO"/>
    <m/>
    <s v="Leve"/>
    <s v="Bajo"/>
    <s v="No Aplica"/>
    <s v="Sin Lesión"/>
    <s v="Ultraport"/>
    <s v="Bono Turno"/>
    <s v="Negativo"/>
    <m/>
    <s v="Recepción y Consolidado en Big Bag"/>
    <x v="94"/>
    <s v="Retroceso"/>
    <s v="VLADIMIR VEGA"/>
    <s v="Ultraport"/>
    <s v="No aplica"/>
    <s v="Jaime Vargas"/>
    <s v="TPA"/>
    <s v="lunes"/>
    <s v="1°"/>
    <s v="N/A"/>
    <s v="N/A"/>
    <s v="N/A"/>
    <m/>
  </r>
  <r>
    <n v="197"/>
    <s v="ASTORGA BARRAZA RODRIGO ALEJANDRO"/>
    <n v="32"/>
    <s v="17.555.525-0"/>
    <s v="Masculino"/>
    <s v="OPERADOR GH"/>
    <s v="Menor a 1 año"/>
    <m/>
    <s v="El dia 14/10 a las 13:30 en almacen 8 operador al momento de consolidar un big bag y retroceder se percata que se sale el porta uñas del equipo encontrando los pernos de sujeción cortados. "/>
    <x v="125"/>
    <d v="1899-12-30T13:30:00"/>
    <s v="‌Almacén 8 - Arica"/>
    <s v="Fatiga de material"/>
    <x v="0"/>
    <s v="SI"/>
    <s v="NO"/>
    <m/>
    <s v="Leve"/>
    <s v="Bajo"/>
    <s v="No Aplica"/>
    <s v="Sin Lesión"/>
    <s v="Ultraport"/>
    <s v="Bono Turno"/>
    <s v="Negativo"/>
    <m/>
    <s v="Desconsolidado y Manipulación Carga General"/>
    <x v="113"/>
    <s v="Conducción GH"/>
    <s v="VLADIMIR VEGA"/>
    <s v="Ultraport"/>
    <s v="No aplica"/>
    <s v="Alan Vega"/>
    <s v="TPA"/>
    <s v="lunes"/>
    <s v="1°"/>
    <s v="N/A"/>
    <s v="N/A"/>
    <s v="N/A"/>
    <m/>
  </r>
  <r>
    <n v="198"/>
    <s v="CAUCOTT FLORES ALBERTO GERMAN"/>
    <n v="39"/>
    <s v="15.980.589-1"/>
    <s v="Masculino"/>
    <s v="MOVILIZADOR"/>
    <s v="Mayor a 3 años"/>
    <m/>
    <s v="El dia 19/10 a las 19:30 en sector norte movilizador en funcion de embalador al momento de posicionar cuadrante por la parte delantera de camion, pasan a llevar espejo y parasol de puerta de camión, provocando pequeña rotura de parasol. "/>
    <x v="126"/>
    <d v="1899-12-30T19:30:00"/>
    <s v="‌Sector Norte - Arica"/>
    <s v="Acción subestandar"/>
    <x v="0"/>
    <s v="SI"/>
    <s v="NO"/>
    <m/>
    <s v="Leve"/>
    <s v="Bajo"/>
    <s v="No Aplica"/>
    <s v="Nariz"/>
    <s v="Ultraport"/>
    <s v="CPPT"/>
    <s v="No Aplica"/>
    <s v="Dificultad traslado cuadrante "/>
    <s v="Descarga y consolidado directo de cajas de pescado"/>
    <x v="114"/>
    <s v="Embalado"/>
    <s v="ALFREDO CALDERÓN"/>
    <s v="Ultraport"/>
    <s v="No aplica"/>
    <s v="John Leal"/>
    <s v="TPA"/>
    <s v="sábado"/>
    <s v="2°"/>
    <s v="N/A"/>
    <s v="N/A"/>
    <s v="N/A"/>
    <m/>
  </r>
  <r>
    <n v="199"/>
    <s v="CARLINI MUÑOZ GIOVANNY ELIAS"/>
    <n v="28"/>
    <s v="19.354.731-1"/>
    <s v="Masculino"/>
    <s v="MOVILIZADOR"/>
    <s v="Mayor a 3 años"/>
    <m/>
    <s v="El dia 24/10 a las 10:25 movilizador se encontraba agachado armando pallets al costado de chinguillo cuando al momento de girar para tomar caja que se encontraba en piso, fila de cajas de chinguillo se caen encima, golpeándole parte derecha de labio inferior."/>
    <x v="127"/>
    <d v="1899-12-30T10:25:00"/>
    <s v="‌Sitio 3 containero  - Arica"/>
    <s v="posicion de cajas en pallets"/>
    <x v="2"/>
    <s v="SI"/>
    <s v="NO"/>
    <m/>
    <s v="Leve"/>
    <s v="Bajo"/>
    <s v="No Aplica"/>
    <s v="Boca"/>
    <s v="Ultraport"/>
    <s v="CPPT"/>
    <s v="Negativo"/>
    <m/>
    <s v="Recepción, Consolidado y Embarque de Graneles Limpios"/>
    <x v="115"/>
    <s v="Armado de pallet"/>
    <s v="CHRISTOPHER TAPIA"/>
    <s v="Ultraport"/>
    <s v="No aplica"/>
    <s v="Gustavo Araya"/>
    <s v="Ultraport"/>
    <s v="jueves"/>
    <s v="1°"/>
    <n v="0"/>
    <n v="0.25"/>
    <n v="0"/>
    <m/>
  </r>
  <r>
    <n v="200"/>
    <s v="VALDERRAMA ALIAGA WENCELS EMILIO"/>
    <n v="53"/>
    <s v="11.615.282-7"/>
    <s v="Masculino"/>
    <s v="OPERADOR CF"/>
    <s v="Mayor a 3 años"/>
    <m/>
    <s v="El dia 26/10 a las 19:00 en almacen 4, operador nos comenta que recibe el equipo con parabrisas sucios y transcurrido el turno y al trabajar con girasol al interior de almacén, pierde la visibilidad por la condición del material, por lo que decide salir del almacén, a realizar la limpieza del parabrisa y espejos, percatándose que parabrisa tiene golpe en parte inferior, en donde informa inmediatamente."/>
    <x v="128"/>
    <d v="1899-12-30T19:00:00"/>
    <s v="‌almacén 4 - Arica"/>
    <s v="Acción inadecuada"/>
    <x v="0"/>
    <s v="SI"/>
    <s v="NO"/>
    <m/>
    <s v="Leve"/>
    <s v="Bajo"/>
    <s v="No Aplica"/>
    <s v="Sin Lesión"/>
    <s v="Ultraport"/>
    <s v="Bono Turno"/>
    <s v="No Aplica"/>
    <s v="Condición preexistente en equipo"/>
    <s v="Recepción, Consolidado y Embarque de Graneles Limpios"/>
    <x v="65"/>
    <s v="Carguío de tolvas"/>
    <s v="JORGE DONOSO"/>
    <s v="Ultraport"/>
    <s v="No aplica"/>
    <s v="Leonel Delzo"/>
    <s v="TPA"/>
    <s v="sábado"/>
    <s v="2°"/>
    <s v="N/A"/>
    <s v="N/A"/>
    <s v="N/A"/>
    <m/>
  </r>
  <r>
    <n v="201"/>
    <s v="HERRERA JELVEZ HECTOR ANDRES"/>
    <n v="36"/>
    <s v="16.671.471-0"/>
    <s v="Masculino"/>
    <s v="OPERADOR TRACTO"/>
    <s v="Menor a 1 año"/>
    <m/>
    <s v="Colaborador Hector Herrera cód. 9897 en función de operador tracto al momento de dejar el contenedor en la zona 10 y virar en U cuando es avisado por personal de Servicios Generales que se le estaba cayendo el estanque de combustible notar que no hubo derrame en el piso _x000a__x000a_Cabe mencionar que mantención de TPA nos informa que el incidente fue por fatiga de material. "/>
    <x v="129"/>
    <d v="1899-12-30T10:35:00"/>
    <s v="Zona 10"/>
    <s v="Fatiga de material"/>
    <x v="0"/>
    <s v="SI"/>
    <s v="NO"/>
    <s v="SI"/>
    <s v="Leve"/>
    <s v="Bajo"/>
    <s v="No Aplica"/>
    <s v="Sin Lesión"/>
    <s v="Ultraport"/>
    <s v="Bono Turno"/>
    <s v="No Aplica"/>
    <s v="Fatiga de material"/>
    <s v="Transferencia contenedores"/>
    <x v="76"/>
    <s v="Traslado de contenedor a patio"/>
    <s v="SAID VERGARA"/>
    <s v="Ultraport"/>
    <s v="No aplica"/>
    <s v="Michael Torrico"/>
    <s v="TPA"/>
    <s v="sábado"/>
    <s v="1°"/>
    <s v="N/A"/>
    <s v="N/A"/>
    <s v="N/A"/>
    <m/>
  </r>
  <r>
    <n v="202"/>
    <s v="ALZAMORA BARRERA DIEGO FABIAN"/>
    <n v="33"/>
    <s v="17.830.362-7"/>
    <s v="Masculino"/>
    <s v="MOVILIZADOR"/>
    <s v="Mayor a 3 años"/>
    <m/>
    <s v="Movilizador Diego Alzamora código 9914, se encontraba en maniobra de destrinca de cadena en flat rack cuando al hacer palanca con un tensor que se encontraba en el lugar, tensor de cadena (picó loro) se suelta y le golpea mano derecha. "/>
    <x v="130"/>
    <d v="1899-12-30T09:10:00"/>
    <s v="Norte 7"/>
    <s v="Acción inadecuada"/>
    <x v="2"/>
    <s v="SI"/>
    <s v="SI"/>
    <s v="SI"/>
    <s v="Leve"/>
    <s v="Bajo"/>
    <s v="No Aplica"/>
    <s v="Dedo índice derecho"/>
    <s v="Ultraport"/>
    <s v="Bono Turno"/>
    <s v="Negativo"/>
    <m/>
    <s v="Desconsolidado, Manipulación, Almacenaje y Despacho de Carga Suelta"/>
    <x v="116"/>
    <s v="Destrinca de carga"/>
    <s v="CHRISTOPHER TAPIA"/>
    <s v="Ultraport"/>
    <s v="No aplica"/>
    <s v="Christian Abarca"/>
    <s v="TPA"/>
    <s v="lunes"/>
    <s v="1°"/>
    <s v="N/A"/>
    <s v="N/A"/>
    <s v="N/A"/>
    <m/>
  </r>
  <r>
    <n v="203"/>
    <s v="HUMIRE MENACHO RICHARD"/>
    <n v="37"/>
    <s v="18.240.238-9"/>
    <s v="Masculino"/>
    <s v="OPERADOR CF"/>
    <s v="Menor a 1 año"/>
    <m/>
    <s v="Colaborador Richard Humire cod: 9926// op CF 73, al momento de enganchar el balde y al retroceder, pasa a llevar una lata de protección del pilar, al interior del TGM provocando un daño a este. "/>
    <x v="131"/>
    <d v="1899-12-30T16:45:00"/>
    <s v="TEAGM"/>
    <s v="Acción inadecuada"/>
    <x v="0"/>
    <s v="SI"/>
    <s v="SI"/>
    <s v="SI"/>
    <s v="Leve"/>
    <s v="Bajo"/>
    <s v="No Aplica"/>
    <s v="Sin Lesión"/>
    <s v="Ultraport"/>
    <s v="CPPT"/>
    <s v="Negativo"/>
    <m/>
    <s v="Acopio Mineral"/>
    <x v="117"/>
    <s v="Remonte"/>
    <s v="JORGE DONOSO"/>
    <s v="Ultraport"/>
    <s v="No aplica"/>
    <s v="Raul Rojas"/>
    <s v="Ultraport"/>
    <s v="lunes"/>
    <s v="2°"/>
    <s v="N/A"/>
    <s v="N/A"/>
    <s v="N/A"/>
    <m/>
  </r>
  <r>
    <n v="204"/>
    <s v="MUÑOZ ALLENDES LUIS ALBERTO"/>
    <n v="57"/>
    <s v="9.933.631-5"/>
    <s v="Masculino"/>
    <s v="OPERADOR GH"/>
    <s v="Mayor a 3 años"/>
    <m/>
    <s v="El día 22/11 a las 09:20am, en almacén 8, operador grúa horquilla, al momento de enganchar big bag con apoyo grúa horquilla, procede con virar, lo que genera fatiga en sus asas cayendo a piso 5kg de mineral."/>
    <x v="132"/>
    <d v="1899-12-30T09:20:00"/>
    <s v="‌Almacén 8 - Arica"/>
    <s v="Fatiga de material"/>
    <x v="0"/>
    <s v="SI"/>
    <s v="NO"/>
    <s v="SI"/>
    <s v="No Aplica"/>
    <s v="Bajo"/>
    <s v="No Aplica"/>
    <s v="Sin Lesión"/>
    <s v="Ultraport"/>
    <s v="Bono Turno"/>
    <s v="No Aplica"/>
    <s v="No hay desviación o acción insegura"/>
    <s v="Transferencia contenedores"/>
    <x v="118"/>
    <s v="Enganche de big bag"/>
    <s v="OSCAR MUÑOZ"/>
    <s v="Ultraport"/>
    <s v="No aplica"/>
    <s v="Marianela Rojas"/>
    <s v="TPA"/>
    <s v="viernes"/>
    <s v="1°"/>
    <s v="N/A"/>
    <s v="N/A"/>
    <s v="N/A"/>
    <m/>
  </r>
  <r>
    <n v="205"/>
    <s v="QUIÑONES FLORES RODRIGO EDUARDO"/>
    <n v="34"/>
    <s v="17.369.649-3"/>
    <s v="Masculino"/>
    <s v="OPERADOR RS"/>
    <s v="Mayor a 3 años"/>
    <m/>
    <s v="El día 23/11 a las 03:00am, en sector norte, operador RS al momento de realizar un giro siente que pasa por algo, al detener el equipo visualiza que se cayó una de las cuñas desde su funda metalica, al verificar el seguro se percata que solo era un alambre. "/>
    <x v="133"/>
    <d v="1899-12-30T03:00:00"/>
    <s v="Sector Norte"/>
    <s v="Seguro de cuña inapropiado"/>
    <x v="0"/>
    <s v="SI"/>
    <s v="NO"/>
    <s v="NO"/>
    <s v="No Aplica"/>
    <s v="Bajo"/>
    <s v="No Aplica"/>
    <s v="Sin Lesión"/>
    <s v="Ultraport"/>
    <s v="Bono Turno"/>
    <s v="No Aplica"/>
    <s v="Condición de porta cuñas"/>
    <s v="Recepción de Mineral"/>
    <x v="76"/>
    <s v="Conducción tracto"/>
    <s v="VLADIMIR VEGA"/>
    <s v="Ultraport"/>
    <s v="No aplica"/>
    <s v="Andrea Suzarte"/>
    <s v="TPA"/>
    <s v="sábado"/>
    <s v="3°"/>
    <s v="N/A"/>
    <s v="N/A"/>
    <s v="N/A"/>
    <m/>
  </r>
  <r>
    <n v="206"/>
    <s v="Luis Torres Moroso_x000a_Rodrigo Villalobos Cárdenas_x000a_Enzo Vásquez Vásquez_x000a_Cristian Barrientos Vidal_x000a_Kevin Vargas Yañ"/>
    <n v="24"/>
    <s v="20.218.324-7_x000a_18.599.927-0_x000a_19.827.723-1_x000a_12.511.778-3_x000a_20.215.593-7_x000a_16.735.639-7"/>
    <s v="Masculino"/>
    <s v="Movilizadores"/>
    <s v="Entre 1 y 3 años"/>
    <m/>
    <s v="El día 27/11 durante el desarrollo del Consolidado de sacas con mineral, se sorprende a movilizadores realizando enganche a 2 de alto (1,9 metros aprox.) sin arnés de seguridad ni línea de vida. Sumado a lo anterior capataz TPA se encontraba realizando documentación y no se encontraba en el lugar.​"/>
    <x v="134"/>
    <d v="1899-12-30T18:15:00"/>
    <s v="‌Almacén 8 - Arica"/>
    <m/>
    <x v="0"/>
    <s v="SI"/>
    <s v="NO"/>
    <s v="SI"/>
    <s v="No Aplica"/>
    <s v="Alto"/>
    <s v="Altura"/>
    <s v="Sin Lesión"/>
    <s v="Ultraport"/>
    <s v="CPPT"/>
    <s v="No Realizado"/>
    <s v="IAP nace de un STOP WORK, en el cual se reinstruye al grupo completo, sin exámen de por medio"/>
    <s v="Recepción de Mineral"/>
    <x v="119"/>
    <s v="Desconsolidado"/>
    <s v="ALFREDO LOPEZ"/>
    <s v="Ultraport"/>
    <s v="No aplica"/>
    <s v="Luis Morales"/>
    <s v="TPA"/>
    <s v="miércoles"/>
    <s v="2°"/>
    <n v="0"/>
    <s v="N/A"/>
    <s v="N/A"/>
    <m/>
  </r>
  <r>
    <n v="207"/>
    <s v="Richard Chilcumpa Aguilera"/>
    <n v="47"/>
    <s v="13.224.689-0"/>
    <s v="Masculino"/>
    <s v="OPERADOR GH"/>
    <s v="Mayor a 3 años"/>
    <m/>
    <s v="El día 29/11 a las 18:10 en sector Norte, Operador en función de Grúa Horquilla se encontraba realizando actividades de desconsolidado, estiba de carga sobre camión con apoyo de grúa horquilla 251 UPORT, en el momento de transitar se fatiga cañería HYD, SIDE-SHIFT quedando no operativa. "/>
    <x v="135"/>
    <d v="1899-12-30T18:10:00"/>
    <s v="‌Sector Norte - Arica"/>
    <s v="Fatiga de material"/>
    <x v="0"/>
    <s v="SI"/>
    <s v="NO"/>
    <s v="SI"/>
    <s v="No Aplica"/>
    <s v="Bajo"/>
    <s v="Caída de objetos"/>
    <s v="Sin Lesión"/>
    <s v="Ultraport"/>
    <s v="Bono Turno"/>
    <s v="No Realizado"/>
    <s v="No hubo falla operacional"/>
    <s v="Desconsolidado y estiba de carga"/>
    <x v="120"/>
    <s v="Estiba"/>
    <s v="OSCAR MUÑOZ"/>
    <s v="Ultraport"/>
    <s v="No aplica"/>
    <s v="Thomas Tapia"/>
    <s v="Ultraport"/>
    <s v="viernes"/>
    <s v="2°"/>
    <n v="0"/>
    <s v="N/A"/>
    <s v="N/A"/>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n v="1"/>
    <s v="Kevin Fica Gaete"/>
    <s v="17.264.198-9"/>
    <s v="Operador GH"/>
    <x v="0"/>
    <x v="0"/>
    <n v="34"/>
    <n v="762"/>
    <s v="El día 03/01 a las 19:10 en sector norte, operador de GH de 34 años, luego de cargar pallet sobre camión a dos de alto, el conductor de este solicita movilizar carga, operador al mover nuevamente pallet, este  se desarma sobre el camión provocando ruptura de una caja."/>
    <x v="0"/>
    <d v="1899-12-30T19:10:00"/>
    <s v="Maniobra inadecuada"/>
    <x v="0"/>
    <s v="No Aplica"/>
    <s v="Bajo"/>
    <s v="No Aplica"/>
    <s v="Sin Lesión"/>
    <s v="Ultraport"/>
    <s v="Bono turno"/>
    <s v="Negativo"/>
    <s v="Condición pallet"/>
    <s v="Sector Norte"/>
    <s v="Desconsolidado"/>
    <s v="Estiba de carga"/>
    <s v="Traslado con grúa horquill"/>
    <s v="Viernes"/>
    <x v="0"/>
    <n v="0"/>
    <s v="N/A"/>
    <s v="N/A"/>
    <s v="Responsabilidad Operador"/>
    <s v="SI"/>
    <s v="NO"/>
    <s v="SI"/>
    <n v="2700"/>
    <s v="NO"/>
    <s v="NO"/>
    <s v="Oscar Muñoz"/>
    <s v="Ultraport"/>
    <s v="Renta Fija"/>
    <s v="Rose Martinez"/>
    <s v="TPA"/>
    <m/>
  </r>
  <r>
    <n v="2"/>
    <s v="Jorge Zarate Cornejo"/>
    <s v="17.831.199-9"/>
    <s v="Operador CF"/>
    <x v="0"/>
    <x v="0"/>
    <n v="33"/>
    <n v="391"/>
    <s v="El día 03/01 en Almacén 4, operador CF de 33 años se encontraba remontando soya cuando evidenció el desprendimiento del balde del porta aditamento del cargador frontal 81, quedando este inmerso en la soya sin posibilidad de acople nuevamente."/>
    <x v="0"/>
    <d v="1899-12-30T16:31:00"/>
    <s v="Conexión de balde inadecuada"/>
    <x v="0"/>
    <s v="No Aplica"/>
    <s v="Bajo"/>
    <s v="No Aplica"/>
    <s v="Sin Lesión"/>
    <s v="Ultraport"/>
    <s v="Bono turno"/>
    <s v="No Aplica"/>
    <s v="Condición de CF"/>
    <s v="Almacén 4"/>
    <s v="Recepción graneles"/>
    <s v="Conducción Cargador Frontal"/>
    <s v="Remonte de soya"/>
    <s v="Viernes"/>
    <x v="0"/>
    <n v="0"/>
    <s v="N/A"/>
    <s v="N/A"/>
    <s v="Factor Externo"/>
    <s v="SI"/>
    <s v="NO"/>
    <s v="NO"/>
    <m/>
    <s v="NO"/>
    <s v="NO"/>
    <s v="Branco Fumey"/>
    <s v="Ultraport"/>
    <s v="Renta Fija"/>
    <s v="Sin Datos"/>
    <s v="Sin Dato"/>
    <m/>
  </r>
  <r>
    <n v="3"/>
    <s v="Cristian Latorre Cruz"/>
    <s v="13.007.680-7"/>
    <s v="N/A"/>
    <x v="1"/>
    <x v="0"/>
    <n v="48"/>
    <n v="9698"/>
    <s v="El día 06/01 saliendo del turno, colaborador se dirige en moto a su domicilio, cuando vehículo que iba delante dobla, provocando que este deba frenar de golpe esquibando el vehiculo y cayendo la moto atrapando su pie en el tubo de escape."/>
    <x v="1"/>
    <d v="1899-12-30T16:00:00"/>
    <s v="Accidente de Trayecto"/>
    <x v="1"/>
    <s v="No Aplica"/>
    <s v="No Aplica"/>
    <s v="No Aplica"/>
    <s v="Tobillo derecho "/>
    <s v="Ultraport"/>
    <s v="CPPT"/>
    <s v="No Aplica"/>
    <s v="Accidente de Trayecto"/>
    <s v="Truck Center, carretera internacional 11CH"/>
    <s v="N/A"/>
    <s v="N/A"/>
    <s v="N/A"/>
    <s v="Lunes"/>
    <x v="1"/>
    <m/>
    <s v="N/A"/>
    <s v="N/A"/>
    <s v="No Aplica"/>
    <s v="SI"/>
    <s v="No Aplica"/>
    <s v="N/A"/>
    <m/>
    <s v="N/A"/>
    <s v="N/A"/>
    <s v="N/A"/>
    <s v="N/A"/>
    <s v="No aplica"/>
    <s v="N/A"/>
    <s v="N/A"/>
    <m/>
  </r>
  <r>
    <n v="4"/>
    <s v="Alejandro Díaz Gordon"/>
    <s v="13.412.590-K"/>
    <s v="Operador GH"/>
    <x v="0"/>
    <x v="0"/>
    <n v="46"/>
    <n v="9878"/>
    <s v="El día 07/01 en Sector Norte, operador GH de 46 años, debe retirar pallets de cajas con embace de líquido hidráulico de contenedor, este no calcula la altura de la rampla, chocando con pallets, por lo que este cae y se daña la carga."/>
    <x v="2"/>
    <d v="1899-12-30T11:40:00"/>
    <s v="Mala operación"/>
    <x v="0"/>
    <s v="No Aplica"/>
    <s v="Bajo"/>
    <s v="No Aplica"/>
    <s v="Sin Lesión"/>
    <s v="Ultraport"/>
    <s v="Bono turno"/>
    <s v="Negativo"/>
    <m/>
    <s v="Sector Norte"/>
    <s v="Desconsolidado"/>
    <s v="Desconsolidado de pallets"/>
    <s v="Traslado pallets"/>
    <s v="Martes"/>
    <x v="1"/>
    <n v="0"/>
    <s v="N/A"/>
    <s v="N/A"/>
    <s v="Responsabilidad Operador"/>
    <s v="SI"/>
    <s v="NO"/>
    <s v="NO"/>
    <m/>
    <s v="NO"/>
    <s v="NO"/>
    <s v="Jorge Donoso"/>
    <s v="Ultraport"/>
    <s v="Renta Fija"/>
    <s v="Tomás Tapia"/>
    <s v="TPA"/>
    <m/>
  </r>
  <r>
    <n v="5"/>
    <s v="Salvador Rojas Allende"/>
    <s v="9.944.826-1"/>
    <s v="Operador CF"/>
    <x v="0"/>
    <x v="0"/>
    <n v="58"/>
    <n v="561"/>
    <s v="El día 08/01 en almacén 6, operador CF de 58 años, al retroceder para parqueo, no advierte barrera blanda generando daño a esta con el equipo. "/>
    <x v="3"/>
    <d v="1899-12-30T12:40:00"/>
    <s v="Maniobra inadecuada"/>
    <x v="0"/>
    <s v="No Aplica"/>
    <s v="Bajo"/>
    <s v="No Aplica"/>
    <s v="Sin Lesión"/>
    <s v="Ultraport"/>
    <s v="Bono turno"/>
    <s v="Negativo"/>
    <m/>
    <s v="Almacén 6"/>
    <s v="Embarque de soya"/>
    <s v="Porteo de soya"/>
    <s v="Traslado Soya"/>
    <s v="Miércoles"/>
    <x v="1"/>
    <n v="0"/>
    <s v="N/A"/>
    <s v="N/A"/>
    <s v="Responsabilidad Operador"/>
    <s v="SI"/>
    <s v="NO"/>
    <s v="SI"/>
    <n v="2709"/>
    <s v="NO"/>
    <s v="NO"/>
    <s v="Oscar Muñoz"/>
    <s v="Ultraport"/>
    <s v="Renta Fija"/>
    <s v="Abraham Triviño"/>
    <s v="TPA"/>
    <m/>
  </r>
  <r>
    <n v="6"/>
    <s v="Richard Chilcumpa Aguilera"/>
    <s v="13.224.689-0"/>
    <s v="Operador CF"/>
    <x v="0"/>
    <x v="0"/>
    <n v="47"/>
    <n v="605"/>
    <s v="El día 13/01 en almacén 4, operador CF de 47 años, en tarea de remonte de soya para posicionamiento de camión, pasa a llevar riel, quedando este ligeramente levantado."/>
    <x v="4"/>
    <d v="1899-12-30T01:50:00"/>
    <s v="Condición del lugar"/>
    <x v="0"/>
    <s v="No Aplica"/>
    <s v="Bajo"/>
    <s v="No Aplica"/>
    <s v="Sin Lesión"/>
    <s v="Ultraport"/>
    <s v="Bono turno"/>
    <s v="No Aplica"/>
    <s v="Condición del lugar"/>
    <s v="Almacén 4"/>
    <s v="Recepción de graneles limpios"/>
    <s v="Remonte de Soya"/>
    <s v="Remonte Soya"/>
    <s v="Lunes"/>
    <x v="2"/>
    <n v="0"/>
    <s v="N/A"/>
    <s v="N/A"/>
    <s v="Factor Externo"/>
    <s v="SI"/>
    <s v="NO"/>
    <s v="NO"/>
    <m/>
    <s v="NO"/>
    <s v="NO"/>
    <s v="Said Vergara"/>
    <s v="Ultraport"/>
    <s v="Renta Fija"/>
    <s v="Yoshio Nishinaga"/>
    <s v="Ultraport"/>
    <m/>
  </r>
  <r>
    <n v="7"/>
    <s v="Ignacio Berrios Morales"/>
    <s v="19.868.825-8"/>
    <s v="Operador MC"/>
    <x v="2"/>
    <x v="0"/>
    <n v="26"/>
    <n v="11254"/>
    <s v="El día 15/01 en almacén 6, operador en práctica para validación de minicargador al realizar descarga de camión con lanza, se acerca por costado no estimando correctamente la distancia golpeando puerta con tren de rodamiento."/>
    <x v="5"/>
    <d v="1899-12-30T10:00:00"/>
    <s v="Práctica de validación de equipo"/>
    <x v="0"/>
    <s v="No Aplica"/>
    <s v="Bajo"/>
    <s v="No Aplica"/>
    <s v="Sin Lesión"/>
    <s v="Ultraport"/>
    <s v="Eventual"/>
    <s v="Negativo"/>
    <m/>
    <s v="Almacén 6"/>
    <s v="Recepción de graneles limpios"/>
    <s v="Descarga de camiones con soya"/>
    <s v="Descrag camiones con aditamento"/>
    <s v="Miércoles"/>
    <x v="1"/>
    <n v="0"/>
    <s v="N/A"/>
    <s v="N/A"/>
    <s v="Responsabilidad Operador"/>
    <s v="SI"/>
    <s v="NO"/>
    <s v="SI"/>
    <n v="2726"/>
    <s v="NO"/>
    <s v="NO"/>
    <s v="Jorge Donoso"/>
    <s v="Ultraport"/>
    <s v="Renta Fija"/>
    <s v="Nicolás Villena"/>
    <s v="Ultraport"/>
    <m/>
  </r>
  <r>
    <n v="8"/>
    <s v="Victor Ossandon Calvo"/>
    <s v="17.370.557-3"/>
    <s v="Movilizador"/>
    <x v="3"/>
    <x v="0"/>
    <n v="34"/>
    <n v="10840"/>
    <s v="El día 17/01 en almacén 2, movilizador de 34 años manifiesta dolencia en su brazo derecho luego de realizar consolidado de sacos de azucar."/>
    <x v="6"/>
    <d v="1899-12-30T11:53:00"/>
    <m/>
    <x v="2"/>
    <s v="No Aplica"/>
    <s v="Bajo"/>
    <s v="No Aplica"/>
    <s v="Sin Lesión"/>
    <s v="Ultraport"/>
    <s v="CPPT"/>
    <s v="No Aplica"/>
    <m/>
    <s v="Almacén 2"/>
    <s v="Consolidado de sacos"/>
    <s v="Consolidado de azúcar"/>
    <s v="Consolidado"/>
    <s v="Viernes"/>
    <x v="1"/>
    <n v="0"/>
    <s v="N/A"/>
    <s v="N/A"/>
    <s v="No Aplica"/>
    <s v="NO"/>
    <s v="NO"/>
    <s v="NO"/>
    <m/>
    <s v="NO"/>
    <s v="NO"/>
    <s v="Oscar Muñoz"/>
    <s v="Ultraport"/>
    <s v="Renta Fija"/>
    <s v="No hay información"/>
    <m/>
    <m/>
  </r>
  <r>
    <n v="9"/>
    <s v="Héctor Herrera Jelvez"/>
    <s v="16.671.471-0"/>
    <s v="Operador CF"/>
    <x v="3"/>
    <x v="0"/>
    <n v="38"/>
    <n v="9897"/>
    <s v="El día 18/01 en almacén 4, operador CF de 38 años en el momento de realizar descarga de soya a granel sobre plataforma de camión apoya neumático delantero sobre compuerta deformándola. Luego al continuar con la operación, remonta por costados de camión dañando compuerta lateral."/>
    <x v="7"/>
    <d v="1899-12-30T10:30:00"/>
    <s v="Maniobra inadecuada"/>
    <x v="0"/>
    <s v="No Aplica"/>
    <s v="Bajo"/>
    <s v="No Aplica"/>
    <s v="Sin Lesión"/>
    <s v="Ultraport"/>
    <s v="Bono turno"/>
    <s v="Negativo"/>
    <m/>
    <s v="Almacén 4"/>
    <s v="Recepción soya a granel"/>
    <s v="Remonte de Soya"/>
    <s v="Trasnalado entre sitios"/>
    <s v="Sábado"/>
    <x v="1"/>
    <n v="0"/>
    <s v="N/A"/>
    <s v="N/A"/>
    <s v="Responsabilidad Operador"/>
    <s v="SI"/>
    <s v="SI"/>
    <s v="SI"/>
    <n v="2730"/>
    <s v="NO"/>
    <s v="NO"/>
    <s v="Oscar Muñoz"/>
    <s v="Ultraport"/>
    <s v="Renta Fija"/>
    <s v="Abraham Triviño"/>
    <s v="Ultraport"/>
    <m/>
  </r>
  <r>
    <n v="10"/>
    <s v="Héctor Chong Álvarez"/>
    <s v="15.000.057-2"/>
    <s v="Operador GH"/>
    <x v="0"/>
    <x v="0"/>
    <n v="46"/>
    <n v="9889"/>
    <s v="El día 18/01 en el sector norte, operador GH de 46 años recibe instrucción de capataz TPA para  remover pallets con tambores de 2 de alto sobre plataforma de camión, cayendo estos al suelo dañandose."/>
    <x v="7"/>
    <d v="1899-12-30T17:25:00"/>
    <s v="Mala manipulación"/>
    <x v="0"/>
    <s v="No Aplica"/>
    <s v="Bajo"/>
    <s v="No Aplica"/>
    <s v="Sin Lesión"/>
    <s v="Ultraport"/>
    <s v="Bono turno"/>
    <s v="Negativo"/>
    <m/>
    <s v="Sector Norte"/>
    <s v="Estiba de contenedores"/>
    <s v="Estiba de pallets con tambores sobre camión"/>
    <s v="Traslado pallets"/>
    <s v="Sábado"/>
    <x v="0"/>
    <n v="0"/>
    <s v="N/A"/>
    <s v="N/A"/>
    <s v="Responsabilidad Operador"/>
    <s v="SI"/>
    <s v="NO"/>
    <s v="SI"/>
    <n v="2732"/>
    <s v="NO"/>
    <s v="NO"/>
    <s v="Omayra Cautín"/>
    <s v="Ultrapo9rt"/>
    <s v="Renta Fija"/>
    <s v="Maximiliano Orellana"/>
    <s v="TPA"/>
    <m/>
  </r>
  <r>
    <n v="11"/>
    <s v="Mauricio Barrera Espinoza"/>
    <s v="11.610.619-1"/>
    <s v="Operador RS"/>
    <x v="0"/>
    <x v="0"/>
    <n v="55"/>
    <n v="1291"/>
    <s v="El día 19/01 en Sitio 4, operador RS de 55 años al transitar por el molo se detiene a la altura de las estaciones de piñas y por la detención del equipo, salta tapa de combustible derramando aproximadamente 2 litros de petróleo sobre el equipo y el piso. "/>
    <x v="8"/>
    <d v="1899-12-30T08:25:00"/>
    <s v="Tapa del estanque abierta"/>
    <x v="3"/>
    <s v="Leve"/>
    <s v="Bajo"/>
    <s v="No Aplica"/>
    <s v="Sin Lesión"/>
    <s v="Ultraport"/>
    <s v="Bono turno"/>
    <s v="No Aplica"/>
    <s v="No es atribuible a una acción del operador"/>
    <s v="Sitio 4"/>
    <s v="Transferencia de contenedores"/>
    <s v="traslado entre sitios"/>
    <s v="Traslado entre sitio"/>
    <s v="Lunes"/>
    <x v="1"/>
    <n v="0"/>
    <n v="0.25"/>
    <n v="2"/>
    <s v="Fatiga de Material"/>
    <s v="SI"/>
    <s v="NO"/>
    <s v="SI"/>
    <n v="2740"/>
    <s v="SI"/>
    <s v="SI"/>
    <s v="Said Vergara"/>
    <s v="Ultraport"/>
    <s v="Renta Fija"/>
    <s v="Sin capataz en faenas de Patio de Contenedores"/>
    <m/>
    <m/>
  </r>
  <r>
    <n v="12"/>
    <s v="Ramón Palma Ochoa"/>
    <s v="15.947.773-8"/>
    <s v="Operador CF"/>
    <x v="0"/>
    <x v="0"/>
    <n v="40"/>
    <n v="1021"/>
    <s v="El día 21/01 en almacén 6, operador CF de 40 años realizando remonte de soya hacia ruma, golpea riel provocando daño a cuchillo de lado derecho del balde."/>
    <x v="9"/>
    <d v="1899-12-30T02:36:00"/>
    <s v="Condición del lugar"/>
    <x v="0"/>
    <s v="No Aplica"/>
    <s v="Bajo"/>
    <s v="No Aplica"/>
    <s v="Sin Lesión"/>
    <s v="Ultraport"/>
    <s v="Bono turno"/>
    <s v="No Aplica"/>
    <s v="Condición del lugar"/>
    <s v="Almacén 6"/>
    <s v="Recepción de graneles limpios"/>
    <s v="Remonte de Soya"/>
    <s v="Remonte Soya"/>
    <s v="Martes"/>
    <x v="2"/>
    <n v="0"/>
    <n v="0.5"/>
    <s v="N/A"/>
    <s v="Factor Externo"/>
    <s v="SI"/>
    <s v="NO"/>
    <s v="SI"/>
    <n v="2740"/>
    <s v="SI"/>
    <s v="SI"/>
    <s v="Alfredo López"/>
    <s v="Ultraport"/>
    <s v="Renta Fija"/>
    <s v="Danko Arias"/>
    <s v="TPA"/>
    <m/>
  </r>
  <r>
    <n v="13"/>
    <s v="Cesar Gallardo Vivanco"/>
    <s v="15.247.135-1"/>
    <s v="Movilizador"/>
    <x v="0"/>
    <x v="0"/>
    <n v="56"/>
    <m/>
    <s v="El día 23/01 en sitio 2B, colaborador en función de movilizado de 56 años refiere molestia en ojo derecho por partícula."/>
    <x v="10"/>
    <d v="1899-12-30T11:00:00"/>
    <m/>
    <x v="4"/>
    <s v="Leve"/>
    <s v="Bajo"/>
    <s v="No Aplica"/>
    <s v="Ojo derecho"/>
    <s v="Ultraport"/>
    <s v="Bono turno"/>
    <s v="Negativo"/>
    <m/>
    <s v="Sitio 2b"/>
    <s v="Transferencia de Graneles Limpios"/>
    <s v="Transferencia de graneles"/>
    <s v="Embarque de Soya"/>
    <s v="Jueves"/>
    <x v="1"/>
    <n v="0"/>
    <s v="N/A"/>
    <s v="N/A"/>
    <s v="No Aplica"/>
    <s v="SI"/>
    <s v="NO"/>
    <s v="SI"/>
    <n v="2755"/>
    <s v="SI"/>
    <s v="SI"/>
    <s v="Said Vergara"/>
    <s v="Ultraport"/>
    <s v="Renta Fija"/>
    <s v="No hay información"/>
    <m/>
    <m/>
  </r>
  <r>
    <n v="14"/>
    <s v="Alejandro Cortes Rojas"/>
    <s v="14.105.328-0"/>
    <s v="Operador CF"/>
    <x v="0"/>
    <x v="0"/>
    <n v="43"/>
    <n v="9888"/>
    <s v="El día 23/01 fuera del almacén 6, operador CF de 43 años al remontar carga por el costado de camión, golpea puerta lateral provocando daño a esta."/>
    <x v="10"/>
    <d v="1899-12-30T19:20:00"/>
    <s v="Mala maniobra"/>
    <x v="0"/>
    <s v="No Aplica"/>
    <s v="Bajo"/>
    <s v="No Aplica"/>
    <s v="Sin Lesión"/>
    <s v="Ultraport"/>
    <s v="Bono turno"/>
    <s v="Negativo"/>
    <m/>
    <s v="Fuera Almacén 6"/>
    <s v="Recepción de graneles limpios"/>
    <s v="Recepción de camiones"/>
    <s v="Remonte de soya"/>
    <s v="Jueves"/>
    <x v="0"/>
    <n v="0"/>
    <s v="N/A"/>
    <s v="N/A"/>
    <s v="Responsabilidad Operador"/>
    <s v="SI"/>
    <s v="NO"/>
    <m/>
    <m/>
    <m/>
    <m/>
    <s v="Alfredo López"/>
    <s v="Ultraport"/>
    <s v="Renta Fija"/>
    <s v="Miguel Mendoza"/>
    <s v="TPA"/>
    <m/>
  </r>
  <r>
    <n v="15"/>
    <s v="Luis Muñoz Allendes"/>
    <s v="9.933.631-5"/>
    <s v="Operador GH"/>
    <x v="0"/>
    <x v="0"/>
    <n v="58"/>
    <n v="4034"/>
    <s v="El día 27/01 en sector Aforo Aduana, operador de 58 años al momento de consolidar piezas metálicas, se genera derrame de aceite hidráulico de aproximadamente 0,5 litros."/>
    <x v="11"/>
    <d v="1899-12-30T17:05:00"/>
    <s v="Probable fatiga de material"/>
    <x v="3"/>
    <s v="Serio"/>
    <s v="Bajo"/>
    <s v="No Aplica"/>
    <s v="Sin Lesión"/>
    <s v="Ultraport"/>
    <s v="Bono turno"/>
    <s v="No Aplica"/>
    <s v="No atribuible a operación"/>
    <s v="Aforo Aduana"/>
    <s v="Consolidado carga general"/>
    <s v="Consolidado carga"/>
    <s v="consolidado piezas metálicas"/>
    <s v="Lunes"/>
    <x v="0"/>
    <n v="0"/>
    <n v="0"/>
    <n v="0.5"/>
    <s v="En investigación"/>
    <s v="SI"/>
    <s v="NO"/>
    <s v="SI"/>
    <n v="2753"/>
    <s v="SI"/>
    <s v="SI"/>
    <s v="Oscar Muñoz"/>
    <s v="Ultraport"/>
    <s v="Renta Fija"/>
    <s v="Guillermo Cataldo"/>
    <s v="TPA"/>
    <m/>
  </r>
  <r>
    <n v="16"/>
    <s v="Marcelo Caldera Alvarez"/>
    <s v="13.089.211-6"/>
    <s v="Operador CF"/>
    <x v="0"/>
    <x v="0"/>
    <n v="48"/>
    <n v="688"/>
    <s v="El día 27/01 en TEAGM, operador de 48 años mientras realizaba función de remonte, da cuenta de derrame de aceite deteniendo el equipo de forma inmediata."/>
    <x v="11"/>
    <d v="1899-12-30T18:45:00"/>
    <s v="Fatiga de material"/>
    <x v="3"/>
    <s v="Leve"/>
    <s v="Bajo"/>
    <s v="No Aplica"/>
    <s v="Sin Lesión"/>
    <s v="Ultraport"/>
    <s v="Bono turno"/>
    <s v="No Aplica"/>
    <s v="No atribuible a operación"/>
    <s v="TEAGM"/>
    <s v="Recepción mineral"/>
    <s v="Acopio mineral"/>
    <s v="Acopio mineral"/>
    <s v="Lunes"/>
    <x v="0"/>
    <n v="0"/>
    <s v="0.6"/>
    <n v="6"/>
    <s v="Fatiga de Material"/>
    <s v="SI"/>
    <s v="NO"/>
    <s v="SI"/>
    <n v="2749"/>
    <s v="SI"/>
    <s v="SI"/>
    <s v="Vladimir Vega"/>
    <s v="Ultraport"/>
    <s v="Renta Fija"/>
    <s v="Pablo Ramos"/>
    <s v="TPA"/>
    <m/>
  </r>
  <r>
    <n v="17"/>
    <s v="Michael Quintana Guisa"/>
    <s v="17.829.831-3"/>
    <s v="Operador CF"/>
    <x v="0"/>
    <x v="0"/>
    <n v="33"/>
    <n v="567"/>
    <s v="El día 28/01  en almacén 4, movilizadora junto a dupla de trabajo, se encontaban realizando tarea de postura de pilar en plataforma de camión (Lado conductor), al finalizar se dirigen al otro lado y NO se percatan trabajos del CF, ya que capataz autorizó ingreso de este sin advertir a movilizadoras, por lo que cuando ellas avanzan se encuentran con CF en retroceso, teniendo que detener de golpe el equipo."/>
    <x v="12"/>
    <d v="1899-12-30T13:20:00"/>
    <s v="Falta de comunicación por parte del capataz"/>
    <x v="5"/>
    <s v="Leve"/>
    <s v="Bajo"/>
    <s v="No Aplica"/>
    <s v="Sin Lesión"/>
    <s v="Ultraport"/>
    <s v="Bono turno"/>
    <s v="Negativo"/>
    <m/>
    <s v="Almacén 4"/>
    <s v="Recepción graneles limpios"/>
    <s v="Limpieza de camiones"/>
    <s v="limpiza camión"/>
    <s v="Martes"/>
    <x v="1"/>
    <n v="0"/>
    <s v="N/A"/>
    <s v="N/A"/>
    <s v="No Aplica"/>
    <s v="SI"/>
    <s v="NO"/>
    <s v="SI"/>
    <n v="2751"/>
    <m/>
    <m/>
    <s v="Jorge Donoso"/>
    <s v="Ultraport"/>
    <s v="Renta Fija"/>
    <s v="Ismael Vega"/>
    <s v="TPA"/>
    <m/>
  </r>
  <r>
    <n v="18"/>
    <s v="Ivan Delgado Orellana"/>
    <s v="13.089.211-6"/>
    <s v="Operador CF"/>
    <x v="0"/>
    <x v="0"/>
    <n v="58"/>
    <n v="9879"/>
    <s v="El día 27/01 en Almacén 4, operador de 48 no se percata de filtración de aceite hidráulico en traslado de equipo hacia el taller, derramando 3 litros."/>
    <x v="13"/>
    <d v="1899-12-30T18:45:00"/>
    <m/>
    <x v="3"/>
    <s v="Leve"/>
    <s v="Bajo"/>
    <s v="No Aplica"/>
    <s v="Sin Lesión"/>
    <s v="Ultraport"/>
    <s v="Eventual"/>
    <s v="No Realizado"/>
    <s v="Incidente ocurre al final de turno"/>
    <s v="Almacén 4"/>
    <s v="Transferencia de Graneles Limpios"/>
    <s v="Transferencia de graneles"/>
    <s v="Carguío de Tolvas"/>
    <s v="Jueves"/>
    <x v="0"/>
    <n v="0"/>
    <s v="N/A"/>
    <n v="3"/>
    <s v="Fatiga de Material"/>
    <s v="SI"/>
    <s v="NO"/>
    <s v="SI"/>
    <n v="2757"/>
    <s v="SI"/>
    <s v="SI"/>
    <s v="Said Vergara"/>
    <s v="Ultraport"/>
    <s v="Renta Fija"/>
    <s v="No hay información"/>
    <m/>
    <m/>
  </r>
  <r>
    <n v="19"/>
    <s v="Gonzalo Reyes Fuenzalida"/>
    <s v="15.008.897-6"/>
    <s v="Operador GH"/>
    <x v="0"/>
    <x v="0"/>
    <n v="41"/>
    <n v="8448"/>
    <s v="El día 01/02 en almacén 2, operador de 41 años ingresa a contenedor con prelingado, golpeando el techo de este con la torre de la GH, generando daño en el equipo."/>
    <x v="14"/>
    <d v="1899-12-30T09:10:00"/>
    <s v="Maniobra inadecuada"/>
    <x v="0"/>
    <s v="No Aplica"/>
    <s v="Bajo"/>
    <s v="No Aplica"/>
    <s v="Sin Lesión"/>
    <s v="Ultraport"/>
    <s v="Bono turno"/>
    <s v="Negativo"/>
    <m/>
    <s v="Almacén 2"/>
    <s v="Consolidado directo"/>
    <s v="Consolidado de prelingado"/>
    <s v="Consolidado de prelingado"/>
    <s v="Sábado"/>
    <x v="1"/>
    <n v="0"/>
    <s v="N/A"/>
    <s v="N/A"/>
    <s v="Responsabilidad Operador"/>
    <s v="SI"/>
    <s v="SI"/>
    <s v="SI"/>
    <n v="2764"/>
    <m/>
    <m/>
    <s v="Vladimir Vega"/>
    <s v="Ultraport"/>
    <s v="Renta Fija"/>
    <s v="Cristian Sandoval"/>
    <s v="TPA"/>
    <m/>
  </r>
  <r>
    <n v="20"/>
    <s v="Claudio Aravena Maturana"/>
    <s v="10.881.192-7"/>
    <s v="Movilizador"/>
    <x v="0"/>
    <x v="0"/>
    <n v="55"/>
    <n v="697"/>
    <s v="El día 04/02 en almacén 2, colaborador en función de movilizador de 55 años se encontraba realizando tarea de estiba de sacos sobre preeslingado a una altura de seis sacos de alto, al bajar de esta, siente dolencia en su pie izquierdo."/>
    <x v="15"/>
    <d v="1899-12-30T18:10:00"/>
    <s v="Fatiga del colaborador por exceso de carga"/>
    <x v="4"/>
    <s v="Leve"/>
    <s v="Bajo"/>
    <s v="No Aplica"/>
    <s v="Pié izquierdo"/>
    <s v="Ultraport"/>
    <s v="CPPT"/>
    <s v="Negativo"/>
    <m/>
    <s v="Almacén 3"/>
    <s v="Consolidado directo"/>
    <s v="Consolidado de prelingado"/>
    <s v="Consolidado de prelingado"/>
    <s v="Martes"/>
    <x v="0"/>
    <n v="0"/>
    <n v="0.75"/>
    <s v="N/A"/>
    <s v="En investigación"/>
    <s v="SI"/>
    <s v="NO"/>
    <s v="SI"/>
    <n v="2773"/>
    <s v="SI"/>
    <s v="SI"/>
    <s v="Vladimir Vega"/>
    <s v="Ultraport"/>
    <s v="Renta Fija"/>
    <s v="Danko Arias"/>
    <s v="TPA"/>
    <m/>
  </r>
  <r>
    <n v="21"/>
    <s v="Rodrigo Astorga Barraza"/>
    <s v="17.555.525-0"/>
    <s v="Operador GH"/>
    <x v="3"/>
    <x v="0"/>
    <n v="33"/>
    <n v="9911"/>
    <s v="El día 04/02 en almacén 8, operador GH de 33 añosadvierte quiebre de soporte de luz de retroceso, avisando de forma inmediata a supervisor."/>
    <x v="15"/>
    <d v="1899-12-30T19:00:00"/>
    <s v="Fatiga de material"/>
    <x v="0"/>
    <s v="No Aplica"/>
    <s v="Bajo"/>
    <s v="No Aplica"/>
    <s v="Sin Lesión"/>
    <s v="Ultraport"/>
    <s v="Bono turno"/>
    <s v="No Aplica"/>
    <s v="incidente fue por fatiga de material no por oepración"/>
    <s v="Almacén 8"/>
    <s v="Transferencia de graneles minerales"/>
    <s v="Consolidado Big Bag mineral"/>
    <s v="Traslado Big Bag"/>
    <s v="Martes"/>
    <x v="0"/>
    <n v="0"/>
    <s v="N/A"/>
    <s v="N/A"/>
    <s v="Fatiga de Material"/>
    <s v="SI"/>
    <s v="NO"/>
    <s v="SI"/>
    <n v="2774"/>
    <s v="SI"/>
    <s v="SI"/>
    <s v="Oscar Muñoz"/>
    <s v="Ultraport"/>
    <s v="Renta Fija"/>
    <s v="Cristian Sandoval"/>
    <s v="TPA"/>
    <m/>
  </r>
  <r>
    <n v="22"/>
    <s v="Javier Llangato Mondaca"/>
    <s v="19.149.612-4"/>
    <s v="Hatchlerk"/>
    <x v="3"/>
    <x v="0"/>
    <n v="29"/>
    <n v="9815"/>
    <s v="El día 05/02 en nave MN Polar Perú, colaborador de 29 años en función de Hatchlerk, retoma sus funciones luego de la media hora de descanso, subiendo al segundo nivel del bay 30 hacia la popa, ubica sus pertenencias en el pasillo y al momento de girar no se percata de que la escotilla se encontraba abierta, golpeando su cuerpo con la estructura metálica, sufriendo corte en pierna derecha."/>
    <x v="16"/>
    <d v="1899-12-30T20:10:00"/>
    <m/>
    <x v="4"/>
    <s v="Leve"/>
    <s v="Bajo"/>
    <s v="No Aplica"/>
    <s v="Pierna derecha"/>
    <s v="Ultraport"/>
    <s v="CPPT"/>
    <s v="Negativo"/>
    <m/>
    <s v="Nave MN Polar Perú"/>
    <s v="Transferencia de contenedores"/>
    <s v="Transferencia de contenedores"/>
    <s v="Toma de datos a contenedores"/>
    <s v="Miércoles"/>
    <x v="0"/>
    <n v="0"/>
    <n v="2"/>
    <s v="N/A"/>
    <s v="En investigación"/>
    <s v="SI"/>
    <m/>
    <s v="SI"/>
    <n v="2778"/>
    <m/>
    <m/>
    <s v="Alfredo López"/>
    <s v="Ultraport"/>
    <s v="Renta Fija"/>
    <s v="Frascisco Castillo"/>
    <s v="Ultraport"/>
    <m/>
  </r>
  <r>
    <n v="23"/>
    <s v="Stanko Zuanic Godoy"/>
    <s v="17.552.810-5"/>
    <s v="Operador GH"/>
    <x v="3"/>
    <x v="0"/>
    <n v="34"/>
    <n v="4065"/>
    <s v="El día 08/02 en almacén 2, colaborador en función de Operador GH de 34 años, se encontraba realizando descarga Big Bag en pallets desde plataforma de camión, este al retirar saca a 2 de alto y bajar a piso, se boltea y cae al suelo, provocando daño en ella sin caída de material."/>
    <x v="17"/>
    <d v="1899-12-30T11:10:00"/>
    <s v="Fatiga de material"/>
    <x v="0"/>
    <s v="No Aplica"/>
    <s v="Bajo"/>
    <s v="No Aplica"/>
    <s v="Sin Lesión"/>
    <s v="Ultraport"/>
    <s v="Bono turno"/>
    <s v="No Aplica"/>
    <s v="Condición de origen de la carga fue el factor del daño"/>
    <s v="Almacén 2"/>
    <s v="Transferencia"/>
    <s v="Recepción de Big Bag"/>
    <s v="Descarga plataforma de camión"/>
    <s v="Sábado"/>
    <x v="1"/>
    <n v="0"/>
    <s v="N/A"/>
    <s v="N/A"/>
    <s v="Fatiga de Material"/>
    <s v="SI"/>
    <m/>
    <s v="SI"/>
    <n v="2786"/>
    <m/>
    <m/>
    <s v="Jorge Donoso"/>
    <s v="Ultraport"/>
    <s v="Renta Fija"/>
    <s v="Cristian Medina"/>
    <s v="TPA"/>
    <m/>
  </r>
  <r>
    <n v="24"/>
    <s v="Cristian Vera Ramírez"/>
    <s v="10.339.387-6"/>
    <s v="Operador TC"/>
    <x v="3"/>
    <x v="0"/>
    <n v="58"/>
    <n v="11222"/>
    <s v="El día 13/02 en Sitio 4, colaborador en función de operador TC, es descargado al costado de grúa Belén saliendo por acceso del costado del almacén 10, allí se encuentra con otro TC el cual venía en dirección contraria, pero como este se encontraba en el centro de la pista y no cargado hacia el lado derecho, obliga a desplazarse a la derecha para esquivar TC, provocando choque con rampla parqueada."/>
    <x v="18"/>
    <d v="1899-12-30T00:30:00"/>
    <s v="Mala Conducción"/>
    <x v="0"/>
    <s v="No Aplica"/>
    <s v="Bajo"/>
    <s v="No Aplica"/>
    <s v="Sin Lesión"/>
    <s v="Ultraport"/>
    <s v="Eventual"/>
    <s v="Negativo"/>
    <m/>
    <s v="Sitio 4 MN Polar Colombia"/>
    <s v="Transferencia de contenedores"/>
    <s v="Descarga y embarque de contenedores"/>
    <s v="enbarques contenedores"/>
    <s v="Miércoles"/>
    <x v="2"/>
    <n v="0"/>
    <s v="N/A"/>
    <s v="N/A"/>
    <s v="Responsabilidad Operador"/>
    <s v="SI"/>
    <s v="SI"/>
    <s v="NO"/>
    <m/>
    <m/>
    <m/>
    <s v="Omayra Cautín"/>
    <s v="Ultaport"/>
    <s v="Renta Fija"/>
    <s v="No hay información"/>
    <m/>
    <m/>
  </r>
  <r>
    <n v="25"/>
    <s v="Ivan Delgado Orellana"/>
    <s v="13.089.211-6"/>
    <s v="Operador CF"/>
    <x v="0"/>
    <x v="0"/>
    <n v="58"/>
    <n v="9879"/>
    <s v="El día 18/02 en sitio 4, Operador de 58 años traslada aditamento (lanza) desde sitio 2B hacia almacén 4, al dejar ésta posicionada en costado de ruma de girasol, da cuenta de que los seguros de los pasadores no funcionan, cuando lo vuelve a intentar, otros colaboradores que se encuentran en el área le indican que equipo se encuentra filtrando, dando aviso de forma inmediata a capataz. Luego de evaluación preliminar por área de mantenimiento Ultraport, se define derrame de aprox. 10 Litros sobre suelo Impermeable."/>
    <x v="19"/>
    <d v="1899-12-30T17:15:00"/>
    <s v="Maniobra inadecuada para desacople de aditamento"/>
    <x v="3"/>
    <s v="Leve"/>
    <s v="Bajo"/>
    <s v="No Aplica"/>
    <s v="Sin Lesión"/>
    <s v="Ultraport"/>
    <s v="Eventual"/>
    <s v="Negativo"/>
    <m/>
    <s v="Sitio 4 MN James Bay"/>
    <s v="Transferencia de Graneles Limpios"/>
    <s v="Remonte de Soya"/>
    <s v="Traslado de lanza desde nave a almacén 4"/>
    <s v="Martes"/>
    <x v="0"/>
    <n v="0"/>
    <n v="0"/>
    <n v="10"/>
    <s v="En investigación"/>
    <s v="SI"/>
    <s v="NO"/>
    <s v="SI"/>
    <n v="2817"/>
    <s v="SI"/>
    <s v="NO"/>
    <s v="Omayra Cautín"/>
    <s v="Ultaport"/>
    <s v="Renta Fija"/>
    <s v="Antonio Huanca"/>
    <s v="TPA"/>
    <m/>
  </r>
  <r>
    <n v="26"/>
    <s v="Luis Rebolledo Flores"/>
    <s v="10.107.872-8"/>
    <s v="Operador MC"/>
    <x v="0"/>
    <x v="0"/>
    <n v="58"/>
    <n v="260"/>
    <s v="El día 18/02 en sitio 4, operador MC de 58 años, se encuentra barriendo en costado de nave cuando pasa a llevar cuchillo de balde con la tapa de alcantarillado, provocando desprendimiento en una de sus puntas."/>
    <x v="19"/>
    <d v="1899-12-30T17:45:00"/>
    <s v="Condición del lugar"/>
    <x v="0"/>
    <s v="No Aplica"/>
    <s v="Bajo"/>
    <s v="No Aplica"/>
    <s v="Sin Lesión"/>
    <s v="Ultraport"/>
    <s v="CPPT"/>
    <s v="No Aplica"/>
    <s v="Condición del lugar"/>
    <s v="Sitio 4 MN James Bay"/>
    <s v="Transferencia de Graneles Limpios"/>
    <s v="Barrido"/>
    <s v="Barrido de soya en molo"/>
    <s v="Miércoles"/>
    <x v="0"/>
    <n v="1"/>
    <s v="N/A"/>
    <s v="N/A"/>
    <s v="En investigación"/>
    <s v="SI"/>
    <s v="NO"/>
    <s v="SI"/>
    <n v="2818"/>
    <s v="SI"/>
    <m/>
    <s v="Omayra Cautín"/>
    <s v="Ultaport"/>
    <s v="Renta Fija"/>
    <s v="Antonio Huanca"/>
    <s v="TPA"/>
    <m/>
  </r>
  <r>
    <n v="27"/>
    <m/>
    <m/>
    <m/>
    <x v="4"/>
    <x v="1"/>
    <m/>
    <m/>
    <m/>
    <x v="20"/>
    <m/>
    <m/>
    <x v="6"/>
    <m/>
    <m/>
    <m/>
    <m/>
    <m/>
    <m/>
    <m/>
    <m/>
    <m/>
    <m/>
    <m/>
    <m/>
    <m/>
    <x v="3"/>
    <m/>
    <m/>
    <m/>
    <m/>
    <m/>
    <m/>
    <m/>
    <m/>
    <m/>
    <m/>
    <m/>
    <m/>
    <m/>
    <m/>
    <m/>
    <m/>
  </r>
  <r>
    <n v="28"/>
    <m/>
    <m/>
    <m/>
    <x v="4"/>
    <x v="1"/>
    <m/>
    <m/>
    <m/>
    <x v="20"/>
    <m/>
    <m/>
    <x v="6"/>
    <m/>
    <m/>
    <m/>
    <m/>
    <m/>
    <m/>
    <m/>
    <m/>
    <m/>
    <m/>
    <m/>
    <m/>
    <m/>
    <x v="3"/>
    <m/>
    <m/>
    <m/>
    <m/>
    <m/>
    <m/>
    <m/>
    <m/>
    <m/>
    <m/>
    <m/>
    <m/>
    <m/>
    <m/>
    <m/>
    <m/>
  </r>
  <r>
    <n v="29"/>
    <m/>
    <m/>
    <m/>
    <x v="4"/>
    <x v="1"/>
    <m/>
    <m/>
    <m/>
    <x v="20"/>
    <m/>
    <m/>
    <x v="6"/>
    <m/>
    <m/>
    <m/>
    <m/>
    <m/>
    <m/>
    <m/>
    <m/>
    <m/>
    <m/>
    <m/>
    <m/>
    <m/>
    <x v="3"/>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Tabla dinámica2" cacheId="24"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chartFormat="28">
  <location ref="A3:B4" firstHeaderRow="1" firstDataRow="1" firstDataCol="1" rowPageCount="1" colPageCount="1"/>
  <pivotFields count="18">
    <pivotField showAll="0"/>
    <pivotField showAll="0"/>
    <pivotField showAll="0"/>
    <pivotField showAll="0"/>
    <pivotField showAll="0"/>
    <pivotField showAll="0"/>
    <pivotField showAll="0"/>
    <pivotField showAll="0"/>
    <pivotField axis="axisPage" multipleItemSelectionAllowed="1" showAll="0">
      <items count="137">
        <item h="1" m="1" x="90"/>
        <item h="1" m="1" x="134"/>
        <item h="1" m="1" x="84"/>
        <item h="1" m="1" x="111"/>
        <item h="1" m="1" x="102"/>
        <item h="1" m="1" x="118"/>
        <item h="1" m="1" x="105"/>
        <item h="1" m="1" x="95"/>
        <item h="1" m="1" x="82"/>
        <item h="1" m="1" x="110"/>
        <item h="1" m="1" x="114"/>
        <item h="1" m="1" x="86"/>
        <item h="1" m="1" x="93"/>
        <item h="1" m="1" x="97"/>
        <item h="1" m="1" x="120"/>
        <item h="1" m="1" x="103"/>
        <item h="1" m="1" x="123"/>
        <item h="1" m="1" x="100"/>
        <item h="1" m="1" x="115"/>
        <item h="1" m="1" x="98"/>
        <item h="1" m="1" x="88"/>
        <item h="1" m="1" x="107"/>
        <item h="1" m="1" x="106"/>
        <item h="1" m="1" x="117"/>
        <item h="1" m="1" x="83"/>
        <item h="1" m="1" x="132"/>
        <item h="1" m="1" x="104"/>
        <item h="1" m="1" x="124"/>
        <item h="1" m="1" x="94"/>
        <item h="1" m="1" x="116"/>
        <item h="1" m="1" x="129"/>
        <item h="1" m="1" x="91"/>
        <item h="1" m="1" x="96"/>
        <item h="1" m="1" x="119"/>
        <item h="1" m="1" x="87"/>
        <item h="1" m="1" x="109"/>
        <item h="1" m="1" x="128"/>
        <item h="1" m="1" x="99"/>
        <item h="1" m="1" x="89"/>
        <item h="1" m="1" x="133"/>
        <item h="1" m="1" x="85"/>
        <item h="1" m="1" x="113"/>
        <item h="1" m="1" x="125"/>
        <item h="1" m="1" x="101"/>
        <item h="1" m="1" x="92"/>
        <item h="1" m="1" x="81"/>
        <item h="1" x="15"/>
        <item m="1" x="112"/>
        <item m="1" x="130"/>
        <item m="1" x="121"/>
        <item m="1" x="135"/>
        <item m="1" x="108"/>
        <item m="1" x="127"/>
        <item m="1" x="126"/>
        <item m="1" x="131"/>
        <item m="1" x="122"/>
        <item h="1" x="0"/>
        <item h="1" x="1"/>
        <item h="1" x="2"/>
        <item h="1" x="3"/>
        <item h="1" x="4"/>
        <item h="1" x="5"/>
        <item h="1" x="6"/>
        <item h="1" x="7"/>
        <item h="1" x="8"/>
        <item h="1" x="9"/>
        <item h="1" x="10"/>
        <item h="1" x="11"/>
        <item h="1" x="12"/>
        <item h="1" x="13"/>
        <item h="1" x="14"/>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h="1" x="50"/>
        <item h="1" x="51"/>
        <item h="1" x="52"/>
        <item h="1" x="53"/>
        <item h="1" x="54"/>
        <item h="1" x="55"/>
        <item h="1" x="56"/>
        <item h="1" x="57"/>
        <item h="1" x="58"/>
        <item h="1" x="59"/>
        <item h="1" x="60"/>
        <item h="1" x="61"/>
        <item h="1" x="62"/>
        <item h="1" x="63"/>
        <item h="1" x="64"/>
        <item h="1" x="65"/>
        <item h="1" x="66"/>
        <item h="1" x="67"/>
        <item h="1" x="68"/>
        <item h="1" x="69"/>
        <item h="1" x="70"/>
        <item h="1" x="71"/>
        <item h="1" x="72"/>
        <item h="1" x="73"/>
        <item h="1" x="74"/>
        <item h="1" x="75"/>
        <item h="1" x="76"/>
        <item h="1" x="77"/>
        <item h="1" x="78"/>
        <item h="1" x="79"/>
        <item h="1" x="80"/>
        <item t="default"/>
      </items>
    </pivotField>
    <pivotField numFmtId="20" showAll="0"/>
    <pivotField showAll="0"/>
    <pivotField showAll="0"/>
    <pivotField axis="axisRow" dataField="1" showAll="0">
      <items count="19">
        <item x="9"/>
        <item x="5"/>
        <item x="8"/>
        <item m="1" x="16"/>
        <item m="1" x="17"/>
        <item x="1"/>
        <item m="1" x="11"/>
        <item m="1" x="12"/>
        <item x="3"/>
        <item m="1" x="10"/>
        <item m="1" x="13"/>
        <item x="4"/>
        <item m="1" x="15"/>
        <item m="1" x="14"/>
        <item x="0"/>
        <item x="2"/>
        <item x="6"/>
        <item x="7"/>
        <item t="default"/>
      </items>
    </pivotField>
    <pivotField showAll="0"/>
    <pivotField showAll="0"/>
    <pivotField showAll="0"/>
    <pivotField showAll="0"/>
    <pivotField showAll="0"/>
  </pivotFields>
  <rowFields count="1">
    <field x="12"/>
  </rowFields>
  <rowItems count="1">
    <i t="grand">
      <x/>
    </i>
  </rowItems>
  <colItems count="1">
    <i/>
  </colItems>
  <pageFields count="1">
    <pageField fld="8" hier="-1"/>
  </pageFields>
  <dataFields count="1">
    <dataField name="Cuenta de TIPO ACC" fld="12" subtotal="count" baseField="0" baseItem="0"/>
  </dataFields>
  <chartFormats count="11">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12" count="1" selected="0">
            <x v="0"/>
          </reference>
        </references>
      </pivotArea>
    </chartFormat>
    <chartFormat chart="2" format="2">
      <pivotArea type="data" outline="0" fieldPosition="0">
        <references count="2">
          <reference field="4294967294" count="1" selected="0">
            <x v="0"/>
          </reference>
          <reference field="12" count="1" selected="0">
            <x v="2"/>
          </reference>
        </references>
      </pivotArea>
    </chartFormat>
    <chartFormat chart="2" format="3">
      <pivotArea type="data" outline="0" fieldPosition="0">
        <references count="2">
          <reference field="4294967294" count="1" selected="0">
            <x v="0"/>
          </reference>
          <reference field="12" count="1" selected="0">
            <x v="3"/>
          </reference>
        </references>
      </pivotArea>
    </chartFormat>
    <chartFormat chart="2" format="4">
      <pivotArea type="data" outline="0" fieldPosition="0">
        <references count="2">
          <reference field="4294967294" count="1" selected="0">
            <x v="0"/>
          </reference>
          <reference field="12" count="1" selected="0">
            <x v="4"/>
          </reference>
        </references>
      </pivotArea>
    </chartFormat>
    <chartFormat chart="2" format="5">
      <pivotArea type="data" outline="0" fieldPosition="0">
        <references count="2">
          <reference field="4294967294" count="1" selected="0">
            <x v="0"/>
          </reference>
          <reference field="12" count="1" selected="0">
            <x v="7"/>
          </reference>
        </references>
      </pivotArea>
    </chartFormat>
    <chartFormat chart="2" format="6">
      <pivotArea type="data" outline="0" fieldPosition="0">
        <references count="2">
          <reference field="4294967294" count="1" selected="0">
            <x v="0"/>
          </reference>
          <reference field="12" count="1" selected="0">
            <x v="9"/>
          </reference>
        </references>
      </pivotArea>
    </chartFormat>
    <chartFormat chart="2" format="7">
      <pivotArea type="data" outline="0" fieldPosition="0">
        <references count="2">
          <reference field="4294967294" count="1" selected="0">
            <x v="0"/>
          </reference>
          <reference field="12" count="1" selected="0">
            <x v="10"/>
          </reference>
        </references>
      </pivotArea>
    </chartFormat>
    <chartFormat chart="2" format="8">
      <pivotArea type="data" outline="0" fieldPosition="0">
        <references count="2">
          <reference field="4294967294" count="1" selected="0">
            <x v="0"/>
          </reference>
          <reference field="12" count="1" selected="0">
            <x v="11"/>
          </reference>
        </references>
      </pivotArea>
    </chartFormat>
    <chartFormat chart="2" format="9">
      <pivotArea type="data" outline="0" fieldPosition="0">
        <references count="2">
          <reference field="4294967294" count="1" selected="0">
            <x v="0"/>
          </reference>
          <reference field="12" count="1" selected="0">
            <x v="13"/>
          </reference>
        </references>
      </pivotArea>
    </chartFormat>
    <chartFormat chart="2" format="9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03C14A-720A-47BD-A661-5EF010747A45}" name="TablaDinámica25" cacheId="26"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F15" firstHeaderRow="1" firstDataRow="2" firstDataCol="1" rowPageCount="1" colPageCount="1"/>
  <pivotFields count="41">
    <pivotField showAll="0"/>
    <pivotField dataField="1" showAll="0"/>
    <pivotField showAll="0"/>
    <pivotField showAll="0"/>
    <pivotField showAll="0"/>
    <pivotField showAll="0"/>
    <pivotField showAll="0"/>
    <pivotField showAll="0"/>
    <pivotField showAll="0"/>
    <pivotField axis="axisRow" showAll="0">
      <items count="1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t="default"/>
      </items>
    </pivotField>
    <pivotField numFmtId="20" showAll="0"/>
    <pivotField showAll="0"/>
    <pivotField showAll="0"/>
    <pivotField axis="axisCol" showAll="0">
      <items count="9">
        <item x="5"/>
        <item x="7"/>
        <item x="0"/>
        <item x="4"/>
        <item x="1"/>
        <item x="3"/>
        <item x="6"/>
        <item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Page" multipleItemSelectionAllowed="1" showAll="0">
      <items count="122">
        <item h="1" x="66"/>
        <item h="1" x="69"/>
        <item h="1" x="117"/>
        <item h="1" x="109"/>
        <item h="1" x="60"/>
        <item h="1" x="64"/>
        <item h="1" x="62"/>
        <item h="1" x="101"/>
        <item h="1" x="9"/>
        <item h="1" x="35"/>
        <item h="1" x="2"/>
        <item x="91"/>
        <item x="30"/>
        <item h="1" x="83"/>
        <item h="1" x="42"/>
        <item h="1" x="57"/>
        <item h="1" x="10"/>
        <item h="1" x="55"/>
        <item h="1" x="63"/>
        <item h="1" x="113"/>
        <item h="1" x="118"/>
        <item h="1" x="82"/>
        <item h="1" x="12"/>
        <item h="1" x="72"/>
        <item h="1" x="70"/>
        <item h="1" x="79"/>
        <item h="1" x="47"/>
        <item h="1" x="112"/>
        <item h="1" x="90"/>
        <item h="1" x="14"/>
        <item h="1" x="41"/>
        <item h="1" x="67"/>
        <item h="1" x="13"/>
        <item h="1" x="54"/>
        <item h="1" x="4"/>
        <item h="1" x="85"/>
        <item h="1" x="8"/>
        <item h="1" x="68"/>
        <item h="1" x="100"/>
        <item h="1" x="38"/>
        <item h="1" x="21"/>
        <item h="1" x="119"/>
        <item h="1" x="97"/>
        <item h="1" x="0"/>
        <item h="1" x="17"/>
        <item h="1" x="16"/>
        <item h="1" x="5"/>
        <item h="1" x="25"/>
        <item h="1" x="50"/>
        <item h="1" x="98"/>
        <item h="1" x="49"/>
        <item h="1" x="114"/>
        <item h="1" x="106"/>
        <item h="1" x="93"/>
        <item h="1" x="19"/>
        <item h="1" x="53"/>
        <item h="1" x="89"/>
        <item h="1" x="88"/>
        <item x="108"/>
        <item x="18"/>
        <item h="1" x="20"/>
        <item h="1" x="92"/>
        <item h="1" x="120"/>
        <item h="1" x="103"/>
        <item h="1" x="27"/>
        <item h="1" x="23"/>
        <item h="1" x="61"/>
        <item h="1" x="45"/>
        <item h="1" x="28"/>
        <item h="1" x="116"/>
        <item h="1" x="94"/>
        <item h="1" x="111"/>
        <item h="1" x="11"/>
        <item h="1" x="39"/>
        <item h="1" x="59"/>
        <item h="1" x="84"/>
        <item h="1" x="6"/>
        <item h="1" x="81"/>
        <item h="1" x="74"/>
        <item h="1" x="102"/>
        <item h="1" x="95"/>
        <item h="1" x="3"/>
        <item h="1" x="43"/>
        <item h="1" x="24"/>
        <item x="52"/>
        <item h="1" x="51"/>
        <item h="1" x="80"/>
        <item h="1" x="29"/>
        <item h="1" x="105"/>
        <item h="1" x="107"/>
        <item h="1" x="31"/>
        <item h="1" x="33"/>
        <item h="1" x="34"/>
        <item h="1" x="48"/>
        <item h="1" x="104"/>
        <item h="1" x="86"/>
        <item h="1" x="87"/>
        <item h="1" x="110"/>
        <item h="1" x="75"/>
        <item h="1" x="115"/>
        <item h="1" x="73"/>
        <item x="76"/>
        <item x="71"/>
        <item h="1" x="65"/>
        <item h="1" x="15"/>
        <item x="7"/>
        <item x="46"/>
        <item x="44"/>
        <item x="37"/>
        <item x="1"/>
        <item x="40"/>
        <item x="26"/>
        <item x="32"/>
        <item h="1" x="56"/>
        <item h="1" x="58"/>
        <item h="1" x="77"/>
        <item h="1" x="99"/>
        <item h="1" x="78"/>
        <item h="1" x="96"/>
        <item h="1" x="36"/>
        <item h="1" x="2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3">
    <field x="40"/>
    <field x="39"/>
    <field x="9"/>
  </rowFields>
  <rowItems count="11">
    <i>
      <x v="1"/>
    </i>
    <i>
      <x v="2"/>
    </i>
    <i>
      <x v="3"/>
    </i>
    <i>
      <x v="4"/>
    </i>
    <i>
      <x v="5"/>
    </i>
    <i>
      <x v="6"/>
    </i>
    <i>
      <x v="7"/>
    </i>
    <i>
      <x v="8"/>
    </i>
    <i>
      <x v="10"/>
    </i>
    <i>
      <x v="11"/>
    </i>
    <i t="grand">
      <x/>
    </i>
  </rowItems>
  <colFields count="1">
    <field x="13"/>
  </colFields>
  <colItems count="5">
    <i>
      <x v="1"/>
    </i>
    <i>
      <x v="2"/>
    </i>
    <i>
      <x v="4"/>
    </i>
    <i>
      <x v="7"/>
    </i>
    <i t="grand">
      <x/>
    </i>
  </colItems>
  <pageFields count="1">
    <pageField fld="26" hier="-1"/>
  </pageFields>
  <dataFields count="1">
    <dataField name="Cuenta de NOMBR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BBC86A06-420D-470A-972B-FB8D879EDC73}" name="TablaDinámica31" cacheId="29"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E8" firstHeaderRow="1" firstDataRow="2" firstDataCol="1" rowPageCount="1" colPageCount="1"/>
  <pivotFields count="43">
    <pivotField showAll="0"/>
    <pivotField dataField="1" showAll="0"/>
    <pivotField showAll="0"/>
    <pivotField showAll="0"/>
    <pivotField showAll="0">
      <items count="6">
        <item x="3"/>
        <item x="0"/>
        <item x="1"/>
        <item x="2"/>
        <item x="4"/>
        <item t="default"/>
      </items>
    </pivotField>
    <pivotField showAll="0">
      <items count="3">
        <item x="0"/>
        <item x="1"/>
        <item t="default"/>
      </items>
    </pivotField>
    <pivotField showAll="0"/>
    <pivotField showAll="0"/>
    <pivotField showAll="0"/>
    <pivotField axis="axisPage" multipleItemSelectionAllowed="1" showAll="0">
      <items count="22">
        <item x="0"/>
        <item x="1"/>
        <item x="2"/>
        <item x="3"/>
        <item x="4"/>
        <item x="5"/>
        <item x="6"/>
        <item x="7"/>
        <item x="8"/>
        <item x="9"/>
        <item x="10"/>
        <item x="11"/>
        <item x="12"/>
        <item x="13"/>
        <item h="1" x="14"/>
        <item h="1" x="15"/>
        <item h="1" x="16"/>
        <item h="1" x="17"/>
        <item h="1" x="18"/>
        <item h="1" x="19"/>
        <item h="1" x="20"/>
        <item t="default"/>
      </items>
    </pivotField>
    <pivotField showAll="0"/>
    <pivotField showAll="0"/>
    <pivotField axis="axisRow" showAll="0">
      <items count="8">
        <item h="1" x="1"/>
        <item h="1" x="2"/>
        <item x="5"/>
        <item x="0"/>
        <item h="1" x="3"/>
        <item x="4"/>
        <item h="1" x="6"/>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5">
        <item x="1"/>
        <item x="0"/>
        <item x="2"/>
        <item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2"/>
  </rowFields>
  <rowItems count="4">
    <i>
      <x v="2"/>
    </i>
    <i>
      <x v="3"/>
    </i>
    <i>
      <x v="5"/>
    </i>
    <i t="grand">
      <x/>
    </i>
  </rowItems>
  <colFields count="1">
    <field x="26"/>
  </colFields>
  <colItems count="4">
    <i>
      <x/>
    </i>
    <i>
      <x v="1"/>
    </i>
    <i>
      <x v="2"/>
    </i>
    <i t="grand">
      <x/>
    </i>
  </colItems>
  <pageFields count="1">
    <pageField fld="9" hier="-1"/>
  </pageFields>
  <dataFields count="1">
    <dataField name="Cuenta de NOMBR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Tabla dinámica6" cacheId="22"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location ref="A3:C20" firstHeaderRow="1" firstDataRow="1" firstDataCol="0"/>
  <pivotHierarchies count="18">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HALLAZGOS!$A$2:$O$107">
        <x15:activeTabTopLevelEntity name="[Rango]"/>
      </x15:pivotTableUISettings>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400-000000000000}" name="Tabla dinámica5" cacheId="23" applyNumberFormats="0" applyBorderFormats="0" applyFontFormats="0" applyPatternFormats="0" applyAlignmentFormats="0" applyWidthHeightFormats="1" dataCaption="Valores" updatedVersion="8" minRefreshableVersion="3" useAutoFormatting="1" itemPrintTitles="1" createdVersion="5" indent="0" outline="1" outlineData="1" multipleFieldFilters="0">
  <location ref="A3:C20" firstHeaderRow="1" firstDataRow="1" firstDataCol="0"/>
  <pivotFields count="15">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50E86685-0684-4A3B-A9BF-12655AE33C27}" name="Tabla14" displayName="Tabla14" ref="A11:E15" totalsRowShown="0">
  <autoFilter ref="A11:E15" xr:uid="{50E86685-0684-4A3B-A9BF-12655AE33C27}"/>
  <tableColumns count="5">
    <tableColumn id="1" xr3:uid="{9ED5097E-7A92-48A1-BFB7-5BAF19AB16DB}" name="Etiquetas de fila"/>
    <tableColumn id="2" xr3:uid="{A49B9835-9F6F-4374-B119-83A13FF9956B}" name="Entre 1 y 3 años"/>
    <tableColumn id="3" xr3:uid="{8E76708B-FD94-4453-9FC8-7212E8FA2687}" name="Mayor a 3 años"/>
    <tableColumn id="4" xr3:uid="{3C1289E4-5C0C-4075-B0E4-4AA14B740EA6}" name="Práctica validación MC"/>
    <tableColumn id="5" xr3:uid="{63613FF7-5DF0-4816-B5B9-C5911C5C810D}" name="Total general"/>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3DB159D-BD7E-4FDC-9A97-F2DAE467A324}" name="Tabla15" displayName="Tabla15" ref="A19:C23" totalsRowShown="0">
  <autoFilter ref="A19:C23" xr:uid="{B3DB159D-BD7E-4FDC-9A97-F2DAE467A324}"/>
  <tableColumns count="3">
    <tableColumn id="1" xr3:uid="{62D7ADB0-3D89-48A5-99A3-CCCD2F41657B}" name="Etiquetas de fila"/>
    <tableColumn id="2" xr3:uid="{7C7FF32B-CC88-47AE-8A76-6928964CF7E7}" name="Masculino"/>
    <tableColumn id="3" xr3:uid="{53B03E39-FB58-4751-BA38-0746123C78AA}" name="Total general"/>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922FBF5D-8963-4A14-80AA-3BD130CE8716}" name="Tabla16" displayName="Tabla16" ref="H12:L16" totalsRowShown="0">
  <autoFilter ref="H12:L16" xr:uid="{922FBF5D-8963-4A14-80AA-3BD130CE8716}"/>
  <tableColumns count="5">
    <tableColumn id="1" xr3:uid="{451193E6-D819-44F5-A26C-81BBF8AA2C99}" name="Etiquetas de fila"/>
    <tableColumn id="2" xr3:uid="{DE56AA58-D58D-47DE-BF60-80F49188C3AE}" name="1°"/>
    <tableColumn id="3" xr3:uid="{42723D0B-2FF5-4F2F-8D78-37440BC7EFA3}" name="2°"/>
    <tableColumn id="4" xr3:uid="{5D3053B2-5C7C-484D-9AA0-F55EFFCF462B}" name="3°"/>
    <tableColumn id="5" xr3:uid="{6FF02A19-EE26-4A31-A2E2-E7004434BD2E}" name="Total general"/>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ivotTable" Target="../pivotTables/pivotTable3.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4"/>
  <sheetViews>
    <sheetView workbookViewId="0">
      <selection activeCell="F21" sqref="F21"/>
    </sheetView>
  </sheetViews>
  <sheetFormatPr baseColWidth="10" defaultColWidth="11.5" defaultRowHeight="15" x14ac:dyDescent="0.2"/>
  <cols>
    <col min="1" max="1" width="18.6640625" customWidth="1"/>
    <col min="2" max="2" width="21" bestFit="1" customWidth="1"/>
  </cols>
  <sheetData>
    <row r="1" spans="1:2" x14ac:dyDescent="0.2">
      <c r="A1" s="37" t="s">
        <v>0</v>
      </c>
      <c r="B1" t="s">
        <v>1</v>
      </c>
    </row>
    <row r="3" spans="1:2" x14ac:dyDescent="0.2">
      <c r="A3" s="37" t="s">
        <v>2</v>
      </c>
      <c r="B3" t="s">
        <v>3</v>
      </c>
    </row>
    <row r="4" spans="1:2" x14ac:dyDescent="0.2">
      <c r="A4" s="38" t="s">
        <v>4</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448B2-C1A3-442C-B193-71A3C0AC237E}">
  <dimension ref="A1:F50"/>
  <sheetViews>
    <sheetView workbookViewId="0">
      <selection activeCell="B25" sqref="B25"/>
    </sheetView>
  </sheetViews>
  <sheetFormatPr baseColWidth="10" defaultColWidth="11.5" defaultRowHeight="15" x14ac:dyDescent="0.2"/>
  <cols>
    <col min="1" max="1" width="17.6640625" bestFit="1" customWidth="1"/>
    <col min="2" max="2" width="21.5" bestFit="1" customWidth="1"/>
    <col min="3" max="3" width="15.5" bestFit="1" customWidth="1"/>
    <col min="4" max="4" width="16.1640625" bestFit="1" customWidth="1"/>
    <col min="5" max="5" width="3.83203125" bestFit="1" customWidth="1"/>
    <col min="6" max="6" width="12" bestFit="1" customWidth="1"/>
    <col min="7" max="7" width="4.5" bestFit="1" customWidth="1"/>
    <col min="8" max="8" width="14.5" bestFit="1" customWidth="1"/>
    <col min="9" max="9" width="3.83203125" bestFit="1" customWidth="1"/>
    <col min="10" max="10" width="12" bestFit="1" customWidth="1"/>
  </cols>
  <sheetData>
    <row r="1" spans="1:6" x14ac:dyDescent="0.2">
      <c r="A1" s="37" t="s">
        <v>5</v>
      </c>
      <c r="B1" t="s">
        <v>1</v>
      </c>
    </row>
    <row r="3" spans="1:6" x14ac:dyDescent="0.2">
      <c r="A3" s="37" t="s">
        <v>6</v>
      </c>
      <c r="B3" s="37" t="s">
        <v>7</v>
      </c>
    </row>
    <row r="4" spans="1:6" x14ac:dyDescent="0.2">
      <c r="A4" s="37" t="s">
        <v>2</v>
      </c>
      <c r="B4" t="s">
        <v>8</v>
      </c>
      <c r="C4" t="s">
        <v>9</v>
      </c>
      <c r="D4" t="s">
        <v>10</v>
      </c>
      <c r="E4" t="s">
        <v>11</v>
      </c>
      <c r="F4" t="s">
        <v>4</v>
      </c>
    </row>
    <row r="5" spans="1:6" x14ac:dyDescent="0.2">
      <c r="A5" s="38" t="s">
        <v>12</v>
      </c>
      <c r="C5">
        <v>3</v>
      </c>
      <c r="F5">
        <v>3</v>
      </c>
    </row>
    <row r="6" spans="1:6" x14ac:dyDescent="0.2">
      <c r="A6" s="38" t="s">
        <v>13</v>
      </c>
      <c r="C6">
        <v>2</v>
      </c>
      <c r="F6">
        <v>2</v>
      </c>
    </row>
    <row r="7" spans="1:6" x14ac:dyDescent="0.2">
      <c r="A7" s="38" t="s">
        <v>14</v>
      </c>
      <c r="C7">
        <v>1</v>
      </c>
      <c r="D7">
        <v>1</v>
      </c>
      <c r="F7">
        <v>2</v>
      </c>
    </row>
    <row r="8" spans="1:6" x14ac:dyDescent="0.2">
      <c r="A8" s="38" t="s">
        <v>15</v>
      </c>
      <c r="C8">
        <v>3</v>
      </c>
      <c r="D8">
        <v>2</v>
      </c>
      <c r="F8">
        <v>5</v>
      </c>
    </row>
    <row r="9" spans="1:6" x14ac:dyDescent="0.2">
      <c r="A9" s="38" t="s">
        <v>16</v>
      </c>
      <c r="C9">
        <v>4</v>
      </c>
      <c r="D9">
        <v>1</v>
      </c>
      <c r="E9">
        <v>1</v>
      </c>
      <c r="F9">
        <v>6</v>
      </c>
    </row>
    <row r="10" spans="1:6" x14ac:dyDescent="0.2">
      <c r="A10" s="38" t="s">
        <v>17</v>
      </c>
      <c r="C10">
        <v>1</v>
      </c>
      <c r="F10">
        <v>1</v>
      </c>
    </row>
    <row r="11" spans="1:6" x14ac:dyDescent="0.2">
      <c r="A11" s="38" t="s">
        <v>18</v>
      </c>
      <c r="C11">
        <v>2</v>
      </c>
      <c r="F11">
        <v>2</v>
      </c>
    </row>
    <row r="12" spans="1:6" x14ac:dyDescent="0.2">
      <c r="A12" s="38" t="s">
        <v>19</v>
      </c>
      <c r="D12">
        <v>1</v>
      </c>
      <c r="F12">
        <v>1</v>
      </c>
    </row>
    <row r="13" spans="1:6" x14ac:dyDescent="0.2">
      <c r="A13" s="38" t="s">
        <v>20</v>
      </c>
      <c r="B13">
        <v>1</v>
      </c>
      <c r="C13">
        <v>1</v>
      </c>
      <c r="F13">
        <v>2</v>
      </c>
    </row>
    <row r="14" spans="1:6" x14ac:dyDescent="0.2">
      <c r="A14" s="38" t="s">
        <v>21</v>
      </c>
      <c r="C14">
        <v>2</v>
      </c>
      <c r="F14">
        <v>2</v>
      </c>
    </row>
    <row r="15" spans="1:6" x14ac:dyDescent="0.2">
      <c r="A15" s="38" t="s">
        <v>4</v>
      </c>
      <c r="B15">
        <v>1</v>
      </c>
      <c r="C15">
        <v>19</v>
      </c>
      <c r="D15">
        <v>5</v>
      </c>
      <c r="E15">
        <v>1</v>
      </c>
      <c r="F15">
        <v>26</v>
      </c>
    </row>
    <row r="21" spans="1:5" x14ac:dyDescent="0.2">
      <c r="A21" t="s">
        <v>2</v>
      </c>
      <c r="B21" t="s">
        <v>9</v>
      </c>
      <c r="C21" t="s">
        <v>10</v>
      </c>
      <c r="D21" t="s">
        <v>11</v>
      </c>
      <c r="E21" t="s">
        <v>4</v>
      </c>
    </row>
    <row r="22" spans="1:5" x14ac:dyDescent="0.2">
      <c r="A22" t="s">
        <v>12</v>
      </c>
      <c r="B22">
        <v>3</v>
      </c>
      <c r="E22">
        <v>3</v>
      </c>
    </row>
    <row r="23" spans="1:5" x14ac:dyDescent="0.2">
      <c r="A23" t="s">
        <v>13</v>
      </c>
      <c r="B23">
        <v>2</v>
      </c>
      <c r="E23">
        <v>2</v>
      </c>
    </row>
    <row r="24" spans="1:5" x14ac:dyDescent="0.2">
      <c r="A24" t="s">
        <v>14</v>
      </c>
      <c r="B24">
        <v>1</v>
      </c>
      <c r="E24">
        <v>1</v>
      </c>
    </row>
    <row r="25" spans="1:5" x14ac:dyDescent="0.2">
      <c r="A25" t="s">
        <v>15</v>
      </c>
      <c r="B25">
        <v>3</v>
      </c>
      <c r="C25">
        <v>1</v>
      </c>
      <c r="E25">
        <v>4</v>
      </c>
    </row>
    <row r="26" spans="1:5" x14ac:dyDescent="0.2">
      <c r="A26" t="s">
        <v>16</v>
      </c>
      <c r="B26">
        <v>4</v>
      </c>
      <c r="D26">
        <v>1</v>
      </c>
      <c r="E26">
        <v>5</v>
      </c>
    </row>
    <row r="27" spans="1:5" x14ac:dyDescent="0.2">
      <c r="A27" t="s">
        <v>17</v>
      </c>
      <c r="B27">
        <v>1</v>
      </c>
      <c r="E27">
        <v>1</v>
      </c>
    </row>
    <row r="28" spans="1:5" x14ac:dyDescent="0.2">
      <c r="A28" t="s">
        <v>18</v>
      </c>
      <c r="B28">
        <v>2</v>
      </c>
      <c r="E28">
        <v>2</v>
      </c>
    </row>
    <row r="29" spans="1:5" x14ac:dyDescent="0.2">
      <c r="A29" t="s">
        <v>19</v>
      </c>
      <c r="C29">
        <v>1</v>
      </c>
      <c r="E29">
        <v>1</v>
      </c>
    </row>
    <row r="30" spans="1:5" x14ac:dyDescent="0.2">
      <c r="A30" t="s">
        <v>20</v>
      </c>
      <c r="B30">
        <v>1</v>
      </c>
      <c r="E30">
        <v>1</v>
      </c>
    </row>
    <row r="31" spans="1:5" x14ac:dyDescent="0.2">
      <c r="A31" t="s">
        <v>21</v>
      </c>
      <c r="B31">
        <v>2</v>
      </c>
      <c r="E31">
        <v>2</v>
      </c>
    </row>
    <row r="32" spans="1:5" x14ac:dyDescent="0.2">
      <c r="A32" t="s">
        <v>4</v>
      </c>
      <c r="B32">
        <v>19</v>
      </c>
      <c r="C32">
        <v>2</v>
      </c>
      <c r="D32">
        <v>1</v>
      </c>
      <c r="E32">
        <v>22</v>
      </c>
    </row>
    <row r="39" spans="1:6" x14ac:dyDescent="0.2">
      <c r="A39" t="s">
        <v>2</v>
      </c>
      <c r="B39" t="s">
        <v>8</v>
      </c>
      <c r="C39" t="s">
        <v>9</v>
      </c>
      <c r="D39" t="s">
        <v>10</v>
      </c>
      <c r="E39" t="s">
        <v>11</v>
      </c>
      <c r="F39" t="s">
        <v>4</v>
      </c>
    </row>
    <row r="40" spans="1:6" x14ac:dyDescent="0.2">
      <c r="A40" t="s">
        <v>12</v>
      </c>
      <c r="C40">
        <v>3</v>
      </c>
      <c r="F40">
        <v>3</v>
      </c>
    </row>
    <row r="41" spans="1:6" x14ac:dyDescent="0.2">
      <c r="A41" t="s">
        <v>13</v>
      </c>
      <c r="C41">
        <v>2</v>
      </c>
      <c r="F41">
        <v>2</v>
      </c>
    </row>
    <row r="42" spans="1:6" x14ac:dyDescent="0.2">
      <c r="A42" t="s">
        <v>14</v>
      </c>
      <c r="C42">
        <v>1</v>
      </c>
      <c r="D42">
        <v>1</v>
      </c>
      <c r="F42">
        <v>2</v>
      </c>
    </row>
    <row r="43" spans="1:6" x14ac:dyDescent="0.2">
      <c r="A43" t="s">
        <v>15</v>
      </c>
      <c r="C43">
        <v>3</v>
      </c>
      <c r="D43">
        <v>2</v>
      </c>
      <c r="F43">
        <v>5</v>
      </c>
    </row>
    <row r="44" spans="1:6" x14ac:dyDescent="0.2">
      <c r="A44" t="s">
        <v>16</v>
      </c>
      <c r="C44">
        <v>4</v>
      </c>
      <c r="D44">
        <v>1</v>
      </c>
      <c r="E44">
        <v>1</v>
      </c>
      <c r="F44">
        <v>6</v>
      </c>
    </row>
    <row r="45" spans="1:6" x14ac:dyDescent="0.2">
      <c r="A45" t="s">
        <v>17</v>
      </c>
      <c r="C45">
        <v>1</v>
      </c>
      <c r="F45">
        <v>1</v>
      </c>
    </row>
    <row r="46" spans="1:6" x14ac:dyDescent="0.2">
      <c r="A46" t="s">
        <v>18</v>
      </c>
      <c r="C46">
        <v>2</v>
      </c>
      <c r="F46">
        <v>2</v>
      </c>
    </row>
    <row r="47" spans="1:6" x14ac:dyDescent="0.2">
      <c r="A47" t="s">
        <v>19</v>
      </c>
      <c r="D47">
        <v>1</v>
      </c>
      <c r="F47">
        <v>1</v>
      </c>
    </row>
    <row r="48" spans="1:6" x14ac:dyDescent="0.2">
      <c r="A48" t="s">
        <v>20</v>
      </c>
      <c r="B48">
        <v>1</v>
      </c>
      <c r="C48">
        <v>1</v>
      </c>
      <c r="F48">
        <v>2</v>
      </c>
    </row>
    <row r="49" spans="1:6" x14ac:dyDescent="0.2">
      <c r="A49" t="s">
        <v>21</v>
      </c>
      <c r="C49">
        <v>2</v>
      </c>
      <c r="F49">
        <v>2</v>
      </c>
    </row>
    <row r="50" spans="1:6" x14ac:dyDescent="0.2">
      <c r="A50" t="s">
        <v>4</v>
      </c>
      <c r="B50">
        <v>1</v>
      </c>
      <c r="C50">
        <v>19</v>
      </c>
      <c r="D50">
        <v>5</v>
      </c>
      <c r="E50">
        <v>1</v>
      </c>
      <c r="F50">
        <v>26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26678-B3BA-4FF5-AD5B-A7C02EB382EF}">
  <dimension ref="A1:L23"/>
  <sheetViews>
    <sheetView workbookViewId="0">
      <selection activeCell="H12" sqref="H12:L16"/>
    </sheetView>
  </sheetViews>
  <sheetFormatPr baseColWidth="10" defaultColWidth="11.5" defaultRowHeight="15" x14ac:dyDescent="0.2"/>
  <cols>
    <col min="1" max="1" width="17.6640625" bestFit="1" customWidth="1"/>
    <col min="2" max="2" width="21.5" bestFit="1" customWidth="1"/>
    <col min="3" max="4" width="2.5" bestFit="1" customWidth="1"/>
    <col min="5" max="5" width="12" bestFit="1" customWidth="1"/>
    <col min="6" max="6" width="10.5" bestFit="1" customWidth="1"/>
    <col min="7" max="7" width="12" bestFit="1" customWidth="1"/>
    <col min="8" max="8" width="16.5" customWidth="1"/>
    <col min="12" max="12" width="13.83203125" customWidth="1"/>
  </cols>
  <sheetData>
    <row r="1" spans="1:12" x14ac:dyDescent="0.2">
      <c r="A1" s="37" t="s">
        <v>0</v>
      </c>
      <c r="B1" t="s">
        <v>1</v>
      </c>
    </row>
    <row r="3" spans="1:12" x14ac:dyDescent="0.2">
      <c r="A3" s="37" t="s">
        <v>6</v>
      </c>
      <c r="B3" s="37" t="s">
        <v>7</v>
      </c>
    </row>
    <row r="4" spans="1:12" x14ac:dyDescent="0.2">
      <c r="A4" s="37" t="s">
        <v>2</v>
      </c>
      <c r="B4" t="s">
        <v>22</v>
      </c>
      <c r="C4" t="s">
        <v>23</v>
      </c>
      <c r="D4" t="s">
        <v>24</v>
      </c>
      <c r="E4" t="s">
        <v>4</v>
      </c>
    </row>
    <row r="5" spans="1:12" x14ac:dyDescent="0.2">
      <c r="A5" s="38" t="s">
        <v>25</v>
      </c>
      <c r="B5">
        <v>1</v>
      </c>
      <c r="E5">
        <v>1</v>
      </c>
    </row>
    <row r="6" spans="1:12" x14ac:dyDescent="0.2">
      <c r="A6" s="38" t="s">
        <v>26</v>
      </c>
      <c r="B6">
        <v>4</v>
      </c>
      <c r="C6">
        <v>4</v>
      </c>
      <c r="D6">
        <v>2</v>
      </c>
      <c r="E6">
        <v>10</v>
      </c>
    </row>
    <row r="7" spans="1:12" x14ac:dyDescent="0.2">
      <c r="A7" s="38" t="s">
        <v>11</v>
      </c>
      <c r="B7">
        <v>1</v>
      </c>
      <c r="E7">
        <v>1</v>
      </c>
    </row>
    <row r="8" spans="1:12" x14ac:dyDescent="0.2">
      <c r="A8" s="38" t="s">
        <v>4</v>
      </c>
      <c r="B8">
        <v>6</v>
      </c>
      <c r="C8">
        <v>4</v>
      </c>
      <c r="D8">
        <v>2</v>
      </c>
      <c r="E8">
        <v>12</v>
      </c>
    </row>
    <row r="11" spans="1:12" x14ac:dyDescent="0.2">
      <c r="A11" t="s">
        <v>2</v>
      </c>
      <c r="B11" t="s">
        <v>27</v>
      </c>
      <c r="C11" t="s">
        <v>28</v>
      </c>
      <c r="D11" t="s">
        <v>29</v>
      </c>
      <c r="E11" t="s">
        <v>4</v>
      </c>
    </row>
    <row r="12" spans="1:12" x14ac:dyDescent="0.2">
      <c r="A12" t="s">
        <v>25</v>
      </c>
      <c r="C12">
        <v>1</v>
      </c>
      <c r="E12">
        <v>1</v>
      </c>
      <c r="H12" t="s">
        <v>2</v>
      </c>
      <c r="I12" t="s">
        <v>22</v>
      </c>
      <c r="J12" t="s">
        <v>23</v>
      </c>
      <c r="K12" t="s">
        <v>24</v>
      </c>
      <c r="L12" t="s">
        <v>4</v>
      </c>
    </row>
    <row r="13" spans="1:12" x14ac:dyDescent="0.2">
      <c r="A13" t="s">
        <v>26</v>
      </c>
      <c r="B13">
        <v>1</v>
      </c>
      <c r="C13">
        <v>8</v>
      </c>
      <c r="D13">
        <v>1</v>
      </c>
      <c r="E13">
        <v>10</v>
      </c>
      <c r="H13" t="s">
        <v>25</v>
      </c>
      <c r="I13">
        <v>1</v>
      </c>
      <c r="L13">
        <v>1</v>
      </c>
    </row>
    <row r="14" spans="1:12" x14ac:dyDescent="0.2">
      <c r="A14" t="s">
        <v>11</v>
      </c>
      <c r="C14">
        <v>1</v>
      </c>
      <c r="E14">
        <v>1</v>
      </c>
      <c r="H14" t="s">
        <v>26</v>
      </c>
      <c r="I14">
        <v>4</v>
      </c>
      <c r="J14">
        <v>4</v>
      </c>
      <c r="K14">
        <v>2</v>
      </c>
      <c r="L14">
        <v>10</v>
      </c>
    </row>
    <row r="15" spans="1:12" x14ac:dyDescent="0.2">
      <c r="A15" t="s">
        <v>4</v>
      </c>
      <c r="B15">
        <v>1</v>
      </c>
      <c r="C15">
        <v>10</v>
      </c>
      <c r="D15">
        <v>1</v>
      </c>
      <c r="E15">
        <v>12</v>
      </c>
      <c r="H15" t="s">
        <v>11</v>
      </c>
      <c r="I15">
        <v>1</v>
      </c>
      <c r="L15">
        <v>1</v>
      </c>
    </row>
    <row r="16" spans="1:12" x14ac:dyDescent="0.2">
      <c r="H16" t="s">
        <v>4</v>
      </c>
      <c r="I16">
        <v>6</v>
      </c>
      <c r="J16">
        <v>4</v>
      </c>
      <c r="K16">
        <v>2</v>
      </c>
      <c r="L16">
        <v>12</v>
      </c>
    </row>
    <row r="19" spans="1:3" x14ac:dyDescent="0.2">
      <c r="A19" t="s">
        <v>2</v>
      </c>
      <c r="B19" t="s">
        <v>30</v>
      </c>
      <c r="C19" t="s">
        <v>4</v>
      </c>
    </row>
    <row r="20" spans="1:3" x14ac:dyDescent="0.2">
      <c r="A20" t="s">
        <v>25</v>
      </c>
      <c r="B20">
        <v>1</v>
      </c>
      <c r="C20">
        <v>1</v>
      </c>
    </row>
    <row r="21" spans="1:3" x14ac:dyDescent="0.2">
      <c r="A21" t="s">
        <v>26</v>
      </c>
      <c r="B21">
        <v>10</v>
      </c>
      <c r="C21">
        <v>10</v>
      </c>
    </row>
    <row r="22" spans="1:3" x14ac:dyDescent="0.2">
      <c r="A22" t="s">
        <v>11</v>
      </c>
      <c r="B22">
        <v>1</v>
      </c>
      <c r="C22">
        <v>1</v>
      </c>
    </row>
    <row r="23" spans="1:3" x14ac:dyDescent="0.2">
      <c r="A23" t="s">
        <v>4</v>
      </c>
      <c r="B23">
        <v>12</v>
      </c>
      <c r="C23">
        <v>12</v>
      </c>
    </row>
  </sheetData>
  <pageMargins left="0.7" right="0.7" top="0.75" bottom="0.75" header="0.3" footer="0.3"/>
  <drawing r:id="rId2"/>
  <tableParts count="3">
    <tablePart r:id="rId3"/>
    <tablePart r:id="rId4"/>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filterMode="1"/>
  <dimension ref="A1:BH1566"/>
  <sheetViews>
    <sheetView showGridLines="0" tabSelected="1" zoomScale="80" zoomScaleNormal="80" workbookViewId="0">
      <pane xSplit="10" ySplit="11" topLeftCell="K44" activePane="bottomRight" state="frozen"/>
      <selection pane="topRight" activeCell="K1" sqref="K1"/>
      <selection pane="bottomLeft" activeCell="A12" sqref="A12"/>
      <selection pane="bottomRight" activeCell="B57" sqref="B57"/>
    </sheetView>
  </sheetViews>
  <sheetFormatPr baseColWidth="10" defaultColWidth="11.5" defaultRowHeight="15" x14ac:dyDescent="0.2"/>
  <cols>
    <col min="1" max="1" width="5.5" style="20" customWidth="1"/>
    <col min="2" max="2" width="28.1640625" style="146" customWidth="1"/>
    <col min="3" max="3" width="17" style="39" customWidth="1"/>
    <col min="4" max="4" width="17.83203125" style="68" customWidth="1"/>
    <col min="5" max="5" width="17" style="185" customWidth="1"/>
    <col min="6" max="6" width="13.5" style="39" customWidth="1"/>
    <col min="7" max="7" width="13.6640625" style="39" customWidth="1"/>
    <col min="8" max="8" width="16" style="39" customWidth="1"/>
    <col min="9" max="9" width="43" style="147" customWidth="1"/>
    <col min="10" max="10" width="17.5" style="39" customWidth="1"/>
    <col min="11" max="11" width="12.5" style="39" customWidth="1"/>
    <col min="12" max="12" width="24.33203125" style="39" customWidth="1"/>
    <col min="13" max="13" width="22.1640625" style="39" bestFit="1" customWidth="1"/>
    <col min="14" max="14" width="14.5" style="39" customWidth="1"/>
    <col min="15" max="16" width="17" style="39" customWidth="1"/>
    <col min="17" max="17" width="16.1640625" style="39" bestFit="1" customWidth="1"/>
    <col min="18" max="18" width="12.5" style="39" customWidth="1"/>
    <col min="19" max="19" width="15.5" style="39" customWidth="1"/>
    <col min="20" max="20" width="16" style="39" customWidth="1"/>
    <col min="21" max="21" width="21.33203125" style="39" customWidth="1"/>
    <col min="22" max="22" width="30.5" style="39" bestFit="1" customWidth="1"/>
    <col min="23" max="23" width="18.1640625" style="20" customWidth="1"/>
    <col min="24" max="24" width="22.83203125" style="39" customWidth="1"/>
    <col min="25" max="25" width="21.83203125" style="39" customWidth="1"/>
    <col min="26" max="26" width="14.5" customWidth="1"/>
    <col min="27" max="27" width="10.5" customWidth="1"/>
    <col min="28" max="28" width="7.1640625" customWidth="1"/>
    <col min="29" max="29" width="19.83203125" customWidth="1"/>
    <col min="30" max="30" width="15.1640625" customWidth="1"/>
    <col min="31" max="31" width="18.33203125" customWidth="1"/>
    <col min="32" max="32" width="22.1640625" style="39" customWidth="1"/>
    <col min="33" max="33" width="14.83203125" style="39" customWidth="1"/>
    <col min="34" max="34" width="10.33203125" style="39" customWidth="1"/>
    <col min="35" max="35" width="11.33203125" style="39" customWidth="1"/>
    <col min="36" max="36" width="21.33203125" style="39" customWidth="1"/>
    <col min="37" max="37" width="18.5" style="39" customWidth="1"/>
    <col min="38" max="38" width="16.6640625" style="87" customWidth="1"/>
    <col min="39" max="39" width="15" customWidth="1"/>
    <col min="40" max="40" width="20" customWidth="1"/>
    <col min="41" max="41" width="19.6640625" style="39" customWidth="1"/>
    <col min="42" max="42" width="16" style="39" customWidth="1"/>
    <col min="43" max="43" width="18.1640625" customWidth="1"/>
    <col min="45" max="45" width="34.33203125" bestFit="1" customWidth="1"/>
    <col min="60" max="60" width="21.83203125" style="39" customWidth="1"/>
  </cols>
  <sheetData>
    <row r="1" spans="1:60" ht="9" customHeight="1" x14ac:dyDescent="0.2">
      <c r="AC1" t="e">
        <f>CONVERT(#REF!,"mn","hr")</f>
        <v>#REF!</v>
      </c>
    </row>
    <row r="2" spans="1:60" ht="25.5" customHeight="1" x14ac:dyDescent="0.2">
      <c r="B2"/>
      <c r="D2" s="509" t="s">
        <v>31</v>
      </c>
      <c r="E2" s="509"/>
      <c r="F2" s="368">
        <f>COUNTIF(M12:M183,"Cuasi Accidente")</f>
        <v>29</v>
      </c>
      <c r="G2" s="370" t="s">
        <v>32</v>
      </c>
      <c r="H2" s="39">
        <f>COUNTIF(M12:M183,"Conducta Insegura")</f>
        <v>1</v>
      </c>
      <c r="I2" s="370" t="s">
        <v>33</v>
      </c>
      <c r="J2" s="39">
        <f>F2+F3+F4+F6</f>
        <v>41</v>
      </c>
      <c r="L2" s="509"/>
      <c r="M2" s="509"/>
    </row>
    <row r="3" spans="1:60" ht="15" customHeight="1" x14ac:dyDescent="0.2">
      <c r="A3" s="142"/>
      <c r="B3" s="148"/>
      <c r="C3" s="169"/>
      <c r="D3" s="510" t="s">
        <v>34</v>
      </c>
      <c r="E3" s="510"/>
      <c r="F3" s="169">
        <f>COUNTIF(M12:M183,"STP")</f>
        <v>5</v>
      </c>
      <c r="G3" s="169"/>
      <c r="H3" s="169"/>
      <c r="I3" s="370" t="s">
        <v>35</v>
      </c>
      <c r="J3" s="39">
        <f>COUNTIF(AH12:AH183,"SI")</f>
        <v>30</v>
      </c>
      <c r="K3" s="171"/>
      <c r="L3" s="510"/>
      <c r="M3" s="510"/>
      <c r="N3" s="171"/>
      <c r="O3" s="171"/>
      <c r="P3" s="171"/>
      <c r="Q3" s="171"/>
      <c r="R3" s="171"/>
      <c r="S3" s="171"/>
      <c r="T3" s="171"/>
      <c r="U3" s="171"/>
      <c r="V3" s="171"/>
      <c r="W3" s="142"/>
      <c r="X3" s="171"/>
      <c r="Y3" s="171"/>
      <c r="Z3" s="71"/>
      <c r="AA3" s="71"/>
      <c r="AB3" s="70"/>
      <c r="AC3" s="70"/>
      <c r="AD3" s="70"/>
      <c r="AE3" s="70"/>
      <c r="AF3" s="171"/>
      <c r="AG3" s="171"/>
      <c r="AH3" s="171"/>
      <c r="AI3" s="171"/>
      <c r="AJ3" s="171"/>
      <c r="AK3" s="171"/>
      <c r="AL3" s="203"/>
      <c r="AM3" s="71"/>
      <c r="AN3" s="71"/>
      <c r="AO3" s="171"/>
      <c r="AP3" s="171"/>
      <c r="AQ3" s="70"/>
      <c r="AR3" s="67"/>
      <c r="AS3" s="67"/>
      <c r="AT3" s="67"/>
    </row>
    <row r="4" spans="1:60" ht="14.25" customHeight="1" x14ac:dyDescent="0.2">
      <c r="A4" s="150" t="s">
        <v>36</v>
      </c>
      <c r="B4" s="151"/>
      <c r="C4" s="170"/>
      <c r="D4" s="510" t="s">
        <v>37</v>
      </c>
      <c r="E4" s="510"/>
      <c r="F4" s="169">
        <f>COUNTIF(M12:M183,"CTP")</f>
        <v>0</v>
      </c>
      <c r="G4" s="169"/>
      <c r="H4" s="170"/>
      <c r="I4" s="416" t="s">
        <v>38</v>
      </c>
      <c r="J4" s="171">
        <f>COUNTIF(AK12:AK183,"SI")</f>
        <v>12</v>
      </c>
      <c r="K4" s="171"/>
      <c r="L4" s="510"/>
      <c r="M4" s="510"/>
      <c r="N4" s="171"/>
      <c r="O4" s="171"/>
      <c r="P4" s="171"/>
      <c r="Q4" s="171"/>
      <c r="R4" s="171"/>
      <c r="S4" s="171"/>
      <c r="T4" s="171"/>
      <c r="U4" s="171"/>
      <c r="V4" s="169"/>
      <c r="W4" s="142"/>
      <c r="X4" s="171"/>
      <c r="Y4" s="171"/>
      <c r="Z4" s="71"/>
      <c r="AA4" s="71"/>
      <c r="AB4" s="70"/>
      <c r="AC4" s="70"/>
      <c r="AD4" s="70"/>
      <c r="AE4" s="70"/>
      <c r="AF4" s="171"/>
      <c r="AG4" s="171"/>
      <c r="AH4" s="171"/>
      <c r="AI4" s="171"/>
      <c r="AJ4" s="171"/>
      <c r="AK4" s="171"/>
      <c r="AL4" s="203"/>
      <c r="AM4" s="71"/>
      <c r="AN4" s="71"/>
      <c r="AO4" s="171"/>
      <c r="AP4" s="171"/>
      <c r="AQ4" s="70"/>
      <c r="AR4" s="67"/>
      <c r="AS4" s="67"/>
      <c r="AT4" s="67"/>
    </row>
    <row r="5" spans="1:60" ht="13.5" customHeight="1" x14ac:dyDescent="0.2">
      <c r="A5" s="150" t="s">
        <v>39</v>
      </c>
      <c r="B5" s="151"/>
      <c r="C5" s="170"/>
      <c r="D5" s="510" t="s">
        <v>40</v>
      </c>
      <c r="E5" s="510"/>
      <c r="F5" s="169">
        <f>COUNTIF(M12:M183,"Accidente de Trayecto")</f>
        <v>1</v>
      </c>
      <c r="G5" s="169"/>
      <c r="H5" s="170"/>
      <c r="I5" s="152"/>
      <c r="L5" s="510"/>
      <c r="M5" s="510"/>
      <c r="N5" s="171"/>
      <c r="O5" s="171"/>
      <c r="P5" s="171"/>
      <c r="Q5" s="171"/>
      <c r="R5" s="171"/>
      <c r="S5" s="171"/>
      <c r="T5" s="171"/>
      <c r="U5" s="171"/>
      <c r="V5" s="169"/>
      <c r="W5" s="142"/>
      <c r="X5" s="171"/>
      <c r="Y5" s="171"/>
      <c r="Z5" s="71"/>
      <c r="AA5" s="71"/>
      <c r="AB5" s="70"/>
      <c r="AC5" s="70"/>
      <c r="AD5" s="70"/>
      <c r="AE5" s="70"/>
      <c r="AF5" s="171"/>
      <c r="AG5" s="171"/>
      <c r="AH5" s="171"/>
      <c r="AI5" s="171"/>
      <c r="AJ5" s="171"/>
      <c r="AK5" s="171"/>
      <c r="AL5" s="203"/>
      <c r="AM5" s="71"/>
      <c r="AN5" s="71"/>
      <c r="AO5" s="171"/>
      <c r="AP5" s="171"/>
      <c r="AQ5" s="70"/>
      <c r="AR5" s="67"/>
      <c r="AS5" s="67"/>
      <c r="AT5" s="67"/>
    </row>
    <row r="6" spans="1:60" ht="12.75" customHeight="1" x14ac:dyDescent="0.2">
      <c r="A6" s="150" t="s">
        <v>41</v>
      </c>
      <c r="B6" s="39"/>
      <c r="C6" s="68"/>
      <c r="D6" s="510" t="s">
        <v>42</v>
      </c>
      <c r="E6" s="510"/>
      <c r="F6" s="169">
        <f>COUNTIF(M12:M183,"Incidente Ambiental")</f>
        <v>7</v>
      </c>
      <c r="G6" s="169"/>
      <c r="H6" s="171"/>
      <c r="I6" s="152"/>
      <c r="L6" s="369"/>
      <c r="M6" s="369"/>
      <c r="N6" s="171"/>
      <c r="O6" s="171"/>
      <c r="P6" s="171"/>
      <c r="Q6" s="171"/>
      <c r="R6" s="171"/>
      <c r="S6" s="171"/>
      <c r="T6" s="171"/>
      <c r="U6" s="171"/>
      <c r="V6" s="169"/>
      <c r="W6" s="142"/>
      <c r="X6" s="171"/>
      <c r="Y6" s="171"/>
      <c r="Z6" s="71"/>
      <c r="AA6" s="71"/>
      <c r="AB6" s="70"/>
      <c r="AC6" s="70"/>
      <c r="AD6" s="70"/>
      <c r="AE6" s="70"/>
      <c r="AF6" s="171"/>
      <c r="AG6" s="171"/>
      <c r="AH6" s="171"/>
      <c r="AI6" s="171"/>
      <c r="AJ6" s="171"/>
      <c r="AK6" s="171"/>
      <c r="AL6" s="203"/>
      <c r="AM6" s="71"/>
      <c r="AN6" s="71"/>
      <c r="AO6" s="171"/>
      <c r="AP6" s="171"/>
      <c r="AQ6" s="70"/>
      <c r="AR6" s="67"/>
      <c r="AS6" s="67"/>
      <c r="AT6" s="67"/>
    </row>
    <row r="7" spans="1:60" ht="20.25" customHeight="1" x14ac:dyDescent="0.2">
      <c r="A7" s="150"/>
      <c r="E7" s="145"/>
      <c r="F7" s="414" t="s">
        <v>43</v>
      </c>
      <c r="G7" s="169">
        <f>(F2+F3+F4+F5+F6)</f>
        <v>42</v>
      </c>
      <c r="J7" s="174">
        <f ca="1">NOW()</f>
        <v>45845.759908217595</v>
      </c>
      <c r="K7" s="174"/>
      <c r="L7" s="510"/>
      <c r="M7" s="510"/>
      <c r="N7" s="171"/>
      <c r="O7" s="171"/>
      <c r="P7" s="171"/>
      <c r="Q7" s="171"/>
      <c r="R7" s="171"/>
      <c r="S7" s="171"/>
      <c r="T7" s="171"/>
      <c r="U7" s="171"/>
      <c r="V7" s="171"/>
      <c r="W7" s="142"/>
      <c r="X7" s="171"/>
      <c r="Y7" s="171"/>
      <c r="Z7" s="70"/>
      <c r="AA7" s="70"/>
      <c r="AB7" s="70"/>
      <c r="AC7" s="70"/>
      <c r="AD7" s="70"/>
      <c r="AE7" s="70"/>
      <c r="AF7" s="171"/>
      <c r="AG7" s="171"/>
      <c r="AH7" s="171"/>
      <c r="AI7" s="171"/>
      <c r="AJ7" s="171"/>
      <c r="AK7" s="171"/>
      <c r="AL7" s="203"/>
      <c r="AM7" s="70"/>
      <c r="AN7" s="70"/>
      <c r="AO7" s="171"/>
      <c r="AP7" s="171"/>
      <c r="AQ7" s="70"/>
      <c r="AR7" s="67"/>
      <c r="AS7" s="67"/>
      <c r="AT7" s="67"/>
    </row>
    <row r="8" spans="1:60" ht="4.5" customHeight="1" x14ac:dyDescent="0.2">
      <c r="A8" s="142"/>
      <c r="B8" s="148"/>
      <c r="C8" s="171"/>
      <c r="D8" s="191"/>
      <c r="E8" s="186"/>
      <c r="F8" s="171"/>
      <c r="G8" s="171"/>
      <c r="H8" s="171"/>
      <c r="I8" s="149"/>
      <c r="J8" s="174"/>
      <c r="K8" s="171"/>
      <c r="L8" s="171"/>
      <c r="M8" s="171"/>
      <c r="N8" s="171"/>
      <c r="O8" s="171"/>
      <c r="P8" s="171"/>
      <c r="Q8" s="171"/>
      <c r="R8" s="171"/>
      <c r="S8" s="171"/>
      <c r="T8" s="171"/>
      <c r="U8" s="171"/>
      <c r="V8" s="171"/>
      <c r="W8" s="142"/>
      <c r="X8" s="171"/>
      <c r="Y8" s="171"/>
      <c r="Z8" s="70"/>
      <c r="AA8" s="70"/>
      <c r="AB8" s="70"/>
      <c r="AC8" s="70"/>
      <c r="AD8" s="70"/>
      <c r="AE8" s="70"/>
      <c r="AF8" s="171"/>
      <c r="AG8" s="171"/>
      <c r="AH8" s="171"/>
      <c r="AI8" s="171"/>
      <c r="AJ8" s="171"/>
      <c r="AK8" s="171"/>
      <c r="AL8" s="203"/>
      <c r="AM8" s="70"/>
      <c r="AN8" s="70"/>
      <c r="AO8" s="171"/>
      <c r="AP8" s="171"/>
      <c r="AQ8" s="70"/>
      <c r="AR8" s="67"/>
      <c r="AS8" s="67"/>
      <c r="AT8" s="67"/>
    </row>
    <row r="9" spans="1:60" x14ac:dyDescent="0.2">
      <c r="A9" s="498" t="s">
        <v>44</v>
      </c>
      <c r="B9" s="499"/>
      <c r="C9" s="499"/>
      <c r="D9" s="499"/>
      <c r="E9" s="500"/>
      <c r="F9" s="500"/>
      <c r="G9" s="500"/>
      <c r="H9" s="500"/>
      <c r="I9" s="501"/>
      <c r="J9" s="500"/>
      <c r="K9" s="502"/>
      <c r="L9" s="502"/>
      <c r="M9" s="502"/>
      <c r="N9" s="502"/>
      <c r="O9" s="502"/>
      <c r="P9" s="502"/>
      <c r="Q9" s="502"/>
      <c r="R9" s="502"/>
      <c r="S9" s="502"/>
      <c r="T9" s="502"/>
      <c r="U9" s="502"/>
      <c r="V9" s="500"/>
      <c r="W9" s="500"/>
      <c r="X9" s="500"/>
      <c r="Y9" s="500"/>
      <c r="Z9" s="500"/>
      <c r="AA9" s="500"/>
      <c r="AB9" s="500"/>
      <c r="AC9" s="500"/>
      <c r="AD9" s="500"/>
      <c r="AE9" s="500"/>
      <c r="AF9" s="500"/>
      <c r="AG9" s="500"/>
      <c r="AH9" s="500"/>
      <c r="AI9" s="500"/>
      <c r="AJ9" s="500"/>
      <c r="AK9" s="500"/>
      <c r="AL9" s="500"/>
      <c r="AM9" s="500"/>
      <c r="AN9" s="500"/>
      <c r="AO9" s="502"/>
      <c r="AP9" s="502"/>
      <c r="AQ9" s="500"/>
      <c r="AR9" s="67"/>
      <c r="AS9" s="67"/>
      <c r="AT9" s="67"/>
    </row>
    <row r="10" spans="1:60" ht="9.75" customHeight="1" x14ac:dyDescent="0.2">
      <c r="A10" s="143"/>
      <c r="B10" s="153"/>
      <c r="C10" s="72"/>
      <c r="D10" s="132"/>
      <c r="E10" s="187"/>
      <c r="F10" s="72"/>
      <c r="G10" s="72"/>
      <c r="H10" s="72"/>
      <c r="I10" s="154"/>
      <c r="J10" s="72"/>
      <c r="K10" s="72"/>
      <c r="L10" s="72"/>
      <c r="M10" s="72"/>
      <c r="N10" s="329"/>
      <c r="O10" s="329"/>
      <c r="P10" s="329"/>
      <c r="Q10" s="329"/>
      <c r="R10" s="329"/>
      <c r="S10" s="329"/>
      <c r="T10" s="329"/>
      <c r="U10" s="329"/>
      <c r="V10" s="180"/>
      <c r="W10" s="329"/>
      <c r="X10" s="329"/>
      <c r="Y10" s="329"/>
      <c r="Z10" s="67"/>
      <c r="AA10" s="67"/>
      <c r="AB10" s="67"/>
      <c r="AC10" s="67"/>
      <c r="AD10" s="67"/>
      <c r="AE10" s="67"/>
      <c r="AF10" s="507" t="s">
        <v>45</v>
      </c>
      <c r="AG10" s="507"/>
      <c r="AH10" s="507"/>
      <c r="AI10" s="507"/>
      <c r="AJ10" s="507"/>
      <c r="AK10" s="508"/>
      <c r="AL10" s="503" t="s">
        <v>46</v>
      </c>
      <c r="AM10" s="504"/>
      <c r="AN10" s="504"/>
      <c r="AO10" s="505" t="s">
        <v>47</v>
      </c>
      <c r="AP10" s="506"/>
      <c r="AQ10" s="417"/>
      <c r="AR10" s="73"/>
      <c r="AS10" s="73"/>
      <c r="AT10" s="67"/>
    </row>
    <row r="11" spans="1:60" s="141" customFormat="1" ht="59.25" customHeight="1" x14ac:dyDescent="0.2">
      <c r="A11" s="144" t="s">
        <v>48</v>
      </c>
      <c r="B11" s="106" t="s">
        <v>49</v>
      </c>
      <c r="C11" s="118" t="s">
        <v>50</v>
      </c>
      <c r="D11" s="106" t="s">
        <v>51</v>
      </c>
      <c r="E11" s="106" t="s">
        <v>52</v>
      </c>
      <c r="F11" s="106" t="s">
        <v>53</v>
      </c>
      <c r="G11" s="371" t="s">
        <v>54</v>
      </c>
      <c r="H11" s="118" t="s">
        <v>55</v>
      </c>
      <c r="I11" s="391" t="s">
        <v>56</v>
      </c>
      <c r="J11" s="118" t="s">
        <v>0</v>
      </c>
      <c r="K11" s="106" t="s">
        <v>57</v>
      </c>
      <c r="L11" s="118" t="s">
        <v>58</v>
      </c>
      <c r="M11" s="118" t="s">
        <v>59</v>
      </c>
      <c r="N11" s="118" t="s">
        <v>60</v>
      </c>
      <c r="O11" s="118" t="s">
        <v>61</v>
      </c>
      <c r="P11" s="106" t="s">
        <v>62</v>
      </c>
      <c r="Q11" s="106" t="s">
        <v>63</v>
      </c>
      <c r="R11" s="118" t="s">
        <v>64</v>
      </c>
      <c r="S11" s="106" t="s">
        <v>65</v>
      </c>
      <c r="T11" s="106" t="s">
        <v>66</v>
      </c>
      <c r="U11" s="106" t="s">
        <v>67</v>
      </c>
      <c r="V11" s="106" t="s">
        <v>68</v>
      </c>
      <c r="W11" s="118" t="s">
        <v>69</v>
      </c>
      <c r="X11" s="118" t="s">
        <v>5</v>
      </c>
      <c r="Y11" s="118" t="s">
        <v>70</v>
      </c>
      <c r="Z11" s="118" t="s">
        <v>71</v>
      </c>
      <c r="AA11" s="118" t="s">
        <v>72</v>
      </c>
      <c r="AB11" s="118" t="s">
        <v>73</v>
      </c>
      <c r="AC11" s="106" t="s">
        <v>74</v>
      </c>
      <c r="AD11" s="106" t="s">
        <v>75</v>
      </c>
      <c r="AE11" s="106" t="s">
        <v>76</v>
      </c>
      <c r="AF11" s="106" t="s">
        <v>77</v>
      </c>
      <c r="AG11" s="106" t="s">
        <v>78</v>
      </c>
      <c r="AH11" s="118" t="s">
        <v>79</v>
      </c>
      <c r="AI11" s="118" t="s">
        <v>80</v>
      </c>
      <c r="AJ11" s="106" t="s">
        <v>81</v>
      </c>
      <c r="AK11" s="106" t="s">
        <v>82</v>
      </c>
      <c r="AL11" s="118" t="s">
        <v>49</v>
      </c>
      <c r="AM11" s="118" t="s">
        <v>64</v>
      </c>
      <c r="AN11" s="106" t="s">
        <v>65</v>
      </c>
      <c r="AO11" s="133" t="s">
        <v>49</v>
      </c>
      <c r="AP11" s="133" t="s">
        <v>64</v>
      </c>
      <c r="AQ11" s="106" t="s">
        <v>83</v>
      </c>
      <c r="AR11" s="72"/>
      <c r="AS11" s="72"/>
      <c r="AT11" s="72"/>
      <c r="AU11" s="42"/>
      <c r="AV11" s="42"/>
      <c r="AW11" s="42"/>
      <c r="AX11" s="42"/>
      <c r="AY11" s="42"/>
      <c r="AZ11" s="42"/>
      <c r="BA11" s="42"/>
      <c r="BB11" s="42"/>
      <c r="BC11" s="42"/>
      <c r="BD11" s="42"/>
      <c r="BH11" s="362"/>
    </row>
    <row r="12" spans="1:60" s="82" customFormat="1" ht="99" hidden="1" customHeight="1" x14ac:dyDescent="0.2">
      <c r="A12" s="283">
        <v>1</v>
      </c>
      <c r="B12" s="246" t="s">
        <v>84</v>
      </c>
      <c r="C12" s="268" t="s">
        <v>85</v>
      </c>
      <c r="D12" s="268" t="s">
        <v>86</v>
      </c>
      <c r="E12" s="120" t="s">
        <v>28</v>
      </c>
      <c r="F12" s="120" t="s">
        <v>30</v>
      </c>
      <c r="G12" s="372">
        <v>34</v>
      </c>
      <c r="H12" s="301">
        <v>762</v>
      </c>
      <c r="I12" s="158" t="s">
        <v>87</v>
      </c>
      <c r="J12" s="293">
        <v>45660</v>
      </c>
      <c r="K12" s="294">
        <v>0.79861111111111116</v>
      </c>
      <c r="L12" s="120" t="s">
        <v>88</v>
      </c>
      <c r="M12" s="241" t="s">
        <v>26</v>
      </c>
      <c r="N12" s="111" t="s">
        <v>89</v>
      </c>
      <c r="O12" s="111" t="s">
        <v>90</v>
      </c>
      <c r="P12" s="111" t="s">
        <v>89</v>
      </c>
      <c r="Q12" s="241" t="s">
        <v>91</v>
      </c>
      <c r="R12" s="111" t="s">
        <v>92</v>
      </c>
      <c r="S12" s="120" t="s">
        <v>93</v>
      </c>
      <c r="T12" s="66" t="s">
        <v>94</v>
      </c>
      <c r="U12" s="120" t="s">
        <v>95</v>
      </c>
      <c r="V12" s="120" t="s">
        <v>96</v>
      </c>
      <c r="W12" s="111" t="s">
        <v>97</v>
      </c>
      <c r="X12" s="120" t="s">
        <v>98</v>
      </c>
      <c r="Y12" s="111" t="s">
        <v>99</v>
      </c>
      <c r="Z12" s="111" t="s">
        <v>100</v>
      </c>
      <c r="AA12" s="111" t="s">
        <v>23</v>
      </c>
      <c r="AB12" s="111">
        <v>0</v>
      </c>
      <c r="AC12" s="111" t="s">
        <v>101</v>
      </c>
      <c r="AD12" s="111" t="s">
        <v>101</v>
      </c>
      <c r="AE12" s="111" t="s">
        <v>102</v>
      </c>
      <c r="AF12" s="241" t="s">
        <v>103</v>
      </c>
      <c r="AG12" s="241" t="s">
        <v>104</v>
      </c>
      <c r="AH12" s="352" t="s">
        <v>103</v>
      </c>
      <c r="AI12" s="352">
        <v>2700</v>
      </c>
      <c r="AJ12" s="352" t="s">
        <v>103</v>
      </c>
      <c r="AK12" s="352" t="s">
        <v>104</v>
      </c>
      <c r="AL12" s="120" t="s">
        <v>105</v>
      </c>
      <c r="AM12" s="111" t="s">
        <v>92</v>
      </c>
      <c r="AN12" s="111" t="s">
        <v>106</v>
      </c>
      <c r="AO12" s="138" t="s">
        <v>107</v>
      </c>
      <c r="AP12" s="138" t="s">
        <v>108</v>
      </c>
      <c r="AQ12" s="111"/>
      <c r="AR12" s="67"/>
      <c r="AS12" s="101"/>
      <c r="AT12" s="101"/>
      <c r="AU12" s="364"/>
      <c r="AV12" s="364"/>
      <c r="AW12" s="364"/>
      <c r="AX12" s="364"/>
      <c r="AY12" s="364"/>
      <c r="AZ12" s="364"/>
      <c r="BA12" s="364"/>
      <c r="BB12" s="364"/>
      <c r="BC12" s="364"/>
      <c r="BD12" s="41"/>
      <c r="BH12" s="214"/>
    </row>
    <row r="13" spans="1:60" ht="93" hidden="1" customHeight="1" x14ac:dyDescent="0.2">
      <c r="A13" s="283">
        <v>2</v>
      </c>
      <c r="B13" s="247" t="s">
        <v>109</v>
      </c>
      <c r="C13" s="268" t="s">
        <v>110</v>
      </c>
      <c r="D13" s="268" t="s">
        <v>111</v>
      </c>
      <c r="E13" s="120" t="s">
        <v>28</v>
      </c>
      <c r="F13" s="120" t="s">
        <v>30</v>
      </c>
      <c r="G13" s="372">
        <v>33</v>
      </c>
      <c r="H13" s="301">
        <v>391</v>
      </c>
      <c r="I13" s="158" t="s">
        <v>112</v>
      </c>
      <c r="J13" s="293">
        <v>45660</v>
      </c>
      <c r="K13" s="294">
        <v>0.68819444444444444</v>
      </c>
      <c r="L13" s="120" t="s">
        <v>113</v>
      </c>
      <c r="M13" s="241" t="s">
        <v>26</v>
      </c>
      <c r="N13" s="111" t="s">
        <v>89</v>
      </c>
      <c r="O13" s="66" t="s">
        <v>90</v>
      </c>
      <c r="P13" s="111" t="s">
        <v>89</v>
      </c>
      <c r="Q13" s="242" t="s">
        <v>91</v>
      </c>
      <c r="R13" s="66" t="s">
        <v>92</v>
      </c>
      <c r="S13" s="120" t="s">
        <v>93</v>
      </c>
      <c r="T13" s="66" t="s">
        <v>89</v>
      </c>
      <c r="U13" s="120" t="s">
        <v>114</v>
      </c>
      <c r="V13" s="120" t="s">
        <v>115</v>
      </c>
      <c r="W13" s="111" t="s">
        <v>116</v>
      </c>
      <c r="X13" s="120" t="s">
        <v>117</v>
      </c>
      <c r="Y13" s="66" t="s">
        <v>118</v>
      </c>
      <c r="Z13" s="111" t="s">
        <v>100</v>
      </c>
      <c r="AA13" s="111" t="s">
        <v>23</v>
      </c>
      <c r="AB13" s="111">
        <v>0</v>
      </c>
      <c r="AC13" s="111" t="s">
        <v>101</v>
      </c>
      <c r="AD13" s="111" t="s">
        <v>101</v>
      </c>
      <c r="AE13" s="111" t="s">
        <v>119</v>
      </c>
      <c r="AF13" s="241" t="s">
        <v>103</v>
      </c>
      <c r="AG13" s="242" t="s">
        <v>104</v>
      </c>
      <c r="AH13" s="353" t="s">
        <v>104</v>
      </c>
      <c r="AI13" s="353"/>
      <c r="AJ13" s="353" t="s">
        <v>104</v>
      </c>
      <c r="AK13" s="353" t="s">
        <v>104</v>
      </c>
      <c r="AL13" s="120" t="s">
        <v>120</v>
      </c>
      <c r="AM13" s="111" t="s">
        <v>92</v>
      </c>
      <c r="AN13" s="111" t="s">
        <v>106</v>
      </c>
      <c r="AO13" s="138" t="s">
        <v>121</v>
      </c>
      <c r="AP13" s="138" t="s">
        <v>122</v>
      </c>
      <c r="AQ13" s="111"/>
      <c r="AR13" s="67"/>
      <c r="AS13" s="101"/>
      <c r="AT13" s="101"/>
      <c r="AU13" s="364"/>
      <c r="AV13" s="364"/>
      <c r="AW13" s="364"/>
      <c r="AX13" s="364"/>
      <c r="AY13" s="364"/>
      <c r="AZ13" s="364"/>
      <c r="BA13" s="364"/>
      <c r="BB13" s="364" t="s">
        <v>103</v>
      </c>
      <c r="BC13" s="364"/>
      <c r="BD13" s="41"/>
      <c r="BH13" s="214"/>
    </row>
    <row r="14" spans="1:60" ht="79.5" hidden="1" customHeight="1" x14ac:dyDescent="0.2">
      <c r="A14" s="283">
        <v>3</v>
      </c>
      <c r="B14" s="247" t="s">
        <v>123</v>
      </c>
      <c r="C14" s="268" t="s">
        <v>124</v>
      </c>
      <c r="D14" s="268" t="s">
        <v>101</v>
      </c>
      <c r="E14" s="120" t="s">
        <v>101</v>
      </c>
      <c r="F14" s="120" t="s">
        <v>30</v>
      </c>
      <c r="G14" s="372">
        <v>48</v>
      </c>
      <c r="H14" s="301">
        <v>9698</v>
      </c>
      <c r="I14" s="158" t="s">
        <v>125</v>
      </c>
      <c r="J14" s="293">
        <v>45663</v>
      </c>
      <c r="K14" s="294">
        <v>0.66666666666666663</v>
      </c>
      <c r="L14" s="120" t="s">
        <v>126</v>
      </c>
      <c r="M14" s="241" t="s">
        <v>126</v>
      </c>
      <c r="N14" s="111" t="s">
        <v>89</v>
      </c>
      <c r="O14" s="66" t="s">
        <v>89</v>
      </c>
      <c r="P14" s="111" t="s">
        <v>89</v>
      </c>
      <c r="Q14" s="242" t="s">
        <v>127</v>
      </c>
      <c r="R14" s="66" t="s">
        <v>92</v>
      </c>
      <c r="S14" s="120" t="s">
        <v>128</v>
      </c>
      <c r="T14" s="66" t="s">
        <v>89</v>
      </c>
      <c r="U14" s="120" t="s">
        <v>126</v>
      </c>
      <c r="V14" s="120" t="s">
        <v>129</v>
      </c>
      <c r="W14" s="66" t="s">
        <v>101</v>
      </c>
      <c r="X14" s="214" t="s">
        <v>101</v>
      </c>
      <c r="Y14" s="66" t="s">
        <v>101</v>
      </c>
      <c r="Z14" s="111" t="s">
        <v>130</v>
      </c>
      <c r="AA14" s="111" t="s">
        <v>22</v>
      </c>
      <c r="AB14" s="111"/>
      <c r="AC14" s="111" t="s">
        <v>101</v>
      </c>
      <c r="AD14" s="111" t="s">
        <v>101</v>
      </c>
      <c r="AE14" s="111" t="s">
        <v>89</v>
      </c>
      <c r="AF14" s="241" t="s">
        <v>103</v>
      </c>
      <c r="AG14" s="242" t="s">
        <v>89</v>
      </c>
      <c r="AH14" s="353" t="s">
        <v>101</v>
      </c>
      <c r="AI14" s="353" t="s">
        <v>101</v>
      </c>
      <c r="AJ14" s="353" t="s">
        <v>101</v>
      </c>
      <c r="AK14" s="353" t="s">
        <v>101</v>
      </c>
      <c r="AL14" s="120" t="s">
        <v>101</v>
      </c>
      <c r="AM14" s="111" t="s">
        <v>101</v>
      </c>
      <c r="AN14" s="111" t="s">
        <v>131</v>
      </c>
      <c r="AO14" s="138" t="s">
        <v>101</v>
      </c>
      <c r="AP14" s="138" t="s">
        <v>101</v>
      </c>
      <c r="AQ14" s="111"/>
      <c r="AR14" s="67"/>
      <c r="AS14" s="101"/>
      <c r="AT14" s="101"/>
      <c r="AU14" s="364"/>
      <c r="AV14" s="364"/>
      <c r="AW14" s="364"/>
      <c r="AX14" s="364"/>
      <c r="AY14" s="364"/>
      <c r="AZ14" s="364"/>
      <c r="BA14" s="364"/>
      <c r="BB14" s="364"/>
      <c r="BC14" s="364"/>
      <c r="BD14" s="41"/>
      <c r="BH14" s="214"/>
    </row>
    <row r="15" spans="1:60" s="41" customFormat="1" ht="84.75" hidden="1" customHeight="1" x14ac:dyDescent="0.2">
      <c r="A15" s="283">
        <v>4</v>
      </c>
      <c r="B15" s="247" t="s">
        <v>132</v>
      </c>
      <c r="C15" s="268" t="s">
        <v>133</v>
      </c>
      <c r="D15" s="268" t="s">
        <v>86</v>
      </c>
      <c r="E15" s="120" t="s">
        <v>28</v>
      </c>
      <c r="F15" s="120" t="s">
        <v>30</v>
      </c>
      <c r="G15" s="372">
        <v>46</v>
      </c>
      <c r="H15" s="301">
        <v>9878</v>
      </c>
      <c r="I15" s="158" t="s">
        <v>134</v>
      </c>
      <c r="J15" s="293">
        <v>45664</v>
      </c>
      <c r="K15" s="294">
        <v>0.4861111111111111</v>
      </c>
      <c r="L15" s="268" t="s">
        <v>135</v>
      </c>
      <c r="M15" s="241" t="s">
        <v>26</v>
      </c>
      <c r="N15" s="111" t="s">
        <v>89</v>
      </c>
      <c r="O15" s="66" t="s">
        <v>90</v>
      </c>
      <c r="P15" s="111" t="s">
        <v>89</v>
      </c>
      <c r="Q15" s="242" t="s">
        <v>91</v>
      </c>
      <c r="R15" s="66" t="s">
        <v>92</v>
      </c>
      <c r="S15" s="120" t="s">
        <v>93</v>
      </c>
      <c r="T15" s="66" t="s">
        <v>94</v>
      </c>
      <c r="U15" s="120"/>
      <c r="V15" s="120" t="s">
        <v>96</v>
      </c>
      <c r="W15" s="363" t="s">
        <v>97</v>
      </c>
      <c r="X15" s="330" t="s">
        <v>136</v>
      </c>
      <c r="Y15" s="66" t="s">
        <v>137</v>
      </c>
      <c r="Z15" s="111" t="s">
        <v>138</v>
      </c>
      <c r="AA15" s="66" t="s">
        <v>22</v>
      </c>
      <c r="AB15" s="260">
        <v>0</v>
      </c>
      <c r="AC15" s="111" t="s">
        <v>101</v>
      </c>
      <c r="AD15" s="111" t="s">
        <v>101</v>
      </c>
      <c r="AE15" s="111" t="s">
        <v>139</v>
      </c>
      <c r="AF15" s="241" t="s">
        <v>103</v>
      </c>
      <c r="AG15" s="242" t="s">
        <v>104</v>
      </c>
      <c r="AH15" s="353" t="s">
        <v>104</v>
      </c>
      <c r="AI15" s="353"/>
      <c r="AJ15" s="353" t="s">
        <v>104</v>
      </c>
      <c r="AK15" s="353" t="s">
        <v>104</v>
      </c>
      <c r="AL15" s="120" t="s">
        <v>140</v>
      </c>
      <c r="AM15" s="111" t="s">
        <v>92</v>
      </c>
      <c r="AN15" s="111" t="s">
        <v>106</v>
      </c>
      <c r="AO15" s="138" t="s">
        <v>141</v>
      </c>
      <c r="AP15" s="138" t="s">
        <v>108</v>
      </c>
      <c r="AQ15" s="111"/>
      <c r="AR15" s="67"/>
      <c r="AS15" s="102" t="s">
        <v>142</v>
      </c>
      <c r="AT15" s="101"/>
      <c r="AU15" s="364"/>
      <c r="AV15" s="364"/>
      <c r="AW15" s="364"/>
      <c r="AX15" s="364"/>
      <c r="AY15" s="364"/>
      <c r="AZ15" s="364"/>
      <c r="BA15" s="364"/>
      <c r="BB15" s="364" t="s">
        <v>104</v>
      </c>
      <c r="BC15" s="364"/>
      <c r="BH15" s="68"/>
    </row>
    <row r="16" spans="1:60" s="41" customFormat="1" ht="65.25" hidden="1" customHeight="1" x14ac:dyDescent="0.2">
      <c r="A16" s="283">
        <v>5</v>
      </c>
      <c r="B16" s="247" t="s">
        <v>143</v>
      </c>
      <c r="C16" s="268" t="s">
        <v>144</v>
      </c>
      <c r="D16" s="268" t="s">
        <v>111</v>
      </c>
      <c r="E16" s="120" t="s">
        <v>28</v>
      </c>
      <c r="F16" s="120" t="s">
        <v>30</v>
      </c>
      <c r="G16" s="372">
        <v>58</v>
      </c>
      <c r="H16" s="301">
        <v>561</v>
      </c>
      <c r="I16" s="248" t="s">
        <v>145</v>
      </c>
      <c r="J16" s="293">
        <v>45665</v>
      </c>
      <c r="K16" s="294">
        <v>0.52777777777777779</v>
      </c>
      <c r="L16" s="268" t="s">
        <v>88</v>
      </c>
      <c r="M16" s="241" t="s">
        <v>26</v>
      </c>
      <c r="N16" s="111" t="s">
        <v>89</v>
      </c>
      <c r="O16" s="66" t="s">
        <v>90</v>
      </c>
      <c r="P16" s="111" t="s">
        <v>89</v>
      </c>
      <c r="Q16" s="242" t="s">
        <v>91</v>
      </c>
      <c r="R16" s="66" t="s">
        <v>92</v>
      </c>
      <c r="S16" s="120" t="s">
        <v>93</v>
      </c>
      <c r="T16" s="66" t="s">
        <v>94</v>
      </c>
      <c r="U16" s="120"/>
      <c r="V16" s="120" t="s">
        <v>146</v>
      </c>
      <c r="W16" s="331" t="s">
        <v>147</v>
      </c>
      <c r="X16" s="331" t="s">
        <v>148</v>
      </c>
      <c r="Y16" s="66" t="s">
        <v>149</v>
      </c>
      <c r="Z16" s="111" t="s">
        <v>150</v>
      </c>
      <c r="AA16" s="66" t="s">
        <v>22</v>
      </c>
      <c r="AB16" s="260">
        <v>0</v>
      </c>
      <c r="AC16" s="111" t="s">
        <v>101</v>
      </c>
      <c r="AD16" s="111" t="s">
        <v>101</v>
      </c>
      <c r="AE16" s="111" t="s">
        <v>139</v>
      </c>
      <c r="AF16" s="241" t="s">
        <v>103</v>
      </c>
      <c r="AG16" s="242" t="s">
        <v>104</v>
      </c>
      <c r="AH16" s="353" t="s">
        <v>103</v>
      </c>
      <c r="AI16" s="353">
        <v>2709</v>
      </c>
      <c r="AJ16" s="353" t="s">
        <v>103</v>
      </c>
      <c r="AK16" s="353" t="s">
        <v>104</v>
      </c>
      <c r="AL16" s="120" t="s">
        <v>105</v>
      </c>
      <c r="AM16" s="111" t="s">
        <v>92</v>
      </c>
      <c r="AN16" s="111" t="s">
        <v>106</v>
      </c>
      <c r="AO16" s="138" t="s">
        <v>151</v>
      </c>
      <c r="AP16" s="138" t="s">
        <v>108</v>
      </c>
      <c r="AQ16" s="111"/>
      <c r="AR16" s="67"/>
      <c r="AS16" s="102"/>
      <c r="AT16" s="101"/>
      <c r="AU16" s="364"/>
      <c r="AV16" s="364"/>
      <c r="AW16" s="364"/>
      <c r="AX16" s="364"/>
      <c r="AY16" s="364"/>
      <c r="AZ16" s="364"/>
      <c r="BA16" s="364"/>
      <c r="BB16" s="364"/>
      <c r="BC16" s="364"/>
      <c r="BH16" s="68"/>
    </row>
    <row r="17" spans="1:60" ht="71.25" hidden="1" customHeight="1" x14ac:dyDescent="0.2">
      <c r="A17" s="283">
        <v>6</v>
      </c>
      <c r="B17" s="247" t="s">
        <v>152</v>
      </c>
      <c r="C17" s="268" t="s">
        <v>153</v>
      </c>
      <c r="D17" s="268" t="s">
        <v>111</v>
      </c>
      <c r="E17" s="120" t="s">
        <v>28</v>
      </c>
      <c r="F17" s="120" t="s">
        <v>30</v>
      </c>
      <c r="G17" s="372">
        <v>47</v>
      </c>
      <c r="H17" s="301">
        <v>605</v>
      </c>
      <c r="I17" s="158" t="s">
        <v>154</v>
      </c>
      <c r="J17" s="293">
        <v>45671</v>
      </c>
      <c r="K17" s="294">
        <v>7.6388888888888895E-2</v>
      </c>
      <c r="L17" s="268" t="s">
        <v>155</v>
      </c>
      <c r="M17" s="241" t="s">
        <v>26</v>
      </c>
      <c r="N17" s="111" t="s">
        <v>89</v>
      </c>
      <c r="O17" s="66" t="s">
        <v>90</v>
      </c>
      <c r="P17" s="111" t="s">
        <v>89</v>
      </c>
      <c r="Q17" s="242" t="s">
        <v>91</v>
      </c>
      <c r="R17" s="66" t="s">
        <v>92</v>
      </c>
      <c r="S17" s="120" t="s">
        <v>93</v>
      </c>
      <c r="T17" s="66" t="s">
        <v>89</v>
      </c>
      <c r="U17" s="120" t="s">
        <v>155</v>
      </c>
      <c r="V17" s="120" t="s">
        <v>115</v>
      </c>
      <c r="W17" s="332" t="s">
        <v>156</v>
      </c>
      <c r="X17" s="332" t="s">
        <v>157</v>
      </c>
      <c r="Y17" s="66" t="s">
        <v>158</v>
      </c>
      <c r="Z17" s="111" t="s">
        <v>130</v>
      </c>
      <c r="AA17" s="66" t="s">
        <v>24</v>
      </c>
      <c r="AB17" s="260">
        <v>0</v>
      </c>
      <c r="AC17" s="111" t="s">
        <v>101</v>
      </c>
      <c r="AD17" s="111" t="s">
        <v>101</v>
      </c>
      <c r="AE17" s="241" t="s">
        <v>102</v>
      </c>
      <c r="AF17" s="241" t="s">
        <v>103</v>
      </c>
      <c r="AG17" s="242" t="s">
        <v>104</v>
      </c>
      <c r="AH17" s="353" t="s">
        <v>104</v>
      </c>
      <c r="AI17" s="353"/>
      <c r="AJ17" s="353" t="s">
        <v>104</v>
      </c>
      <c r="AK17" s="353" t="s">
        <v>104</v>
      </c>
      <c r="AL17" s="120" t="s">
        <v>159</v>
      </c>
      <c r="AM17" s="111" t="s">
        <v>92</v>
      </c>
      <c r="AN17" s="111" t="s">
        <v>106</v>
      </c>
      <c r="AO17" s="138" t="s">
        <v>160</v>
      </c>
      <c r="AP17" s="138" t="s">
        <v>92</v>
      </c>
      <c r="AQ17" s="111"/>
      <c r="AR17" s="67"/>
      <c r="AS17" s="102" t="s">
        <v>161</v>
      </c>
      <c r="AT17" s="101"/>
      <c r="AU17" s="364"/>
      <c r="AV17" s="364"/>
      <c r="AW17" s="364"/>
      <c r="AX17" s="364" t="s">
        <v>162</v>
      </c>
      <c r="AY17" s="364"/>
      <c r="AZ17" s="364"/>
      <c r="BA17" s="364"/>
      <c r="BB17" s="364"/>
      <c r="BC17" s="364"/>
      <c r="BD17" s="41"/>
      <c r="BH17" s="68"/>
    </row>
    <row r="18" spans="1:60" ht="80.25" hidden="1" customHeight="1" x14ac:dyDescent="0.2">
      <c r="A18" s="283">
        <v>7</v>
      </c>
      <c r="B18" s="336" t="s">
        <v>163</v>
      </c>
      <c r="C18" s="120" t="s">
        <v>164</v>
      </c>
      <c r="D18" s="120" t="s">
        <v>165</v>
      </c>
      <c r="E18" s="120" t="s">
        <v>29</v>
      </c>
      <c r="F18" s="120" t="s">
        <v>30</v>
      </c>
      <c r="G18" s="287">
        <v>26</v>
      </c>
      <c r="H18" s="301">
        <v>11254</v>
      </c>
      <c r="I18" s="392" t="s">
        <v>166</v>
      </c>
      <c r="J18" s="284">
        <v>45672</v>
      </c>
      <c r="K18" s="285">
        <v>0.41666666666666669</v>
      </c>
      <c r="L18" s="120" t="s">
        <v>167</v>
      </c>
      <c r="M18" s="241" t="s">
        <v>26</v>
      </c>
      <c r="N18" s="66" t="s">
        <v>89</v>
      </c>
      <c r="O18" s="66" t="s">
        <v>90</v>
      </c>
      <c r="P18" s="111" t="s">
        <v>89</v>
      </c>
      <c r="Q18" s="242" t="s">
        <v>91</v>
      </c>
      <c r="R18" s="66" t="s">
        <v>92</v>
      </c>
      <c r="S18" s="120" t="s">
        <v>168</v>
      </c>
      <c r="T18" s="66" t="s">
        <v>94</v>
      </c>
      <c r="U18" s="120"/>
      <c r="V18" s="120" t="s">
        <v>146</v>
      </c>
      <c r="W18" s="332" t="s">
        <v>156</v>
      </c>
      <c r="X18" s="332" t="s">
        <v>169</v>
      </c>
      <c r="Y18" s="66" t="s">
        <v>170</v>
      </c>
      <c r="Z18" s="111" t="s">
        <v>150</v>
      </c>
      <c r="AA18" s="66" t="s">
        <v>22</v>
      </c>
      <c r="AB18" s="260">
        <v>0</v>
      </c>
      <c r="AC18" s="111" t="s">
        <v>101</v>
      </c>
      <c r="AD18" s="111" t="s">
        <v>101</v>
      </c>
      <c r="AE18" s="241" t="s">
        <v>119</v>
      </c>
      <c r="AF18" s="241" t="s">
        <v>103</v>
      </c>
      <c r="AG18" s="242" t="s">
        <v>104</v>
      </c>
      <c r="AH18" s="353" t="s">
        <v>103</v>
      </c>
      <c r="AI18" s="353">
        <v>2726</v>
      </c>
      <c r="AJ18" s="353" t="s">
        <v>103</v>
      </c>
      <c r="AK18" s="353" t="s">
        <v>104</v>
      </c>
      <c r="AL18" s="120" t="s">
        <v>140</v>
      </c>
      <c r="AM18" s="111" t="s">
        <v>92</v>
      </c>
      <c r="AN18" s="111" t="s">
        <v>106</v>
      </c>
      <c r="AO18" s="138" t="s">
        <v>171</v>
      </c>
      <c r="AP18" s="138" t="s">
        <v>92</v>
      </c>
      <c r="AQ18" s="111"/>
      <c r="AR18" s="67"/>
      <c r="AS18" s="102" t="s">
        <v>172</v>
      </c>
      <c r="AT18" s="101"/>
      <c r="AU18" s="364"/>
      <c r="AV18" s="364"/>
      <c r="AW18" s="364"/>
      <c r="AX18" s="364" t="s">
        <v>30</v>
      </c>
      <c r="AY18" s="364"/>
      <c r="AZ18" s="364"/>
      <c r="BA18" s="364"/>
      <c r="BB18" s="364"/>
      <c r="BC18" s="364"/>
      <c r="BD18" s="41"/>
      <c r="BH18" s="68"/>
    </row>
    <row r="19" spans="1:60" ht="63.75" hidden="1" customHeight="1" x14ac:dyDescent="0.2">
      <c r="A19" s="283">
        <v>8</v>
      </c>
      <c r="B19" s="336" t="s">
        <v>173</v>
      </c>
      <c r="C19" s="120" t="s">
        <v>174</v>
      </c>
      <c r="D19" s="120" t="s">
        <v>175</v>
      </c>
      <c r="E19" s="332" t="s">
        <v>27</v>
      </c>
      <c r="F19" s="120" t="s">
        <v>30</v>
      </c>
      <c r="G19" s="287">
        <v>34</v>
      </c>
      <c r="H19" s="301">
        <v>10840</v>
      </c>
      <c r="I19" s="392" t="s">
        <v>176</v>
      </c>
      <c r="J19" s="284">
        <v>45674</v>
      </c>
      <c r="K19" s="285">
        <v>0.49513888888888891</v>
      </c>
      <c r="L19" s="120"/>
      <c r="M19" s="241" t="s">
        <v>177</v>
      </c>
      <c r="N19" s="66" t="s">
        <v>89</v>
      </c>
      <c r="O19" s="66" t="s">
        <v>90</v>
      </c>
      <c r="P19" s="111" t="s">
        <v>89</v>
      </c>
      <c r="Q19" s="242" t="s">
        <v>91</v>
      </c>
      <c r="R19" s="66" t="s">
        <v>92</v>
      </c>
      <c r="S19" s="120" t="s">
        <v>128</v>
      </c>
      <c r="T19" s="66" t="s">
        <v>89</v>
      </c>
      <c r="U19" s="120"/>
      <c r="V19" s="120" t="s">
        <v>178</v>
      </c>
      <c r="W19" s="332" t="s">
        <v>179</v>
      </c>
      <c r="X19" s="332" t="s">
        <v>180</v>
      </c>
      <c r="Y19" s="66" t="s">
        <v>181</v>
      </c>
      <c r="Z19" s="111" t="s">
        <v>100</v>
      </c>
      <c r="AA19" s="66" t="s">
        <v>22</v>
      </c>
      <c r="AB19" s="260">
        <v>0</v>
      </c>
      <c r="AC19" s="111" t="s">
        <v>101</v>
      </c>
      <c r="AD19" s="111" t="s">
        <v>101</v>
      </c>
      <c r="AE19" s="111" t="s">
        <v>89</v>
      </c>
      <c r="AF19" s="241" t="s">
        <v>104</v>
      </c>
      <c r="AG19" s="242" t="s">
        <v>104</v>
      </c>
      <c r="AH19" s="353" t="s">
        <v>104</v>
      </c>
      <c r="AI19" s="353"/>
      <c r="AJ19" s="353" t="s">
        <v>104</v>
      </c>
      <c r="AK19" s="353" t="s">
        <v>104</v>
      </c>
      <c r="AL19" s="120" t="s">
        <v>105</v>
      </c>
      <c r="AM19" s="111" t="s">
        <v>92</v>
      </c>
      <c r="AN19" s="111" t="s">
        <v>106</v>
      </c>
      <c r="AO19" s="163" t="s">
        <v>182</v>
      </c>
      <c r="AP19" s="138"/>
      <c r="AQ19" s="111"/>
      <c r="AR19" s="67"/>
      <c r="AS19" s="102"/>
      <c r="AT19" s="101"/>
      <c r="AU19" s="364"/>
      <c r="AV19" s="364"/>
      <c r="AW19" s="364"/>
      <c r="AX19" s="364" t="s">
        <v>183</v>
      </c>
      <c r="AY19" s="364"/>
      <c r="AZ19" s="364"/>
      <c r="BA19" s="364"/>
      <c r="BB19" s="364"/>
      <c r="BC19" s="364"/>
      <c r="BD19" s="41"/>
      <c r="BH19" s="68"/>
    </row>
    <row r="20" spans="1:60" ht="112.5" hidden="1" customHeight="1" x14ac:dyDescent="0.2">
      <c r="A20" s="283">
        <v>9</v>
      </c>
      <c r="B20" s="333" t="s">
        <v>184</v>
      </c>
      <c r="C20" s="332" t="s">
        <v>185</v>
      </c>
      <c r="D20" s="332" t="s">
        <v>111</v>
      </c>
      <c r="E20" s="332" t="s">
        <v>27</v>
      </c>
      <c r="F20" s="332" t="s">
        <v>30</v>
      </c>
      <c r="G20" s="373">
        <v>38</v>
      </c>
      <c r="H20" s="301">
        <v>9897</v>
      </c>
      <c r="I20" s="393" t="s">
        <v>186</v>
      </c>
      <c r="J20" s="293">
        <v>45675</v>
      </c>
      <c r="K20" s="335">
        <v>0.4375</v>
      </c>
      <c r="L20" s="332" t="s">
        <v>88</v>
      </c>
      <c r="M20" s="241" t="s">
        <v>26</v>
      </c>
      <c r="N20" s="66" t="s">
        <v>89</v>
      </c>
      <c r="O20" s="66" t="s">
        <v>90</v>
      </c>
      <c r="P20" s="111" t="s">
        <v>89</v>
      </c>
      <c r="Q20" s="242" t="s">
        <v>91</v>
      </c>
      <c r="R20" s="66" t="s">
        <v>92</v>
      </c>
      <c r="S20" s="120" t="s">
        <v>93</v>
      </c>
      <c r="T20" s="66" t="s">
        <v>94</v>
      </c>
      <c r="U20" s="120"/>
      <c r="V20" s="120" t="s">
        <v>115</v>
      </c>
      <c r="W20" s="332" t="s">
        <v>187</v>
      </c>
      <c r="X20" s="332" t="s">
        <v>157</v>
      </c>
      <c r="Y20" s="66" t="s">
        <v>188</v>
      </c>
      <c r="Z20" s="111" t="s">
        <v>189</v>
      </c>
      <c r="AA20" s="66" t="s">
        <v>22</v>
      </c>
      <c r="AB20" s="260">
        <v>0</v>
      </c>
      <c r="AC20" s="260" t="s">
        <v>101</v>
      </c>
      <c r="AD20" s="111" t="s">
        <v>101</v>
      </c>
      <c r="AE20" s="111" t="s">
        <v>139</v>
      </c>
      <c r="AF20" s="241" t="s">
        <v>103</v>
      </c>
      <c r="AG20" s="242" t="s">
        <v>103</v>
      </c>
      <c r="AH20" s="353" t="s">
        <v>103</v>
      </c>
      <c r="AI20" s="353">
        <v>2730</v>
      </c>
      <c r="AJ20" s="353" t="s">
        <v>103</v>
      </c>
      <c r="AK20" s="353" t="s">
        <v>103</v>
      </c>
      <c r="AL20" s="120" t="s">
        <v>105</v>
      </c>
      <c r="AM20" s="260" t="s">
        <v>92</v>
      </c>
      <c r="AN20" s="111" t="s">
        <v>106</v>
      </c>
      <c r="AO20" s="138" t="s">
        <v>151</v>
      </c>
      <c r="AP20" s="138" t="s">
        <v>92</v>
      </c>
      <c r="AQ20" s="111"/>
      <c r="AR20" s="67"/>
      <c r="AS20" s="102" t="s">
        <v>190</v>
      </c>
      <c r="AT20" s="365" t="s">
        <v>22</v>
      </c>
      <c r="AU20" s="364"/>
      <c r="AV20" s="364"/>
      <c r="AW20" s="364"/>
      <c r="AX20" s="364"/>
      <c r="AY20" s="364"/>
      <c r="AZ20" s="364"/>
      <c r="BA20" s="364"/>
      <c r="BB20" s="364"/>
      <c r="BC20" s="364"/>
      <c r="BD20" s="41"/>
      <c r="BH20" s="68"/>
    </row>
    <row r="21" spans="1:60" s="82" customFormat="1" ht="87" hidden="1" customHeight="1" x14ac:dyDescent="0.2">
      <c r="A21" s="283">
        <v>10</v>
      </c>
      <c r="B21" s="333" t="s">
        <v>191</v>
      </c>
      <c r="C21" s="332" t="s">
        <v>192</v>
      </c>
      <c r="D21" s="332" t="s">
        <v>86</v>
      </c>
      <c r="E21" s="332" t="s">
        <v>28</v>
      </c>
      <c r="F21" s="332" t="s">
        <v>30</v>
      </c>
      <c r="G21" s="373">
        <v>46</v>
      </c>
      <c r="H21" s="301">
        <v>9889</v>
      </c>
      <c r="I21" s="393" t="s">
        <v>193</v>
      </c>
      <c r="J21" s="293">
        <v>45675</v>
      </c>
      <c r="K21" s="335">
        <v>0.72569444444444442</v>
      </c>
      <c r="L21" s="332" t="s">
        <v>194</v>
      </c>
      <c r="M21" s="241" t="s">
        <v>26</v>
      </c>
      <c r="N21" s="66" t="s">
        <v>89</v>
      </c>
      <c r="O21" s="66" t="s">
        <v>90</v>
      </c>
      <c r="P21" s="111" t="s">
        <v>89</v>
      </c>
      <c r="Q21" s="242" t="s">
        <v>91</v>
      </c>
      <c r="R21" s="66" t="s">
        <v>92</v>
      </c>
      <c r="S21" s="120" t="s">
        <v>93</v>
      </c>
      <c r="T21" s="66" t="s">
        <v>94</v>
      </c>
      <c r="U21" s="120"/>
      <c r="V21" s="120" t="s">
        <v>96</v>
      </c>
      <c r="W21" s="332" t="s">
        <v>195</v>
      </c>
      <c r="X21" s="332" t="s">
        <v>196</v>
      </c>
      <c r="Y21" s="66" t="s">
        <v>137</v>
      </c>
      <c r="Z21" s="111" t="s">
        <v>189</v>
      </c>
      <c r="AA21" s="66" t="s">
        <v>23</v>
      </c>
      <c r="AB21" s="260">
        <v>0</v>
      </c>
      <c r="AC21" s="111" t="s">
        <v>101</v>
      </c>
      <c r="AD21" s="111" t="s">
        <v>101</v>
      </c>
      <c r="AE21" s="111" t="s">
        <v>102</v>
      </c>
      <c r="AF21" s="241" t="s">
        <v>103</v>
      </c>
      <c r="AG21" s="242" t="s">
        <v>104</v>
      </c>
      <c r="AH21" s="353" t="s">
        <v>103</v>
      </c>
      <c r="AI21" s="353">
        <v>2732</v>
      </c>
      <c r="AJ21" s="353" t="s">
        <v>103</v>
      </c>
      <c r="AK21" s="353" t="s">
        <v>104</v>
      </c>
      <c r="AL21" s="163" t="s">
        <v>197</v>
      </c>
      <c r="AM21" s="260" t="s">
        <v>198</v>
      </c>
      <c r="AN21" s="111" t="s">
        <v>106</v>
      </c>
      <c r="AO21" s="163" t="s">
        <v>199</v>
      </c>
      <c r="AP21" s="139" t="s">
        <v>108</v>
      </c>
      <c r="AQ21" s="111"/>
      <c r="AR21" s="81"/>
      <c r="AS21" s="102" t="s">
        <v>200</v>
      </c>
      <c r="AT21" s="102"/>
      <c r="AU21" s="364"/>
      <c r="AV21" s="364"/>
      <c r="AW21" s="364"/>
      <c r="AX21" s="364"/>
      <c r="AY21" s="364"/>
      <c r="AZ21" s="364"/>
      <c r="BA21" s="364"/>
      <c r="BB21" s="364"/>
      <c r="BC21" s="364"/>
      <c r="BH21" s="98"/>
    </row>
    <row r="22" spans="1:60" s="82" customFormat="1" ht="99.75" hidden="1" customHeight="1" x14ac:dyDescent="0.2">
      <c r="A22" s="283">
        <v>11</v>
      </c>
      <c r="B22" s="334" t="s">
        <v>201</v>
      </c>
      <c r="C22" s="332" t="s">
        <v>202</v>
      </c>
      <c r="D22" s="332" t="s">
        <v>203</v>
      </c>
      <c r="E22" s="332" t="s">
        <v>28</v>
      </c>
      <c r="F22" s="332" t="s">
        <v>30</v>
      </c>
      <c r="G22" s="287">
        <v>55</v>
      </c>
      <c r="H22" s="301">
        <v>1291</v>
      </c>
      <c r="I22" s="393" t="s">
        <v>204</v>
      </c>
      <c r="J22" s="350">
        <v>45677</v>
      </c>
      <c r="K22" s="351">
        <v>0.35069444444444442</v>
      </c>
      <c r="L22" s="349" t="s">
        <v>205</v>
      </c>
      <c r="M22" s="241" t="s">
        <v>206</v>
      </c>
      <c r="N22" s="66" t="s">
        <v>207</v>
      </c>
      <c r="O22" s="66" t="s">
        <v>90</v>
      </c>
      <c r="P22" s="111" t="s">
        <v>89</v>
      </c>
      <c r="Q22" s="242" t="s">
        <v>91</v>
      </c>
      <c r="R22" s="66" t="s">
        <v>92</v>
      </c>
      <c r="S22" s="120" t="s">
        <v>93</v>
      </c>
      <c r="T22" s="66" t="s">
        <v>89</v>
      </c>
      <c r="U22" s="120" t="s">
        <v>208</v>
      </c>
      <c r="V22" s="120" t="s">
        <v>209</v>
      </c>
      <c r="W22" s="349" t="s">
        <v>210</v>
      </c>
      <c r="X22" s="349" t="s">
        <v>211</v>
      </c>
      <c r="Y22" s="111" t="s">
        <v>212</v>
      </c>
      <c r="Z22" s="111" t="s">
        <v>130</v>
      </c>
      <c r="AA22" s="66" t="s">
        <v>22</v>
      </c>
      <c r="AB22" s="260">
        <v>0</v>
      </c>
      <c r="AC22" s="260">
        <v>0.25</v>
      </c>
      <c r="AD22" s="111">
        <v>2</v>
      </c>
      <c r="AE22" s="111" t="s">
        <v>213</v>
      </c>
      <c r="AF22" s="241" t="s">
        <v>103</v>
      </c>
      <c r="AG22" s="242" t="s">
        <v>104</v>
      </c>
      <c r="AH22" s="353" t="s">
        <v>103</v>
      </c>
      <c r="AI22" s="352">
        <v>2740</v>
      </c>
      <c r="AJ22" s="353" t="s">
        <v>103</v>
      </c>
      <c r="AK22" s="353" t="s">
        <v>103</v>
      </c>
      <c r="AL22" s="120" t="s">
        <v>159</v>
      </c>
      <c r="AM22" s="260" t="s">
        <v>92</v>
      </c>
      <c r="AN22" s="111" t="s">
        <v>106</v>
      </c>
      <c r="AO22" s="163" t="s">
        <v>214</v>
      </c>
      <c r="AP22" s="138"/>
      <c r="AQ22" s="111"/>
      <c r="AR22" s="81"/>
      <c r="AS22" s="102" t="s">
        <v>215</v>
      </c>
      <c r="AT22" s="365" t="s">
        <v>24</v>
      </c>
      <c r="AU22" s="364"/>
      <c r="AV22" s="364"/>
      <c r="AW22" s="364"/>
      <c r="AX22" s="364"/>
      <c r="AY22" s="364"/>
      <c r="AZ22" s="364"/>
      <c r="BA22" s="364"/>
      <c r="BB22" s="364"/>
      <c r="BC22" s="364"/>
      <c r="BH22" s="98"/>
    </row>
    <row r="23" spans="1:60" s="82" customFormat="1" ht="71.25" hidden="1" customHeight="1" x14ac:dyDescent="0.2">
      <c r="A23" s="283">
        <v>12</v>
      </c>
      <c r="B23" s="333" t="s">
        <v>216</v>
      </c>
      <c r="C23" s="332" t="s">
        <v>217</v>
      </c>
      <c r="D23" s="332" t="s">
        <v>111</v>
      </c>
      <c r="E23" s="332" t="s">
        <v>28</v>
      </c>
      <c r="F23" s="332" t="s">
        <v>30</v>
      </c>
      <c r="G23" s="373">
        <v>40</v>
      </c>
      <c r="H23" s="332">
        <v>1021</v>
      </c>
      <c r="I23" s="248" t="s">
        <v>218</v>
      </c>
      <c r="J23" s="350">
        <v>45678</v>
      </c>
      <c r="K23" s="335">
        <v>0.10833333333333334</v>
      </c>
      <c r="L23" s="120" t="s">
        <v>155</v>
      </c>
      <c r="M23" s="241" t="s">
        <v>26</v>
      </c>
      <c r="N23" s="66" t="s">
        <v>89</v>
      </c>
      <c r="O23" s="66" t="s">
        <v>90</v>
      </c>
      <c r="P23" s="111" t="s">
        <v>89</v>
      </c>
      <c r="Q23" s="242" t="s">
        <v>91</v>
      </c>
      <c r="R23" s="260" t="s">
        <v>92</v>
      </c>
      <c r="S23" s="120" t="s">
        <v>93</v>
      </c>
      <c r="T23" s="66" t="s">
        <v>89</v>
      </c>
      <c r="U23" s="120" t="s">
        <v>155</v>
      </c>
      <c r="V23" s="120" t="s">
        <v>146</v>
      </c>
      <c r="W23" s="332" t="s">
        <v>156</v>
      </c>
      <c r="X23" s="332" t="s">
        <v>157</v>
      </c>
      <c r="Y23" s="66" t="s">
        <v>158</v>
      </c>
      <c r="Z23" s="111" t="s">
        <v>138</v>
      </c>
      <c r="AA23" s="66" t="s">
        <v>24</v>
      </c>
      <c r="AB23" s="260">
        <v>0</v>
      </c>
      <c r="AC23" s="111">
        <v>0.5</v>
      </c>
      <c r="AD23" s="111" t="s">
        <v>101</v>
      </c>
      <c r="AE23" s="111" t="s">
        <v>102</v>
      </c>
      <c r="AF23" s="241" t="s">
        <v>103</v>
      </c>
      <c r="AG23" s="242" t="s">
        <v>104</v>
      </c>
      <c r="AH23" s="353" t="s">
        <v>104</v>
      </c>
      <c r="AI23" s="353"/>
      <c r="AJ23" s="353" t="s">
        <v>104</v>
      </c>
      <c r="AK23" s="353" t="s">
        <v>104</v>
      </c>
      <c r="AL23" s="260" t="s">
        <v>219</v>
      </c>
      <c r="AM23" s="260" t="s">
        <v>92</v>
      </c>
      <c r="AN23" s="111" t="s">
        <v>106</v>
      </c>
      <c r="AO23" s="138" t="s">
        <v>220</v>
      </c>
      <c r="AP23" s="138" t="s">
        <v>108</v>
      </c>
      <c r="AQ23" s="111"/>
      <c r="AR23" s="81"/>
      <c r="AS23" s="103" t="s">
        <v>221</v>
      </c>
      <c r="AT23" s="101"/>
      <c r="AU23" s="364"/>
      <c r="AV23" s="364"/>
      <c r="AW23" s="364"/>
      <c r="AX23" s="364"/>
      <c r="AY23" s="364"/>
      <c r="AZ23" s="364"/>
      <c r="BA23" s="364"/>
      <c r="BB23" s="364"/>
      <c r="BC23" s="364"/>
      <c r="BH23" s="98"/>
    </row>
    <row r="24" spans="1:60" s="82" customFormat="1" ht="50.25" hidden="1" customHeight="1" x14ac:dyDescent="0.2">
      <c r="A24" s="283">
        <v>13</v>
      </c>
      <c r="B24" s="219" t="s">
        <v>222</v>
      </c>
      <c r="C24" s="120" t="s">
        <v>223</v>
      </c>
      <c r="D24" s="286" t="s">
        <v>175</v>
      </c>
      <c r="E24" s="332" t="s">
        <v>28</v>
      </c>
      <c r="F24" s="332" t="s">
        <v>30</v>
      </c>
      <c r="G24" s="287">
        <v>56</v>
      </c>
      <c r="H24" s="301">
        <v>1021</v>
      </c>
      <c r="I24" s="392" t="s">
        <v>224</v>
      </c>
      <c r="J24" s="284">
        <v>45680</v>
      </c>
      <c r="K24" s="285">
        <v>0.45833333333333331</v>
      </c>
      <c r="L24" s="120"/>
      <c r="M24" s="241" t="s">
        <v>11</v>
      </c>
      <c r="N24" s="66" t="s">
        <v>207</v>
      </c>
      <c r="O24" s="66" t="s">
        <v>90</v>
      </c>
      <c r="P24" s="111" t="s">
        <v>89</v>
      </c>
      <c r="Q24" s="242" t="s">
        <v>225</v>
      </c>
      <c r="R24" s="260" t="s">
        <v>92</v>
      </c>
      <c r="S24" s="120" t="s">
        <v>93</v>
      </c>
      <c r="T24" s="66" t="s">
        <v>94</v>
      </c>
      <c r="U24" s="120"/>
      <c r="V24" s="120" t="s">
        <v>226</v>
      </c>
      <c r="W24" s="332" t="s">
        <v>227</v>
      </c>
      <c r="X24" s="120" t="s">
        <v>228</v>
      </c>
      <c r="Y24" s="66" t="s">
        <v>229</v>
      </c>
      <c r="Z24" s="111" t="s">
        <v>230</v>
      </c>
      <c r="AA24" s="66" t="s">
        <v>22</v>
      </c>
      <c r="AB24" s="260">
        <v>0</v>
      </c>
      <c r="AC24" s="260" t="s">
        <v>101</v>
      </c>
      <c r="AD24" s="111" t="s">
        <v>101</v>
      </c>
      <c r="AE24" s="111" t="s">
        <v>89</v>
      </c>
      <c r="AF24" s="241" t="s">
        <v>103</v>
      </c>
      <c r="AG24" s="242" t="s">
        <v>104</v>
      </c>
      <c r="AH24" s="353" t="s">
        <v>103</v>
      </c>
      <c r="AI24" s="353">
        <v>2755</v>
      </c>
      <c r="AJ24" s="353" t="s">
        <v>103</v>
      </c>
      <c r="AK24" s="353" t="s">
        <v>103</v>
      </c>
      <c r="AL24" s="260" t="s">
        <v>159</v>
      </c>
      <c r="AM24" s="260" t="s">
        <v>92</v>
      </c>
      <c r="AN24" s="111" t="s">
        <v>106</v>
      </c>
      <c r="AO24" s="138" t="s">
        <v>182</v>
      </c>
      <c r="AP24" s="138"/>
      <c r="AQ24" s="111"/>
      <c r="AR24" s="81"/>
      <c r="AS24" s="104" t="s">
        <v>231</v>
      </c>
      <c r="AT24" s="101"/>
      <c r="AU24" s="364"/>
      <c r="AV24" s="364"/>
      <c r="AW24" s="364"/>
      <c r="AX24" s="364"/>
      <c r="AY24" s="364"/>
      <c r="AZ24" s="364"/>
      <c r="BA24" s="364"/>
      <c r="BB24" s="364"/>
      <c r="BC24" s="364"/>
      <c r="BH24" s="98"/>
    </row>
    <row r="25" spans="1:60" s="82" customFormat="1" ht="63" hidden="1" customHeight="1" x14ac:dyDescent="0.2">
      <c r="A25" s="283">
        <v>14</v>
      </c>
      <c r="B25" s="219" t="s">
        <v>232</v>
      </c>
      <c r="C25" s="120" t="s">
        <v>233</v>
      </c>
      <c r="D25" s="120" t="s">
        <v>111</v>
      </c>
      <c r="E25" s="332" t="s">
        <v>28</v>
      </c>
      <c r="F25" s="332" t="s">
        <v>30</v>
      </c>
      <c r="G25" s="287">
        <v>43</v>
      </c>
      <c r="H25" s="301">
        <v>9888</v>
      </c>
      <c r="I25" s="392" t="s">
        <v>234</v>
      </c>
      <c r="J25" s="284">
        <v>45680</v>
      </c>
      <c r="K25" s="285">
        <v>0.80555555555555558</v>
      </c>
      <c r="L25" s="120" t="s">
        <v>235</v>
      </c>
      <c r="M25" s="241" t="s">
        <v>26</v>
      </c>
      <c r="N25" s="66" t="s">
        <v>89</v>
      </c>
      <c r="O25" s="66" t="s">
        <v>90</v>
      </c>
      <c r="P25" s="111" t="s">
        <v>89</v>
      </c>
      <c r="Q25" s="242" t="s">
        <v>91</v>
      </c>
      <c r="R25" s="260" t="s">
        <v>92</v>
      </c>
      <c r="S25" s="120" t="s">
        <v>93</v>
      </c>
      <c r="T25" s="66" t="s">
        <v>94</v>
      </c>
      <c r="U25" s="120"/>
      <c r="V25" s="120" t="s">
        <v>236</v>
      </c>
      <c r="W25" s="332" t="s">
        <v>156</v>
      </c>
      <c r="X25" s="120" t="s">
        <v>237</v>
      </c>
      <c r="Y25" s="66" t="s">
        <v>157</v>
      </c>
      <c r="Z25" s="111" t="s">
        <v>230</v>
      </c>
      <c r="AA25" s="66" t="s">
        <v>23</v>
      </c>
      <c r="AB25" s="260">
        <v>0</v>
      </c>
      <c r="AC25" s="260" t="s">
        <v>101</v>
      </c>
      <c r="AD25" s="111" t="s">
        <v>101</v>
      </c>
      <c r="AE25" s="111" t="s">
        <v>139</v>
      </c>
      <c r="AF25" s="241" t="s">
        <v>103</v>
      </c>
      <c r="AG25" s="242" t="s">
        <v>104</v>
      </c>
      <c r="AH25" s="353" t="s">
        <v>104</v>
      </c>
      <c r="AI25" s="353"/>
      <c r="AJ25" s="353" t="s">
        <v>104</v>
      </c>
      <c r="AK25" s="353" t="s">
        <v>104</v>
      </c>
      <c r="AL25" s="260" t="s">
        <v>219</v>
      </c>
      <c r="AM25" s="260" t="s">
        <v>92</v>
      </c>
      <c r="AN25" s="111" t="s">
        <v>106</v>
      </c>
      <c r="AO25" s="138" t="s">
        <v>238</v>
      </c>
      <c r="AP25" s="138" t="s">
        <v>108</v>
      </c>
      <c r="AQ25" s="111"/>
      <c r="AR25" s="81"/>
      <c r="AS25" s="104" t="s">
        <v>231</v>
      </c>
      <c r="AT25" s="101"/>
      <c r="AU25" s="364"/>
      <c r="AV25" s="364"/>
      <c r="AW25" s="364"/>
      <c r="AX25" s="364"/>
      <c r="AY25" s="364"/>
      <c r="AZ25" s="364"/>
      <c r="BA25" s="364"/>
      <c r="BB25" s="364"/>
      <c r="BC25" s="364"/>
      <c r="BH25" s="98"/>
    </row>
    <row r="26" spans="1:60" ht="69.75" hidden="1" customHeight="1" x14ac:dyDescent="0.2">
      <c r="A26" s="283">
        <v>15</v>
      </c>
      <c r="B26" s="219" t="s">
        <v>239</v>
      </c>
      <c r="C26" s="287" t="s">
        <v>240</v>
      </c>
      <c r="D26" s="288" t="s">
        <v>86</v>
      </c>
      <c r="E26" s="289" t="s">
        <v>28</v>
      </c>
      <c r="F26" s="120" t="s">
        <v>30</v>
      </c>
      <c r="G26" s="287">
        <v>58</v>
      </c>
      <c r="H26" s="301">
        <v>4034</v>
      </c>
      <c r="I26" s="158" t="s">
        <v>241</v>
      </c>
      <c r="J26" s="284">
        <v>45684</v>
      </c>
      <c r="K26" s="285">
        <v>0.71180555555555558</v>
      </c>
      <c r="L26" s="268" t="s">
        <v>242</v>
      </c>
      <c r="M26" s="241" t="s">
        <v>206</v>
      </c>
      <c r="N26" s="66" t="s">
        <v>243</v>
      </c>
      <c r="O26" s="66" t="s">
        <v>90</v>
      </c>
      <c r="P26" s="111" t="s">
        <v>89</v>
      </c>
      <c r="Q26" s="263" t="s">
        <v>91</v>
      </c>
      <c r="R26" s="260" t="s">
        <v>92</v>
      </c>
      <c r="S26" s="120" t="s">
        <v>93</v>
      </c>
      <c r="T26" s="66" t="s">
        <v>89</v>
      </c>
      <c r="U26" s="120" t="s">
        <v>244</v>
      </c>
      <c r="V26" s="120" t="s">
        <v>245</v>
      </c>
      <c r="W26" s="120" t="s">
        <v>246</v>
      </c>
      <c r="X26" s="120" t="s">
        <v>247</v>
      </c>
      <c r="Y26" s="66" t="s">
        <v>248</v>
      </c>
      <c r="Z26" s="111" t="s">
        <v>130</v>
      </c>
      <c r="AA26" s="66" t="s">
        <v>23</v>
      </c>
      <c r="AB26" s="260">
        <v>0</v>
      </c>
      <c r="AC26" s="260">
        <v>0</v>
      </c>
      <c r="AD26" s="111">
        <v>0.5</v>
      </c>
      <c r="AE26" s="111" t="s">
        <v>102</v>
      </c>
      <c r="AF26" s="241" t="s">
        <v>103</v>
      </c>
      <c r="AG26" s="242" t="s">
        <v>104</v>
      </c>
      <c r="AH26" s="353" t="s">
        <v>103</v>
      </c>
      <c r="AI26" s="353">
        <v>2753</v>
      </c>
      <c r="AJ26" s="353" t="s">
        <v>103</v>
      </c>
      <c r="AK26" s="353" t="s">
        <v>103</v>
      </c>
      <c r="AL26" s="260" t="s">
        <v>105</v>
      </c>
      <c r="AM26" s="260" t="s">
        <v>92</v>
      </c>
      <c r="AN26" s="111" t="s">
        <v>106</v>
      </c>
      <c r="AO26" s="138" t="s">
        <v>249</v>
      </c>
      <c r="AP26" s="138" t="s">
        <v>108</v>
      </c>
      <c r="AQ26" s="111"/>
      <c r="AR26" s="67"/>
      <c r="AS26" s="102" t="s">
        <v>250</v>
      </c>
      <c r="AT26" s="101" t="s">
        <v>128</v>
      </c>
      <c r="AU26" s="364"/>
      <c r="AV26" s="364"/>
      <c r="AW26" s="364"/>
      <c r="AX26" s="364"/>
      <c r="AY26" s="364"/>
      <c r="AZ26" s="364"/>
      <c r="BA26" s="364"/>
      <c r="BB26" s="364"/>
      <c r="BC26" s="364"/>
    </row>
    <row r="27" spans="1:60" ht="66.75" hidden="1" customHeight="1" x14ac:dyDescent="0.2">
      <c r="A27" s="283">
        <v>16</v>
      </c>
      <c r="B27" s="219" t="s">
        <v>251</v>
      </c>
      <c r="C27" s="120" t="s">
        <v>252</v>
      </c>
      <c r="D27" s="271" t="s">
        <v>111</v>
      </c>
      <c r="E27" s="120" t="s">
        <v>28</v>
      </c>
      <c r="F27" s="120" t="s">
        <v>30</v>
      </c>
      <c r="G27" s="287">
        <v>48</v>
      </c>
      <c r="H27" s="301">
        <v>688</v>
      </c>
      <c r="I27" s="158" t="s">
        <v>253</v>
      </c>
      <c r="J27" s="284">
        <v>45684</v>
      </c>
      <c r="K27" s="285">
        <v>0.78125</v>
      </c>
      <c r="L27" s="268" t="s">
        <v>254</v>
      </c>
      <c r="M27" s="242" t="s">
        <v>206</v>
      </c>
      <c r="N27" s="66" t="s">
        <v>207</v>
      </c>
      <c r="O27" s="66" t="s">
        <v>90</v>
      </c>
      <c r="P27" s="111" t="s">
        <v>89</v>
      </c>
      <c r="Q27" s="263" t="s">
        <v>91</v>
      </c>
      <c r="R27" s="260" t="s">
        <v>92</v>
      </c>
      <c r="S27" s="120" t="s">
        <v>93</v>
      </c>
      <c r="T27" s="66" t="s">
        <v>89</v>
      </c>
      <c r="U27" s="120" t="s">
        <v>244</v>
      </c>
      <c r="V27" s="120" t="s">
        <v>255</v>
      </c>
      <c r="W27" s="120" t="s">
        <v>256</v>
      </c>
      <c r="X27" s="120" t="s">
        <v>257</v>
      </c>
      <c r="Y27" s="120" t="s">
        <v>257</v>
      </c>
      <c r="Z27" s="111" t="s">
        <v>130</v>
      </c>
      <c r="AA27" s="66" t="s">
        <v>23</v>
      </c>
      <c r="AB27" s="260">
        <v>0</v>
      </c>
      <c r="AC27" s="260" t="s">
        <v>258</v>
      </c>
      <c r="AD27" s="111">
        <v>6</v>
      </c>
      <c r="AE27" s="111" t="s">
        <v>213</v>
      </c>
      <c r="AF27" s="241" t="s">
        <v>103</v>
      </c>
      <c r="AG27" s="242" t="s">
        <v>104</v>
      </c>
      <c r="AH27" s="353" t="s">
        <v>104</v>
      </c>
      <c r="AI27" s="353"/>
      <c r="AJ27" s="353" t="s">
        <v>104</v>
      </c>
      <c r="AK27" s="353" t="s">
        <v>104</v>
      </c>
      <c r="AL27" s="260" t="s">
        <v>259</v>
      </c>
      <c r="AM27" s="260" t="s">
        <v>92</v>
      </c>
      <c r="AN27" s="111" t="s">
        <v>106</v>
      </c>
      <c r="AO27" s="138" t="s">
        <v>260</v>
      </c>
      <c r="AP27" s="138" t="s">
        <v>108</v>
      </c>
      <c r="AQ27" s="111"/>
      <c r="AR27" s="67"/>
      <c r="AS27" s="102" t="s">
        <v>261</v>
      </c>
      <c r="AT27" s="101" t="s">
        <v>168</v>
      </c>
      <c r="AU27" s="364"/>
      <c r="AV27" s="364"/>
      <c r="AW27" s="364"/>
      <c r="AX27" s="364"/>
      <c r="AY27" s="364"/>
      <c r="AZ27" s="364"/>
      <c r="BA27" s="364"/>
      <c r="BB27" s="364"/>
      <c r="BC27" s="364"/>
    </row>
    <row r="28" spans="1:60" ht="137.25" hidden="1" customHeight="1" x14ac:dyDescent="0.2">
      <c r="A28" s="283">
        <v>17</v>
      </c>
      <c r="B28" s="219" t="s">
        <v>262</v>
      </c>
      <c r="C28" s="120" t="s">
        <v>263</v>
      </c>
      <c r="D28" s="120" t="s">
        <v>111</v>
      </c>
      <c r="E28" s="120" t="s">
        <v>28</v>
      </c>
      <c r="F28" s="120" t="s">
        <v>30</v>
      </c>
      <c r="G28" s="287">
        <v>33</v>
      </c>
      <c r="H28" s="301">
        <v>567</v>
      </c>
      <c r="I28" s="392" t="s">
        <v>264</v>
      </c>
      <c r="J28" s="284">
        <v>45685</v>
      </c>
      <c r="K28" s="285">
        <v>0.55555555555555558</v>
      </c>
      <c r="L28" s="120" t="s">
        <v>265</v>
      </c>
      <c r="M28" s="241" t="s">
        <v>25</v>
      </c>
      <c r="N28" s="66" t="s">
        <v>207</v>
      </c>
      <c r="O28" s="66" t="s">
        <v>90</v>
      </c>
      <c r="P28" s="111" t="s">
        <v>89</v>
      </c>
      <c r="Q28" s="263" t="s">
        <v>91</v>
      </c>
      <c r="R28" s="260" t="s">
        <v>92</v>
      </c>
      <c r="S28" s="120" t="s">
        <v>93</v>
      </c>
      <c r="T28" s="66" t="s">
        <v>94</v>
      </c>
      <c r="U28" s="120"/>
      <c r="V28" s="120" t="s">
        <v>115</v>
      </c>
      <c r="W28" s="120" t="s">
        <v>266</v>
      </c>
      <c r="X28" s="120" t="s">
        <v>267</v>
      </c>
      <c r="Y28" s="120" t="s">
        <v>268</v>
      </c>
      <c r="Z28" s="111" t="s">
        <v>138</v>
      </c>
      <c r="AA28" s="66" t="s">
        <v>22</v>
      </c>
      <c r="AB28" s="260">
        <v>0</v>
      </c>
      <c r="AC28" s="260" t="s">
        <v>101</v>
      </c>
      <c r="AD28" s="111" t="s">
        <v>101</v>
      </c>
      <c r="AE28" s="111" t="s">
        <v>89</v>
      </c>
      <c r="AF28" s="241" t="s">
        <v>103</v>
      </c>
      <c r="AG28" s="242" t="s">
        <v>104</v>
      </c>
      <c r="AH28" s="353" t="s">
        <v>103</v>
      </c>
      <c r="AI28" s="353">
        <v>2751</v>
      </c>
      <c r="AJ28" s="353" t="s">
        <v>103</v>
      </c>
      <c r="AK28" s="353" t="s">
        <v>103</v>
      </c>
      <c r="AL28" s="260" t="s">
        <v>140</v>
      </c>
      <c r="AM28" s="260" t="s">
        <v>92</v>
      </c>
      <c r="AN28" s="111" t="s">
        <v>106</v>
      </c>
      <c r="AO28" s="138" t="s">
        <v>269</v>
      </c>
      <c r="AP28" s="138" t="s">
        <v>108</v>
      </c>
      <c r="AQ28" s="111"/>
      <c r="AR28" s="67"/>
      <c r="AS28" s="102" t="s">
        <v>270</v>
      </c>
      <c r="AT28" s="101" t="s">
        <v>271</v>
      </c>
      <c r="AU28" s="364"/>
      <c r="AV28" s="364"/>
      <c r="AW28" s="364"/>
      <c r="AX28" s="364"/>
      <c r="AY28" s="364"/>
      <c r="AZ28" s="364"/>
      <c r="BA28" s="364"/>
      <c r="BB28" s="364"/>
      <c r="BC28" s="364"/>
    </row>
    <row r="29" spans="1:60" ht="66" hidden="1" customHeight="1" x14ac:dyDescent="0.2">
      <c r="A29" s="283">
        <v>18</v>
      </c>
      <c r="B29" s="219" t="s">
        <v>272</v>
      </c>
      <c r="C29" s="120" t="s">
        <v>252</v>
      </c>
      <c r="D29" s="120" t="s">
        <v>111</v>
      </c>
      <c r="E29" s="120" t="s">
        <v>28</v>
      </c>
      <c r="F29" s="120" t="s">
        <v>30</v>
      </c>
      <c r="G29" s="287">
        <v>58</v>
      </c>
      <c r="H29" s="301">
        <v>9879</v>
      </c>
      <c r="I29" s="392" t="s">
        <v>273</v>
      </c>
      <c r="J29" s="284">
        <v>45687</v>
      </c>
      <c r="K29" s="285">
        <v>0.78125</v>
      </c>
      <c r="L29" s="120"/>
      <c r="M29" s="241" t="s">
        <v>206</v>
      </c>
      <c r="N29" s="66" t="s">
        <v>207</v>
      </c>
      <c r="O29" s="66" t="s">
        <v>90</v>
      </c>
      <c r="P29" s="111" t="s">
        <v>89</v>
      </c>
      <c r="Q29" s="263" t="s">
        <v>91</v>
      </c>
      <c r="R29" s="260" t="s">
        <v>92</v>
      </c>
      <c r="S29" s="120" t="s">
        <v>168</v>
      </c>
      <c r="T29" s="66" t="s">
        <v>274</v>
      </c>
      <c r="U29" s="120" t="s">
        <v>275</v>
      </c>
      <c r="V29" s="120" t="s">
        <v>115</v>
      </c>
      <c r="W29" s="332" t="s">
        <v>227</v>
      </c>
      <c r="X29" s="120" t="s">
        <v>228</v>
      </c>
      <c r="Y29" s="120" t="s">
        <v>276</v>
      </c>
      <c r="Z29" s="111" t="s">
        <v>230</v>
      </c>
      <c r="AA29" s="66" t="s">
        <v>23</v>
      </c>
      <c r="AB29" s="260">
        <v>0</v>
      </c>
      <c r="AC29" s="260" t="s">
        <v>101</v>
      </c>
      <c r="AD29" s="111">
        <v>3</v>
      </c>
      <c r="AE29" s="111" t="s">
        <v>213</v>
      </c>
      <c r="AF29" s="241" t="s">
        <v>103</v>
      </c>
      <c r="AG29" s="242" t="s">
        <v>104</v>
      </c>
      <c r="AH29" s="353" t="s">
        <v>103</v>
      </c>
      <c r="AI29" s="353">
        <v>2757</v>
      </c>
      <c r="AJ29" s="353" t="s">
        <v>103</v>
      </c>
      <c r="AK29" s="353" t="s">
        <v>103</v>
      </c>
      <c r="AL29" s="260" t="s">
        <v>159</v>
      </c>
      <c r="AM29" s="260" t="s">
        <v>92</v>
      </c>
      <c r="AN29" s="111" t="s">
        <v>106</v>
      </c>
      <c r="AO29" s="138" t="s">
        <v>182</v>
      </c>
      <c r="AP29" s="138"/>
      <c r="AQ29" s="111"/>
      <c r="AR29" s="67"/>
      <c r="AS29" s="102" t="s">
        <v>277</v>
      </c>
      <c r="AT29" s="101" t="s">
        <v>131</v>
      </c>
      <c r="AU29" s="364"/>
      <c r="AV29" s="364"/>
      <c r="AW29" s="364"/>
      <c r="AX29" s="364"/>
      <c r="AY29" s="364"/>
      <c r="AZ29" s="364"/>
      <c r="BA29" s="364"/>
      <c r="BB29" s="364"/>
      <c r="BC29" s="364"/>
    </row>
    <row r="30" spans="1:60" ht="82.5" hidden="1" customHeight="1" x14ac:dyDescent="0.2">
      <c r="A30" s="418">
        <v>19</v>
      </c>
      <c r="B30" s="419" t="s">
        <v>278</v>
      </c>
      <c r="C30" s="420" t="s">
        <v>279</v>
      </c>
      <c r="D30" s="420" t="s">
        <v>86</v>
      </c>
      <c r="E30" s="420" t="s">
        <v>28</v>
      </c>
      <c r="F30" s="420" t="s">
        <v>30</v>
      </c>
      <c r="G30" s="421">
        <v>41</v>
      </c>
      <c r="H30" s="420">
        <v>8448</v>
      </c>
      <c r="I30" s="422" t="s">
        <v>280</v>
      </c>
      <c r="J30" s="423">
        <v>45689</v>
      </c>
      <c r="K30" s="424">
        <v>0.38194444444444442</v>
      </c>
      <c r="L30" s="420" t="s">
        <v>88</v>
      </c>
      <c r="M30" s="425" t="s">
        <v>26</v>
      </c>
      <c r="N30" s="426" t="s">
        <v>89</v>
      </c>
      <c r="O30" s="426" t="s">
        <v>90</v>
      </c>
      <c r="P30" s="425" t="s">
        <v>89</v>
      </c>
      <c r="Q30" s="427" t="s">
        <v>91</v>
      </c>
      <c r="R30" s="427" t="s">
        <v>92</v>
      </c>
      <c r="S30" s="420" t="s">
        <v>93</v>
      </c>
      <c r="T30" s="426" t="s">
        <v>94</v>
      </c>
      <c r="U30" s="420"/>
      <c r="V30" s="420" t="s">
        <v>178</v>
      </c>
      <c r="W30" s="420" t="s">
        <v>281</v>
      </c>
      <c r="X30" s="420" t="s">
        <v>282</v>
      </c>
      <c r="Y30" s="420" t="s">
        <v>282</v>
      </c>
      <c r="Z30" s="425" t="s">
        <v>189</v>
      </c>
      <c r="AA30" s="426" t="s">
        <v>22</v>
      </c>
      <c r="AB30" s="427">
        <v>0</v>
      </c>
      <c r="AC30" s="427" t="s">
        <v>101</v>
      </c>
      <c r="AD30" s="425" t="s">
        <v>101</v>
      </c>
      <c r="AE30" s="425" t="s">
        <v>139</v>
      </c>
      <c r="AF30" s="425" t="s">
        <v>103</v>
      </c>
      <c r="AG30" s="242" t="s">
        <v>103</v>
      </c>
      <c r="AH30" s="353" t="s">
        <v>103</v>
      </c>
      <c r="AI30" s="353">
        <v>2764</v>
      </c>
      <c r="AJ30" s="353" t="s">
        <v>103</v>
      </c>
      <c r="AK30" s="353" t="s">
        <v>104</v>
      </c>
      <c r="AL30" s="427" t="s">
        <v>259</v>
      </c>
      <c r="AM30" s="427" t="s">
        <v>92</v>
      </c>
      <c r="AN30" s="425" t="s">
        <v>106</v>
      </c>
      <c r="AO30" s="456" t="s">
        <v>283</v>
      </c>
      <c r="AP30" s="456" t="s">
        <v>108</v>
      </c>
      <c r="AQ30" s="425"/>
      <c r="AS30" s="102" t="s">
        <v>284</v>
      </c>
      <c r="AT30" s="364" t="s">
        <v>93</v>
      </c>
      <c r="AU30" s="364"/>
      <c r="AV30" s="364"/>
      <c r="AW30" s="364"/>
      <c r="AX30" s="364"/>
      <c r="AY30" s="364"/>
      <c r="AZ30" s="364"/>
      <c r="BA30" s="364"/>
      <c r="BB30" s="364"/>
      <c r="BC30" s="364"/>
    </row>
    <row r="31" spans="1:60" ht="108.75" hidden="1" customHeight="1" x14ac:dyDescent="0.2">
      <c r="A31" s="418">
        <v>20</v>
      </c>
      <c r="B31" s="428" t="s">
        <v>285</v>
      </c>
      <c r="C31" s="420" t="s">
        <v>286</v>
      </c>
      <c r="D31" s="420" t="s">
        <v>175</v>
      </c>
      <c r="E31" s="420" t="s">
        <v>28</v>
      </c>
      <c r="F31" s="420" t="s">
        <v>30</v>
      </c>
      <c r="G31" s="421">
        <v>55</v>
      </c>
      <c r="H31" s="420">
        <v>697</v>
      </c>
      <c r="I31" s="457" t="s">
        <v>287</v>
      </c>
      <c r="J31" s="423">
        <v>45692</v>
      </c>
      <c r="K31" s="424">
        <v>0.75694444444444442</v>
      </c>
      <c r="L31" s="420" t="s">
        <v>288</v>
      </c>
      <c r="M31" s="425" t="s">
        <v>11</v>
      </c>
      <c r="N31" s="426" t="s">
        <v>207</v>
      </c>
      <c r="O31" s="426" t="s">
        <v>90</v>
      </c>
      <c r="P31" s="425" t="s">
        <v>89</v>
      </c>
      <c r="Q31" s="427" t="s">
        <v>289</v>
      </c>
      <c r="R31" s="427" t="s">
        <v>92</v>
      </c>
      <c r="S31" s="420" t="s">
        <v>128</v>
      </c>
      <c r="T31" s="426" t="s">
        <v>94</v>
      </c>
      <c r="U31" s="420"/>
      <c r="V31" s="420" t="s">
        <v>290</v>
      </c>
      <c r="W31" s="420" t="s">
        <v>281</v>
      </c>
      <c r="X31" s="420" t="s">
        <v>282</v>
      </c>
      <c r="Y31" s="420" t="s">
        <v>282</v>
      </c>
      <c r="Z31" s="425" t="s">
        <v>138</v>
      </c>
      <c r="AA31" s="426" t="s">
        <v>23</v>
      </c>
      <c r="AB31" s="427">
        <v>0</v>
      </c>
      <c r="AC31" s="427">
        <v>0.75</v>
      </c>
      <c r="AD31" s="425" t="s">
        <v>101</v>
      </c>
      <c r="AE31" s="425" t="s">
        <v>89</v>
      </c>
      <c r="AF31" s="425" t="s">
        <v>103</v>
      </c>
      <c r="AG31" s="242" t="s">
        <v>104</v>
      </c>
      <c r="AH31" s="353" t="s">
        <v>103</v>
      </c>
      <c r="AI31" s="353">
        <v>2773</v>
      </c>
      <c r="AJ31" s="353" t="s">
        <v>103</v>
      </c>
      <c r="AK31" s="353" t="s">
        <v>103</v>
      </c>
      <c r="AL31" s="427" t="s">
        <v>259</v>
      </c>
      <c r="AM31" s="427" t="s">
        <v>92</v>
      </c>
      <c r="AN31" s="425" t="s">
        <v>106</v>
      </c>
      <c r="AO31" s="456" t="s">
        <v>220</v>
      </c>
      <c r="AP31" s="456" t="s">
        <v>108</v>
      </c>
      <c r="AQ31" s="425"/>
      <c r="AS31" s="102" t="s">
        <v>291</v>
      </c>
      <c r="AT31" s="364" t="s">
        <v>106</v>
      </c>
      <c r="AU31" s="364"/>
      <c r="AV31" s="364"/>
      <c r="AW31" s="364"/>
      <c r="AX31" s="364"/>
      <c r="AY31" s="364"/>
      <c r="AZ31" s="364"/>
      <c r="BA31" s="364"/>
      <c r="BB31" s="364"/>
      <c r="BC31" s="364"/>
    </row>
    <row r="32" spans="1:60" ht="78" hidden="1" customHeight="1" x14ac:dyDescent="0.2">
      <c r="A32" s="418">
        <v>21</v>
      </c>
      <c r="B32" s="419" t="s">
        <v>292</v>
      </c>
      <c r="C32" s="420" t="s">
        <v>293</v>
      </c>
      <c r="D32" s="420" t="s">
        <v>86</v>
      </c>
      <c r="E32" s="458" t="s">
        <v>27</v>
      </c>
      <c r="F32" s="420" t="s">
        <v>30</v>
      </c>
      <c r="G32" s="421">
        <v>33</v>
      </c>
      <c r="H32" s="420">
        <v>9911</v>
      </c>
      <c r="I32" s="422" t="s">
        <v>294</v>
      </c>
      <c r="J32" s="423">
        <v>45692</v>
      </c>
      <c r="K32" s="424">
        <v>0.79166666666666663</v>
      </c>
      <c r="L32" s="420" t="s">
        <v>254</v>
      </c>
      <c r="M32" s="425" t="s">
        <v>26</v>
      </c>
      <c r="N32" s="426" t="s">
        <v>89</v>
      </c>
      <c r="O32" s="426" t="s">
        <v>90</v>
      </c>
      <c r="P32" s="425" t="s">
        <v>89</v>
      </c>
      <c r="Q32" s="427" t="s">
        <v>91</v>
      </c>
      <c r="R32" s="427" t="s">
        <v>92</v>
      </c>
      <c r="S32" s="420" t="s">
        <v>93</v>
      </c>
      <c r="T32" s="426" t="s">
        <v>89</v>
      </c>
      <c r="U32" s="420" t="s">
        <v>295</v>
      </c>
      <c r="V32" s="420" t="s">
        <v>296</v>
      </c>
      <c r="W32" s="420" t="s">
        <v>297</v>
      </c>
      <c r="X32" s="420" t="s">
        <v>298</v>
      </c>
      <c r="Y32" s="420" t="s">
        <v>299</v>
      </c>
      <c r="Z32" s="425" t="s">
        <v>138</v>
      </c>
      <c r="AA32" s="426" t="s">
        <v>23</v>
      </c>
      <c r="AB32" s="427">
        <v>0</v>
      </c>
      <c r="AC32" s="427" t="s">
        <v>101</v>
      </c>
      <c r="AD32" s="425" t="s">
        <v>101</v>
      </c>
      <c r="AE32" s="425" t="s">
        <v>213</v>
      </c>
      <c r="AF32" s="425" t="s">
        <v>103</v>
      </c>
      <c r="AG32" s="242" t="s">
        <v>104</v>
      </c>
      <c r="AH32" s="353" t="s">
        <v>103</v>
      </c>
      <c r="AI32" s="353">
        <v>2774</v>
      </c>
      <c r="AJ32" s="353" t="s">
        <v>103</v>
      </c>
      <c r="AK32" s="353" t="s">
        <v>104</v>
      </c>
      <c r="AL32" s="427" t="s">
        <v>105</v>
      </c>
      <c r="AM32" s="427" t="s">
        <v>92</v>
      </c>
      <c r="AN32" s="425" t="s">
        <v>106</v>
      </c>
      <c r="AO32" s="456" t="s">
        <v>283</v>
      </c>
      <c r="AP32" s="456" t="s">
        <v>108</v>
      </c>
      <c r="AQ32" s="425"/>
      <c r="AR32" s="39"/>
      <c r="AS32" s="141" t="s">
        <v>300</v>
      </c>
      <c r="AT32" s="141"/>
      <c r="AU32" s="141"/>
      <c r="AV32" s="141"/>
      <c r="AW32" s="141"/>
      <c r="AX32" s="141"/>
      <c r="AY32" s="141"/>
      <c r="AZ32" s="141"/>
      <c r="BA32" s="141"/>
      <c r="BB32" s="141"/>
      <c r="BC32" s="364"/>
    </row>
    <row r="33" spans="1:55" s="39" customFormat="1" ht="123.75" hidden="1" customHeight="1" x14ac:dyDescent="0.2">
      <c r="A33" s="418">
        <v>22</v>
      </c>
      <c r="B33" s="430" t="s">
        <v>301</v>
      </c>
      <c r="C33" s="431" t="s">
        <v>302</v>
      </c>
      <c r="D33" s="432" t="s">
        <v>303</v>
      </c>
      <c r="E33" s="458" t="s">
        <v>27</v>
      </c>
      <c r="F33" s="420" t="s">
        <v>30</v>
      </c>
      <c r="G33" s="433">
        <v>29</v>
      </c>
      <c r="H33" s="420">
        <v>9815</v>
      </c>
      <c r="I33" s="434" t="s">
        <v>304</v>
      </c>
      <c r="J33" s="435">
        <v>45693</v>
      </c>
      <c r="K33" s="436">
        <v>0.84027777777777779</v>
      </c>
      <c r="L33" s="426"/>
      <c r="M33" s="425" t="s">
        <v>11</v>
      </c>
      <c r="N33" s="426" t="s">
        <v>207</v>
      </c>
      <c r="O33" s="426" t="s">
        <v>90</v>
      </c>
      <c r="P33" s="425" t="s">
        <v>89</v>
      </c>
      <c r="Q33" s="427" t="s">
        <v>305</v>
      </c>
      <c r="R33" s="427" t="s">
        <v>92</v>
      </c>
      <c r="S33" s="420" t="s">
        <v>128</v>
      </c>
      <c r="T33" s="426" t="s">
        <v>94</v>
      </c>
      <c r="U33" s="426"/>
      <c r="V33" s="437" t="s">
        <v>306</v>
      </c>
      <c r="W33" s="425" t="s">
        <v>210</v>
      </c>
      <c r="X33" s="425" t="s">
        <v>210</v>
      </c>
      <c r="Y33" s="420" t="s">
        <v>307</v>
      </c>
      <c r="Z33" s="425" t="s">
        <v>150</v>
      </c>
      <c r="AA33" s="426" t="s">
        <v>23</v>
      </c>
      <c r="AB33" s="425">
        <v>0</v>
      </c>
      <c r="AC33" s="425">
        <v>2</v>
      </c>
      <c r="AD33" s="425" t="s">
        <v>101</v>
      </c>
      <c r="AE33" s="425" t="s">
        <v>89</v>
      </c>
      <c r="AF33" s="425" t="s">
        <v>103</v>
      </c>
      <c r="AG33" s="242" t="s">
        <v>104</v>
      </c>
      <c r="AH33" s="353" t="s">
        <v>103</v>
      </c>
      <c r="AI33" s="353">
        <v>2778</v>
      </c>
      <c r="AJ33" s="353" t="s">
        <v>103</v>
      </c>
      <c r="AK33" s="353" t="s">
        <v>103</v>
      </c>
      <c r="AL33" s="427" t="s">
        <v>219</v>
      </c>
      <c r="AM33" s="427" t="s">
        <v>92</v>
      </c>
      <c r="AN33" s="425" t="s">
        <v>106</v>
      </c>
      <c r="AO33" s="427" t="s">
        <v>308</v>
      </c>
      <c r="AP33" s="427" t="s">
        <v>92</v>
      </c>
      <c r="AQ33" s="425"/>
      <c r="AS33" s="141"/>
      <c r="AT33" s="141"/>
      <c r="AU33" s="141"/>
      <c r="AV33" s="141"/>
      <c r="AW33" s="141"/>
      <c r="AX33" s="141"/>
      <c r="AY33" s="141"/>
      <c r="AZ33" s="141"/>
      <c r="BA33" s="141"/>
      <c r="BB33" s="141"/>
      <c r="BC33" s="141"/>
    </row>
    <row r="34" spans="1:55" s="39" customFormat="1" ht="109.5" hidden="1" customHeight="1" x14ac:dyDescent="0.2">
      <c r="A34" s="418">
        <v>23</v>
      </c>
      <c r="B34" s="419" t="s">
        <v>309</v>
      </c>
      <c r="C34" s="421" t="s">
        <v>310</v>
      </c>
      <c r="D34" s="438" t="s">
        <v>86</v>
      </c>
      <c r="E34" s="458" t="s">
        <v>27</v>
      </c>
      <c r="F34" s="420" t="s">
        <v>30</v>
      </c>
      <c r="G34" s="421">
        <v>34</v>
      </c>
      <c r="H34" s="420">
        <v>4065</v>
      </c>
      <c r="I34" s="422" t="s">
        <v>311</v>
      </c>
      <c r="J34" s="423">
        <v>45696</v>
      </c>
      <c r="K34" s="424">
        <v>0.46527777777777779</v>
      </c>
      <c r="L34" s="420" t="s">
        <v>254</v>
      </c>
      <c r="M34" s="425" t="s">
        <v>26</v>
      </c>
      <c r="N34" s="426" t="s">
        <v>89</v>
      </c>
      <c r="O34" s="426" t="s">
        <v>90</v>
      </c>
      <c r="P34" s="425" t="s">
        <v>89</v>
      </c>
      <c r="Q34" s="427" t="s">
        <v>91</v>
      </c>
      <c r="R34" s="427" t="s">
        <v>92</v>
      </c>
      <c r="S34" s="420" t="s">
        <v>93</v>
      </c>
      <c r="T34" s="426" t="s">
        <v>89</v>
      </c>
      <c r="U34" s="426" t="s">
        <v>312</v>
      </c>
      <c r="V34" s="420" t="s">
        <v>178</v>
      </c>
      <c r="W34" s="420" t="s">
        <v>313</v>
      </c>
      <c r="X34" s="420" t="s">
        <v>314</v>
      </c>
      <c r="Y34" s="420" t="s">
        <v>315</v>
      </c>
      <c r="Z34" s="425" t="s">
        <v>189</v>
      </c>
      <c r="AA34" s="426" t="s">
        <v>22</v>
      </c>
      <c r="AB34" s="439">
        <v>0</v>
      </c>
      <c r="AC34" s="439" t="s">
        <v>101</v>
      </c>
      <c r="AD34" s="439" t="s">
        <v>101</v>
      </c>
      <c r="AE34" s="440" t="s">
        <v>119</v>
      </c>
      <c r="AF34" s="425" t="s">
        <v>103</v>
      </c>
      <c r="AG34" s="242" t="s">
        <v>104</v>
      </c>
      <c r="AH34" s="353" t="s">
        <v>103</v>
      </c>
      <c r="AI34" s="353">
        <v>2786</v>
      </c>
      <c r="AJ34" s="353" t="s">
        <v>103</v>
      </c>
      <c r="AK34" s="353" t="s">
        <v>104</v>
      </c>
      <c r="AL34" s="427" t="s">
        <v>140</v>
      </c>
      <c r="AM34" s="427" t="s">
        <v>92</v>
      </c>
      <c r="AN34" s="425" t="s">
        <v>106</v>
      </c>
      <c r="AO34" s="456" t="s">
        <v>316</v>
      </c>
      <c r="AP34" s="456" t="s">
        <v>108</v>
      </c>
      <c r="AQ34" s="439"/>
      <c r="AS34" s="141"/>
      <c r="AT34" s="141"/>
      <c r="AU34" s="141"/>
      <c r="AV34" s="141"/>
      <c r="AW34" s="141"/>
      <c r="AX34" s="141"/>
      <c r="AY34" s="141"/>
      <c r="AZ34" s="141"/>
      <c r="BA34" s="141"/>
      <c r="BB34" s="141"/>
      <c r="BC34" s="141"/>
    </row>
    <row r="35" spans="1:55" s="39" customFormat="1" ht="159" hidden="1" customHeight="1" x14ac:dyDescent="0.2">
      <c r="A35" s="418">
        <v>24</v>
      </c>
      <c r="B35" s="419" t="s">
        <v>317</v>
      </c>
      <c r="C35" s="421" t="s">
        <v>318</v>
      </c>
      <c r="D35" s="441" t="s">
        <v>319</v>
      </c>
      <c r="E35" s="458" t="s">
        <v>27</v>
      </c>
      <c r="F35" s="420" t="s">
        <v>30</v>
      </c>
      <c r="G35" s="421">
        <v>58</v>
      </c>
      <c r="H35" s="420">
        <v>11222</v>
      </c>
      <c r="I35" s="422" t="s">
        <v>320</v>
      </c>
      <c r="J35" s="423">
        <v>45701</v>
      </c>
      <c r="K35" s="424">
        <v>2.0833333333333332E-2</v>
      </c>
      <c r="L35" s="420" t="s">
        <v>321</v>
      </c>
      <c r="M35" s="425" t="s">
        <v>26</v>
      </c>
      <c r="N35" s="426" t="s">
        <v>89</v>
      </c>
      <c r="O35" s="426" t="s">
        <v>90</v>
      </c>
      <c r="P35" s="425" t="s">
        <v>89</v>
      </c>
      <c r="Q35" s="427" t="s">
        <v>91</v>
      </c>
      <c r="R35" s="427" t="s">
        <v>92</v>
      </c>
      <c r="S35" s="420" t="s">
        <v>168</v>
      </c>
      <c r="T35" s="426" t="s">
        <v>94</v>
      </c>
      <c r="U35" s="420"/>
      <c r="V35" s="420" t="s">
        <v>322</v>
      </c>
      <c r="W35" s="420" t="s">
        <v>210</v>
      </c>
      <c r="X35" s="420" t="s">
        <v>323</v>
      </c>
      <c r="Y35" s="420" t="s">
        <v>324</v>
      </c>
      <c r="Z35" s="425" t="s">
        <v>150</v>
      </c>
      <c r="AA35" s="426" t="s">
        <v>24</v>
      </c>
      <c r="AB35" s="439">
        <v>0</v>
      </c>
      <c r="AC35" s="439" t="s">
        <v>101</v>
      </c>
      <c r="AD35" s="439" t="s">
        <v>101</v>
      </c>
      <c r="AE35" s="455" t="s">
        <v>139</v>
      </c>
      <c r="AF35" s="425" t="s">
        <v>103</v>
      </c>
      <c r="AG35" s="242" t="s">
        <v>103</v>
      </c>
      <c r="AH35" s="354" t="s">
        <v>103</v>
      </c>
      <c r="AI35" s="354">
        <v>2816</v>
      </c>
      <c r="AJ35" s="354" t="s">
        <v>103</v>
      </c>
      <c r="AK35" s="354" t="s">
        <v>103</v>
      </c>
      <c r="AL35" s="427" t="s">
        <v>197</v>
      </c>
      <c r="AM35" s="427" t="s">
        <v>325</v>
      </c>
      <c r="AN35" s="425" t="s">
        <v>106</v>
      </c>
      <c r="AO35" s="456" t="s">
        <v>182</v>
      </c>
      <c r="AP35" s="456"/>
      <c r="AQ35" s="439"/>
      <c r="AS35" s="141"/>
      <c r="AT35" s="141"/>
      <c r="AU35" s="141"/>
      <c r="AV35" s="141"/>
      <c r="AW35" s="141"/>
      <c r="AX35" s="141"/>
      <c r="AY35" s="141"/>
      <c r="AZ35" s="141"/>
      <c r="BA35" s="141"/>
      <c r="BB35" s="141"/>
      <c r="BC35" s="141"/>
    </row>
    <row r="36" spans="1:55" s="39" customFormat="1" ht="204.75" hidden="1" customHeight="1" x14ac:dyDescent="0.2">
      <c r="A36" s="418">
        <v>25</v>
      </c>
      <c r="B36" s="419" t="s">
        <v>272</v>
      </c>
      <c r="C36" s="421" t="s">
        <v>252</v>
      </c>
      <c r="D36" s="442" t="s">
        <v>111</v>
      </c>
      <c r="E36" s="429" t="s">
        <v>28</v>
      </c>
      <c r="F36" s="420" t="s">
        <v>30</v>
      </c>
      <c r="G36" s="421">
        <v>58</v>
      </c>
      <c r="H36" s="420">
        <v>9879</v>
      </c>
      <c r="I36" s="422" t="s">
        <v>326</v>
      </c>
      <c r="J36" s="423">
        <v>45706</v>
      </c>
      <c r="K36" s="424">
        <v>0.71875</v>
      </c>
      <c r="L36" s="420" t="s">
        <v>327</v>
      </c>
      <c r="M36" s="425" t="s">
        <v>206</v>
      </c>
      <c r="N36" s="426" t="s">
        <v>207</v>
      </c>
      <c r="O36" s="426" t="s">
        <v>90</v>
      </c>
      <c r="P36" s="425" t="s">
        <v>89</v>
      </c>
      <c r="Q36" s="427" t="s">
        <v>91</v>
      </c>
      <c r="R36" s="427" t="s">
        <v>92</v>
      </c>
      <c r="S36" s="427" t="s">
        <v>168</v>
      </c>
      <c r="T36" s="426" t="s">
        <v>94</v>
      </c>
      <c r="U36" s="420"/>
      <c r="V36" s="420" t="s">
        <v>328</v>
      </c>
      <c r="W36" s="425" t="s">
        <v>329</v>
      </c>
      <c r="X36" s="420" t="s">
        <v>118</v>
      </c>
      <c r="Y36" s="420" t="s">
        <v>330</v>
      </c>
      <c r="Z36" s="425" t="s">
        <v>138</v>
      </c>
      <c r="AA36" s="426" t="s">
        <v>23</v>
      </c>
      <c r="AB36" s="425">
        <v>0</v>
      </c>
      <c r="AC36" s="425">
        <v>0</v>
      </c>
      <c r="AD36" s="425">
        <v>10</v>
      </c>
      <c r="AE36" s="425" t="s">
        <v>119</v>
      </c>
      <c r="AF36" s="425" t="s">
        <v>103</v>
      </c>
      <c r="AG36" s="242" t="s">
        <v>104</v>
      </c>
      <c r="AH36" s="354" t="s">
        <v>103</v>
      </c>
      <c r="AI36" s="354">
        <v>2817</v>
      </c>
      <c r="AJ36" s="354" t="s">
        <v>103</v>
      </c>
      <c r="AK36" s="354" t="s">
        <v>104</v>
      </c>
      <c r="AL36" s="427" t="s">
        <v>197</v>
      </c>
      <c r="AM36" s="427" t="s">
        <v>325</v>
      </c>
      <c r="AN36" s="425" t="s">
        <v>106</v>
      </c>
      <c r="AO36" s="427" t="s">
        <v>331</v>
      </c>
      <c r="AP36" s="427" t="s">
        <v>108</v>
      </c>
      <c r="AQ36" s="425"/>
      <c r="AS36" s="141"/>
      <c r="AT36" s="141"/>
      <c r="AU36" s="141"/>
      <c r="AV36" s="141"/>
      <c r="AW36" s="141"/>
      <c r="AX36" s="141"/>
      <c r="AY36" s="141"/>
      <c r="AZ36" s="141"/>
      <c r="BA36" s="141"/>
      <c r="BB36" s="141"/>
      <c r="BC36" s="141"/>
    </row>
    <row r="37" spans="1:55" s="39" customFormat="1" ht="94.5" hidden="1" customHeight="1" x14ac:dyDescent="0.2">
      <c r="A37" s="418">
        <v>26</v>
      </c>
      <c r="B37" s="430" t="s">
        <v>332</v>
      </c>
      <c r="C37" s="443" t="s">
        <v>333</v>
      </c>
      <c r="D37" s="459" t="s">
        <v>165</v>
      </c>
      <c r="E37" s="429" t="s">
        <v>28</v>
      </c>
      <c r="F37" s="420" t="s">
        <v>30</v>
      </c>
      <c r="G37" s="433">
        <v>58</v>
      </c>
      <c r="H37" s="426">
        <v>260</v>
      </c>
      <c r="I37" s="422" t="s">
        <v>334</v>
      </c>
      <c r="J37" s="423">
        <v>45706</v>
      </c>
      <c r="K37" s="444">
        <v>0.73958333333333337</v>
      </c>
      <c r="L37" s="420" t="s">
        <v>155</v>
      </c>
      <c r="M37" s="425" t="s">
        <v>26</v>
      </c>
      <c r="N37" s="426" t="s">
        <v>89</v>
      </c>
      <c r="O37" s="426" t="s">
        <v>90</v>
      </c>
      <c r="P37" s="425" t="s">
        <v>89</v>
      </c>
      <c r="Q37" s="427" t="s">
        <v>91</v>
      </c>
      <c r="R37" s="427" t="s">
        <v>92</v>
      </c>
      <c r="S37" s="427" t="s">
        <v>128</v>
      </c>
      <c r="T37" s="426" t="s">
        <v>89</v>
      </c>
      <c r="U37" s="420" t="s">
        <v>155</v>
      </c>
      <c r="V37" s="420" t="s">
        <v>328</v>
      </c>
      <c r="W37" s="425" t="s">
        <v>329</v>
      </c>
      <c r="X37" s="420" t="s">
        <v>335</v>
      </c>
      <c r="Y37" s="420" t="s">
        <v>336</v>
      </c>
      <c r="Z37" s="425" t="s">
        <v>150</v>
      </c>
      <c r="AA37" s="426" t="s">
        <v>23</v>
      </c>
      <c r="AB37" s="425">
        <v>0</v>
      </c>
      <c r="AC37" s="439" t="s">
        <v>101</v>
      </c>
      <c r="AD37" s="439" t="s">
        <v>101</v>
      </c>
      <c r="AE37" s="440" t="s">
        <v>102</v>
      </c>
      <c r="AF37" s="425" t="s">
        <v>103</v>
      </c>
      <c r="AG37" s="242" t="s">
        <v>104</v>
      </c>
      <c r="AH37" s="354" t="s">
        <v>103</v>
      </c>
      <c r="AI37" s="354">
        <v>2818</v>
      </c>
      <c r="AJ37" s="354" t="s">
        <v>103</v>
      </c>
      <c r="AK37" s="354" t="s">
        <v>104</v>
      </c>
      <c r="AL37" s="427" t="s">
        <v>197</v>
      </c>
      <c r="AM37" s="427" t="s">
        <v>325</v>
      </c>
      <c r="AN37" s="425" t="s">
        <v>106</v>
      </c>
      <c r="AO37" s="427" t="s">
        <v>331</v>
      </c>
      <c r="AP37" s="427" t="s">
        <v>108</v>
      </c>
      <c r="AQ37" s="439"/>
      <c r="AS37" s="141"/>
      <c r="AT37" s="141"/>
      <c r="AU37" s="141"/>
      <c r="AV37" s="141"/>
      <c r="AW37" s="141"/>
      <c r="AX37" s="141"/>
      <c r="AY37" s="141"/>
      <c r="AZ37" s="141"/>
      <c r="BA37" s="141"/>
      <c r="BB37" s="141"/>
      <c r="BC37" s="141"/>
    </row>
    <row r="38" spans="1:55" s="39" customFormat="1" ht="77.25" hidden="1" customHeight="1" x14ac:dyDescent="0.2">
      <c r="A38" s="418">
        <v>27</v>
      </c>
      <c r="B38" s="430" t="s">
        <v>337</v>
      </c>
      <c r="C38" s="443" t="s">
        <v>338</v>
      </c>
      <c r="D38" s="432" t="s">
        <v>111</v>
      </c>
      <c r="E38" s="461" t="s">
        <v>28</v>
      </c>
      <c r="F38" s="420" t="s">
        <v>30</v>
      </c>
      <c r="G38" s="433">
        <v>44</v>
      </c>
      <c r="H38" s="426">
        <v>9887</v>
      </c>
      <c r="I38" s="422" t="s">
        <v>339</v>
      </c>
      <c r="J38" s="423">
        <v>45707</v>
      </c>
      <c r="K38" s="424">
        <v>0.24652777777777779</v>
      </c>
      <c r="L38" s="420" t="s">
        <v>340</v>
      </c>
      <c r="M38" s="425" t="s">
        <v>26</v>
      </c>
      <c r="N38" s="426" t="s">
        <v>89</v>
      </c>
      <c r="O38" s="426" t="s">
        <v>90</v>
      </c>
      <c r="P38" s="425" t="s">
        <v>89</v>
      </c>
      <c r="Q38" s="427" t="s">
        <v>91</v>
      </c>
      <c r="R38" s="427" t="s">
        <v>92</v>
      </c>
      <c r="S38" s="427" t="s">
        <v>341</v>
      </c>
      <c r="T38" s="426" t="s">
        <v>89</v>
      </c>
      <c r="U38" s="420"/>
      <c r="V38" s="420" t="s">
        <v>328</v>
      </c>
      <c r="W38" s="425" t="s">
        <v>329</v>
      </c>
      <c r="X38" s="420" t="s">
        <v>157</v>
      </c>
      <c r="Y38" s="420" t="s">
        <v>342</v>
      </c>
      <c r="Z38" s="425" t="s">
        <v>138</v>
      </c>
      <c r="AA38" s="426" t="s">
        <v>24</v>
      </c>
      <c r="AB38" s="439">
        <v>0</v>
      </c>
      <c r="AC38" s="439" t="s">
        <v>101</v>
      </c>
      <c r="AD38" s="439" t="s">
        <v>101</v>
      </c>
      <c r="AE38" s="440" t="s">
        <v>102</v>
      </c>
      <c r="AF38" s="425" t="s">
        <v>103</v>
      </c>
      <c r="AG38" s="242" t="s">
        <v>104</v>
      </c>
      <c r="AH38" s="354" t="s">
        <v>104</v>
      </c>
      <c r="AI38" s="354"/>
      <c r="AJ38" s="354" t="s">
        <v>104</v>
      </c>
      <c r="AK38" s="354" t="s">
        <v>104</v>
      </c>
      <c r="AL38" s="450" t="s">
        <v>343</v>
      </c>
      <c r="AM38" s="427" t="s">
        <v>92</v>
      </c>
      <c r="AN38" s="425" t="s">
        <v>106</v>
      </c>
      <c r="AO38" s="456" t="s">
        <v>182</v>
      </c>
      <c r="AP38" s="456"/>
      <c r="AQ38" s="439"/>
      <c r="AS38" s="141"/>
      <c r="AT38" s="141"/>
      <c r="AU38" s="141"/>
      <c r="AV38" s="141"/>
      <c r="AW38" s="141"/>
      <c r="AX38" s="141"/>
      <c r="AY38" s="141"/>
      <c r="AZ38" s="141"/>
      <c r="BA38" s="141"/>
      <c r="BB38" s="141"/>
      <c r="BC38" s="141"/>
    </row>
    <row r="39" spans="1:55" s="39" customFormat="1" ht="116.25" hidden="1" customHeight="1" x14ac:dyDescent="0.2">
      <c r="A39" s="418">
        <v>28</v>
      </c>
      <c r="B39" s="445" t="s">
        <v>344</v>
      </c>
      <c r="C39" s="446" t="s">
        <v>345</v>
      </c>
      <c r="D39" s="460" t="s">
        <v>319</v>
      </c>
      <c r="E39" s="458" t="s">
        <v>27</v>
      </c>
      <c r="F39" s="420" t="s">
        <v>30</v>
      </c>
      <c r="G39" s="447">
        <v>40</v>
      </c>
      <c r="H39" s="420">
        <v>11267</v>
      </c>
      <c r="I39" s="448" t="s">
        <v>346</v>
      </c>
      <c r="J39" s="423">
        <v>45712</v>
      </c>
      <c r="K39" s="436">
        <v>0.19444444444444445</v>
      </c>
      <c r="L39" s="449" t="s">
        <v>135</v>
      </c>
      <c r="M39" s="425" t="s">
        <v>26</v>
      </c>
      <c r="N39" s="426" t="s">
        <v>89</v>
      </c>
      <c r="O39" s="426" t="s">
        <v>90</v>
      </c>
      <c r="P39" s="425" t="s">
        <v>89</v>
      </c>
      <c r="Q39" s="427" t="s">
        <v>91</v>
      </c>
      <c r="R39" s="427" t="s">
        <v>92</v>
      </c>
      <c r="S39" s="450" t="s">
        <v>168</v>
      </c>
      <c r="T39" s="425" t="s">
        <v>94</v>
      </c>
      <c r="U39" s="425"/>
      <c r="V39" s="420" t="s">
        <v>347</v>
      </c>
      <c r="W39" s="425" t="s">
        <v>348</v>
      </c>
      <c r="X39" s="420" t="s">
        <v>349</v>
      </c>
      <c r="Y39" s="420" t="s">
        <v>350</v>
      </c>
      <c r="Z39" s="425" t="s">
        <v>130</v>
      </c>
      <c r="AA39" s="426" t="s">
        <v>24</v>
      </c>
      <c r="AB39" s="439">
        <v>0</v>
      </c>
      <c r="AC39" s="439" t="s">
        <v>101</v>
      </c>
      <c r="AD39" s="439" t="s">
        <v>101</v>
      </c>
      <c r="AE39" s="425" t="s">
        <v>139</v>
      </c>
      <c r="AF39" s="425" t="s">
        <v>103</v>
      </c>
      <c r="AG39" s="241" t="s">
        <v>103</v>
      </c>
      <c r="AH39" s="355" t="s">
        <v>103</v>
      </c>
      <c r="AI39" s="355">
        <v>2836</v>
      </c>
      <c r="AJ39" s="355" t="s">
        <v>104</v>
      </c>
      <c r="AK39" s="355" t="s">
        <v>104</v>
      </c>
      <c r="AL39" s="426" t="s">
        <v>351</v>
      </c>
      <c r="AM39" s="427" t="s">
        <v>92</v>
      </c>
      <c r="AN39" s="425" t="s">
        <v>106</v>
      </c>
      <c r="AO39" s="427" t="s">
        <v>352</v>
      </c>
      <c r="AP39" s="427" t="s">
        <v>108</v>
      </c>
      <c r="AQ39" s="425"/>
      <c r="AS39" s="141"/>
      <c r="AT39" s="141"/>
      <c r="AU39" s="141"/>
      <c r="AV39" s="141"/>
      <c r="AW39" s="141"/>
      <c r="AX39" s="141"/>
      <c r="AY39" s="141"/>
      <c r="AZ39" s="141"/>
      <c r="BA39" s="141"/>
      <c r="BB39" s="141"/>
      <c r="BC39" s="141"/>
    </row>
    <row r="40" spans="1:55" s="39" customFormat="1" ht="53.25" hidden="1" customHeight="1" x14ac:dyDescent="0.2">
      <c r="A40" s="418">
        <v>29</v>
      </c>
      <c r="B40" s="428" t="s">
        <v>353</v>
      </c>
      <c r="C40" s="420" t="s">
        <v>101</v>
      </c>
      <c r="D40" s="438" t="s">
        <v>101</v>
      </c>
      <c r="E40" s="451" t="s">
        <v>101</v>
      </c>
      <c r="F40" s="420" t="s">
        <v>101</v>
      </c>
      <c r="G40" s="452" t="s">
        <v>101</v>
      </c>
      <c r="H40" s="420" t="s">
        <v>101</v>
      </c>
      <c r="I40" s="465" t="s">
        <v>354</v>
      </c>
      <c r="J40" s="453">
        <v>45714</v>
      </c>
      <c r="K40" s="454">
        <v>0.67708333333333337</v>
      </c>
      <c r="L40" s="455" t="s">
        <v>355</v>
      </c>
      <c r="M40" s="426" t="s">
        <v>26</v>
      </c>
      <c r="N40" s="425" t="s">
        <v>89</v>
      </c>
      <c r="O40" s="425" t="s">
        <v>90</v>
      </c>
      <c r="P40" s="425" t="s">
        <v>89</v>
      </c>
      <c r="Q40" s="427" t="s">
        <v>91</v>
      </c>
      <c r="R40" s="427" t="s">
        <v>92</v>
      </c>
      <c r="S40" s="450"/>
      <c r="T40" s="425" t="s">
        <v>89</v>
      </c>
      <c r="U40" s="425" t="s">
        <v>356</v>
      </c>
      <c r="V40" s="420" t="s">
        <v>357</v>
      </c>
      <c r="W40" s="425" t="s">
        <v>329</v>
      </c>
      <c r="X40" s="455" t="s">
        <v>358</v>
      </c>
      <c r="Y40" s="455" t="s">
        <v>359</v>
      </c>
      <c r="Z40" s="425" t="s">
        <v>150</v>
      </c>
      <c r="AA40" s="425" t="s">
        <v>23</v>
      </c>
      <c r="AB40" s="440">
        <v>0</v>
      </c>
      <c r="AC40" s="440" t="s">
        <v>101</v>
      </c>
      <c r="AD40" s="440" t="s">
        <v>101</v>
      </c>
      <c r="AE40" s="440" t="s">
        <v>213</v>
      </c>
      <c r="AF40" s="425" t="s">
        <v>103</v>
      </c>
      <c r="AG40" s="241" t="s">
        <v>104</v>
      </c>
      <c r="AH40" s="352" t="s">
        <v>104</v>
      </c>
      <c r="AI40" s="352"/>
      <c r="AJ40" s="355" t="s">
        <v>104</v>
      </c>
      <c r="AK40" s="355" t="s">
        <v>104</v>
      </c>
      <c r="AL40" s="427" t="s">
        <v>360</v>
      </c>
      <c r="AM40" s="427" t="s">
        <v>92</v>
      </c>
      <c r="AN40" s="425" t="s">
        <v>106</v>
      </c>
      <c r="AO40" s="456" t="s">
        <v>182</v>
      </c>
      <c r="AP40" s="456"/>
      <c r="AQ40" s="440"/>
      <c r="AS40" s="141"/>
      <c r="AT40" s="141"/>
      <c r="AU40" s="141"/>
      <c r="AV40" s="141"/>
      <c r="AW40" s="141"/>
      <c r="AX40" s="141"/>
      <c r="AY40" s="141"/>
      <c r="AZ40" s="141"/>
      <c r="BA40" s="141"/>
      <c r="BB40" s="141"/>
      <c r="BC40" s="141"/>
    </row>
    <row r="41" spans="1:55" s="39" customFormat="1" ht="85.5" hidden="1" customHeight="1" x14ac:dyDescent="0.2">
      <c r="A41" s="418">
        <v>30</v>
      </c>
      <c r="B41" s="419" t="s">
        <v>361</v>
      </c>
      <c r="C41" s="421" t="s">
        <v>362</v>
      </c>
      <c r="D41" s="441" t="s">
        <v>86</v>
      </c>
      <c r="E41" s="458" t="s">
        <v>27</v>
      </c>
      <c r="F41" s="420" t="s">
        <v>30</v>
      </c>
      <c r="G41" s="421">
        <v>36</v>
      </c>
      <c r="H41" s="439">
        <v>8446</v>
      </c>
      <c r="I41" s="422" t="s">
        <v>363</v>
      </c>
      <c r="J41" s="423">
        <v>45716</v>
      </c>
      <c r="K41" s="424">
        <v>0.44444444444444442</v>
      </c>
      <c r="L41" s="420" t="s">
        <v>364</v>
      </c>
      <c r="M41" s="425" t="s">
        <v>26</v>
      </c>
      <c r="N41" s="426" t="s">
        <v>89</v>
      </c>
      <c r="O41" s="426" t="s">
        <v>90</v>
      </c>
      <c r="P41" s="425" t="s">
        <v>89</v>
      </c>
      <c r="Q41" s="426" t="s">
        <v>91</v>
      </c>
      <c r="R41" s="427" t="s">
        <v>92</v>
      </c>
      <c r="S41" s="420" t="s">
        <v>128</v>
      </c>
      <c r="T41" s="420" t="s">
        <v>94</v>
      </c>
      <c r="U41" s="420"/>
      <c r="V41" s="420" t="s">
        <v>365</v>
      </c>
      <c r="W41" s="425" t="s">
        <v>366</v>
      </c>
      <c r="X41" s="420" t="s">
        <v>136</v>
      </c>
      <c r="Y41" s="426" t="s">
        <v>97</v>
      </c>
      <c r="Z41" s="425" t="s">
        <v>100</v>
      </c>
      <c r="AA41" s="426" t="s">
        <v>22</v>
      </c>
      <c r="AB41" s="440">
        <v>0</v>
      </c>
      <c r="AC41" s="440" t="s">
        <v>101</v>
      </c>
      <c r="AD41" s="440" t="s">
        <v>101</v>
      </c>
      <c r="AE41" s="425" t="s">
        <v>102</v>
      </c>
      <c r="AF41" s="425" t="s">
        <v>103</v>
      </c>
      <c r="AG41" s="241" t="s">
        <v>104</v>
      </c>
      <c r="AH41" s="426" t="s">
        <v>103</v>
      </c>
      <c r="AI41" s="426">
        <v>2862</v>
      </c>
      <c r="AJ41" s="355" t="s">
        <v>104</v>
      </c>
      <c r="AK41" s="355" t="s">
        <v>104</v>
      </c>
      <c r="AL41" s="427" t="s">
        <v>259</v>
      </c>
      <c r="AM41" s="427" t="s">
        <v>92</v>
      </c>
      <c r="AN41" s="425" t="s">
        <v>106</v>
      </c>
      <c r="AO41" s="456" t="s">
        <v>367</v>
      </c>
      <c r="AP41" s="456" t="s">
        <v>108</v>
      </c>
      <c r="AQ41" s="425"/>
      <c r="AR41" s="67"/>
      <c r="AS41" s="102" t="s">
        <v>368</v>
      </c>
      <c r="AT41" s="101" t="s">
        <v>106</v>
      </c>
      <c r="AU41" s="364"/>
      <c r="AV41" s="364"/>
      <c r="AW41" s="364"/>
      <c r="AX41" s="364"/>
      <c r="AY41" s="364"/>
      <c r="AZ41" s="364"/>
      <c r="BA41" s="364"/>
      <c r="BB41" s="364"/>
      <c r="BC41" s="141"/>
    </row>
    <row r="42" spans="1:55" s="39" customFormat="1" ht="75.75" hidden="1" customHeight="1" x14ac:dyDescent="0.2">
      <c r="A42" s="418">
        <v>31</v>
      </c>
      <c r="B42" s="419" t="s">
        <v>369</v>
      </c>
      <c r="C42" s="421" t="s">
        <v>370</v>
      </c>
      <c r="D42" s="441" t="s">
        <v>86</v>
      </c>
      <c r="E42" s="461" t="s">
        <v>28</v>
      </c>
      <c r="F42" s="420" t="s">
        <v>30</v>
      </c>
      <c r="G42" s="421">
        <v>45</v>
      </c>
      <c r="H42" s="420">
        <v>234</v>
      </c>
      <c r="I42" s="422" t="s">
        <v>371</v>
      </c>
      <c r="J42" s="423">
        <v>45716</v>
      </c>
      <c r="K42" s="424">
        <v>0.49305555555555558</v>
      </c>
      <c r="L42" s="420" t="s">
        <v>372</v>
      </c>
      <c r="M42" s="425" t="s">
        <v>26</v>
      </c>
      <c r="N42" s="426" t="s">
        <v>89</v>
      </c>
      <c r="O42" s="426" t="s">
        <v>90</v>
      </c>
      <c r="P42" s="425" t="s">
        <v>89</v>
      </c>
      <c r="Q42" s="426" t="s">
        <v>91</v>
      </c>
      <c r="R42" s="427" t="s">
        <v>92</v>
      </c>
      <c r="S42" s="427" t="s">
        <v>341</v>
      </c>
      <c r="T42" s="420" t="s">
        <v>94</v>
      </c>
      <c r="U42" s="426"/>
      <c r="V42" s="420" t="s">
        <v>96</v>
      </c>
      <c r="W42" s="420" t="s">
        <v>373</v>
      </c>
      <c r="X42" s="426" t="s">
        <v>373</v>
      </c>
      <c r="Y42" s="420" t="s">
        <v>374</v>
      </c>
      <c r="Z42" s="425" t="s">
        <v>100</v>
      </c>
      <c r="AA42" s="426" t="s">
        <v>22</v>
      </c>
      <c r="AB42" s="440">
        <v>0</v>
      </c>
      <c r="AC42" s="440" t="s">
        <v>101</v>
      </c>
      <c r="AD42" s="440" t="s">
        <v>101</v>
      </c>
      <c r="AE42" s="455" t="s">
        <v>139</v>
      </c>
      <c r="AF42" s="425" t="s">
        <v>103</v>
      </c>
      <c r="AG42" s="241" t="s">
        <v>104</v>
      </c>
      <c r="AH42" s="426" t="s">
        <v>103</v>
      </c>
      <c r="AI42" s="426">
        <v>2863</v>
      </c>
      <c r="AJ42" s="355" t="s">
        <v>104</v>
      </c>
      <c r="AK42" s="355" t="s">
        <v>104</v>
      </c>
      <c r="AL42" s="467" t="s">
        <v>259</v>
      </c>
      <c r="AM42" s="427" t="s">
        <v>92</v>
      </c>
      <c r="AN42" s="425" t="s">
        <v>106</v>
      </c>
      <c r="AO42" s="456" t="s">
        <v>375</v>
      </c>
      <c r="AP42" s="456" t="s">
        <v>108</v>
      </c>
      <c r="AQ42" s="440"/>
      <c r="AS42" s="141"/>
      <c r="AT42" s="141"/>
      <c r="AU42" s="141"/>
      <c r="AV42" s="141"/>
      <c r="AW42" s="141"/>
      <c r="AX42" s="141"/>
      <c r="AY42" s="141"/>
      <c r="AZ42" s="141"/>
      <c r="BA42" s="141"/>
      <c r="BB42" s="141"/>
      <c r="BC42" s="141"/>
    </row>
    <row r="43" spans="1:55" s="39" customFormat="1" ht="107.25" hidden="1" customHeight="1" x14ac:dyDescent="0.2">
      <c r="A43" s="418">
        <v>32</v>
      </c>
      <c r="B43" s="419" t="s">
        <v>376</v>
      </c>
      <c r="C43" s="421" t="s">
        <v>377</v>
      </c>
      <c r="D43" s="438" t="s">
        <v>203</v>
      </c>
      <c r="E43" s="461" t="s">
        <v>28</v>
      </c>
      <c r="F43" s="420" t="s">
        <v>30</v>
      </c>
      <c r="G43" s="421">
        <v>28</v>
      </c>
      <c r="H43" s="420">
        <v>9921</v>
      </c>
      <c r="I43" s="422" t="s">
        <v>378</v>
      </c>
      <c r="J43" s="423">
        <v>45716</v>
      </c>
      <c r="K43" s="424">
        <v>0.64583333333333337</v>
      </c>
      <c r="L43" s="420" t="s">
        <v>379</v>
      </c>
      <c r="M43" s="425" t="s">
        <v>26</v>
      </c>
      <c r="N43" s="426" t="s">
        <v>89</v>
      </c>
      <c r="O43" s="426" t="s">
        <v>90</v>
      </c>
      <c r="P43" s="425" t="s">
        <v>89</v>
      </c>
      <c r="Q43" s="426" t="s">
        <v>91</v>
      </c>
      <c r="R43" s="427" t="s">
        <v>92</v>
      </c>
      <c r="S43" s="427" t="s">
        <v>341</v>
      </c>
      <c r="T43" s="420" t="s">
        <v>94</v>
      </c>
      <c r="U43" s="426"/>
      <c r="V43" s="420" t="s">
        <v>380</v>
      </c>
      <c r="W43" s="420" t="s">
        <v>381</v>
      </c>
      <c r="X43" s="420" t="s">
        <v>350</v>
      </c>
      <c r="Y43" s="420" t="s">
        <v>382</v>
      </c>
      <c r="Z43" s="425" t="s">
        <v>100</v>
      </c>
      <c r="AA43" s="426" t="s">
        <v>23</v>
      </c>
      <c r="AB43" s="440">
        <v>0</v>
      </c>
      <c r="AC43" s="440" t="s">
        <v>101</v>
      </c>
      <c r="AD43" s="440" t="s">
        <v>101</v>
      </c>
      <c r="AE43" s="455" t="s">
        <v>139</v>
      </c>
      <c r="AF43" s="425" t="s">
        <v>103</v>
      </c>
      <c r="AG43" s="241" t="s">
        <v>104</v>
      </c>
      <c r="AH43" s="426" t="s">
        <v>103</v>
      </c>
      <c r="AI43" s="426">
        <v>2864</v>
      </c>
      <c r="AJ43" s="355" t="s">
        <v>104</v>
      </c>
      <c r="AK43" s="355" t="s">
        <v>104</v>
      </c>
      <c r="AL43" s="427" t="s">
        <v>259</v>
      </c>
      <c r="AM43" s="427" t="s">
        <v>92</v>
      </c>
      <c r="AN43" s="425" t="s">
        <v>106</v>
      </c>
      <c r="AO43" s="462" t="s">
        <v>383</v>
      </c>
      <c r="AP43" s="456" t="s">
        <v>108</v>
      </c>
      <c r="AQ43" s="440"/>
      <c r="AS43" s="141"/>
      <c r="AT43" s="141"/>
      <c r="AU43" s="141"/>
      <c r="AV43" s="141"/>
      <c r="AW43" s="141"/>
      <c r="AX43" s="141"/>
      <c r="AY43" s="141"/>
      <c r="AZ43" s="141"/>
      <c r="BA43" s="141"/>
      <c r="BB43" s="141"/>
      <c r="BC43" s="141"/>
    </row>
    <row r="44" spans="1:55" ht="84.75" customHeight="1" x14ac:dyDescent="0.2">
      <c r="A44" s="283">
        <v>33</v>
      </c>
      <c r="B44" s="219" t="s">
        <v>384</v>
      </c>
      <c r="C44" s="287" t="s">
        <v>385</v>
      </c>
      <c r="D44" s="288" t="s">
        <v>203</v>
      </c>
      <c r="E44" s="463" t="s">
        <v>28</v>
      </c>
      <c r="F44" s="301" t="s">
        <v>30</v>
      </c>
      <c r="G44" s="287">
        <v>40</v>
      </c>
      <c r="H44" s="301">
        <v>309</v>
      </c>
      <c r="I44" s="392" t="s">
        <v>386</v>
      </c>
      <c r="J44" s="284">
        <v>45717</v>
      </c>
      <c r="K44" s="285">
        <v>0.27083333333333331</v>
      </c>
      <c r="L44" s="464"/>
      <c r="M44" s="241" t="s">
        <v>26</v>
      </c>
      <c r="N44" s="66" t="s">
        <v>89</v>
      </c>
      <c r="O44" s="66" t="s">
        <v>90</v>
      </c>
      <c r="P44" s="111" t="s">
        <v>89</v>
      </c>
      <c r="Q44" s="263" t="s">
        <v>91</v>
      </c>
      <c r="R44" s="260" t="s">
        <v>92</v>
      </c>
      <c r="S44" s="260" t="s">
        <v>341</v>
      </c>
      <c r="T44" s="66" t="s">
        <v>274</v>
      </c>
      <c r="U44" s="66" t="s">
        <v>387</v>
      </c>
      <c r="V44" s="120" t="s">
        <v>388</v>
      </c>
      <c r="W44" s="120" t="s">
        <v>381</v>
      </c>
      <c r="X44" s="120" t="s">
        <v>389</v>
      </c>
      <c r="Y44" s="120" t="s">
        <v>390</v>
      </c>
      <c r="Z44" s="111" t="s">
        <v>100</v>
      </c>
      <c r="AA44" s="66" t="s">
        <v>24</v>
      </c>
      <c r="AB44" s="181">
        <v>0</v>
      </c>
      <c r="AC44" s="181" t="s">
        <v>101</v>
      </c>
      <c r="AD44" s="218" t="s">
        <v>101</v>
      </c>
      <c r="AE44" s="271" t="s">
        <v>139</v>
      </c>
      <c r="AF44" s="241" t="s">
        <v>103</v>
      </c>
      <c r="AG44" s="242" t="s">
        <v>103</v>
      </c>
      <c r="AH44" s="353" t="s">
        <v>103</v>
      </c>
      <c r="AI44" s="353">
        <v>2875</v>
      </c>
      <c r="AJ44" s="353" t="s">
        <v>104</v>
      </c>
      <c r="AK44" s="353" t="s">
        <v>104</v>
      </c>
      <c r="AL44" s="66" t="s">
        <v>197</v>
      </c>
      <c r="AM44" s="260" t="s">
        <v>92</v>
      </c>
      <c r="AN44" s="111" t="s">
        <v>106</v>
      </c>
      <c r="AO44" s="138" t="s">
        <v>391</v>
      </c>
      <c r="AP44" s="138" t="s">
        <v>108</v>
      </c>
      <c r="AQ44" s="218"/>
      <c r="AS44" s="364"/>
      <c r="AT44" s="364"/>
      <c r="AU44" s="364"/>
      <c r="AV44" s="364"/>
      <c r="AW44" s="364"/>
      <c r="AX44" s="364"/>
      <c r="AY44" s="364"/>
      <c r="AZ44" s="364"/>
      <c r="BA44" s="364"/>
      <c r="BB44" s="364"/>
      <c r="BC44" s="364"/>
    </row>
    <row r="45" spans="1:55" ht="77.25" customHeight="1" x14ac:dyDescent="0.2">
      <c r="A45" s="283">
        <v>34</v>
      </c>
      <c r="B45" s="219" t="s">
        <v>392</v>
      </c>
      <c r="C45" s="287" t="s">
        <v>393</v>
      </c>
      <c r="D45" s="288" t="s">
        <v>86</v>
      </c>
      <c r="E45" s="464" t="s">
        <v>28</v>
      </c>
      <c r="F45" s="301" t="s">
        <v>30</v>
      </c>
      <c r="G45" s="287">
        <v>46</v>
      </c>
      <c r="H45" s="301">
        <v>9889</v>
      </c>
      <c r="I45" s="392" t="s">
        <v>394</v>
      </c>
      <c r="J45" s="284">
        <v>45717</v>
      </c>
      <c r="K45" s="285">
        <v>0.4236111111111111</v>
      </c>
      <c r="L45" s="464" t="s">
        <v>235</v>
      </c>
      <c r="M45" s="241" t="s">
        <v>26</v>
      </c>
      <c r="N45" s="66" t="s">
        <v>89</v>
      </c>
      <c r="O45" s="66" t="s">
        <v>90</v>
      </c>
      <c r="P45" s="111" t="s">
        <v>89</v>
      </c>
      <c r="Q45" s="263" t="s">
        <v>91</v>
      </c>
      <c r="R45" s="260" t="s">
        <v>92</v>
      </c>
      <c r="S45" s="260" t="s">
        <v>341</v>
      </c>
      <c r="T45" s="66" t="s">
        <v>94</v>
      </c>
      <c r="U45" s="120"/>
      <c r="V45" s="120" t="s">
        <v>395</v>
      </c>
      <c r="W45" s="120" t="s">
        <v>396</v>
      </c>
      <c r="X45" s="120" t="s">
        <v>397</v>
      </c>
      <c r="Y45" s="120" t="s">
        <v>398</v>
      </c>
      <c r="Z45" s="111" t="s">
        <v>189</v>
      </c>
      <c r="AA45" s="66" t="s">
        <v>22</v>
      </c>
      <c r="AB45" s="181">
        <v>0</v>
      </c>
      <c r="AC45" s="181" t="s">
        <v>101</v>
      </c>
      <c r="AD45" s="218" t="s">
        <v>101</v>
      </c>
      <c r="AE45" s="271" t="s">
        <v>139</v>
      </c>
      <c r="AF45" s="241" t="s">
        <v>103</v>
      </c>
      <c r="AG45" s="242" t="s">
        <v>104</v>
      </c>
      <c r="AH45" s="353" t="s">
        <v>104</v>
      </c>
      <c r="AI45" s="353"/>
      <c r="AJ45" s="353" t="s">
        <v>104</v>
      </c>
      <c r="AK45" s="353" t="s">
        <v>104</v>
      </c>
      <c r="AL45" s="66" t="s">
        <v>351</v>
      </c>
      <c r="AM45" s="260" t="s">
        <v>92</v>
      </c>
      <c r="AN45" s="111" t="s">
        <v>106</v>
      </c>
      <c r="AO45" s="138" t="s">
        <v>399</v>
      </c>
      <c r="AP45" s="138" t="s">
        <v>108</v>
      </c>
      <c r="AQ45" s="218"/>
      <c r="AS45" s="364"/>
      <c r="AT45" s="364"/>
      <c r="AU45" s="364"/>
      <c r="AV45" s="364"/>
      <c r="AW45" s="364"/>
      <c r="AX45" s="364"/>
      <c r="AY45" s="364"/>
      <c r="AZ45" s="364"/>
      <c r="BA45" s="364"/>
      <c r="BB45" s="364"/>
      <c r="BC45" s="364"/>
    </row>
    <row r="46" spans="1:55" s="68" customFormat="1" ht="92.25" customHeight="1" x14ac:dyDescent="0.2">
      <c r="A46" s="283">
        <v>35</v>
      </c>
      <c r="B46" s="219" t="s">
        <v>400</v>
      </c>
      <c r="C46" s="287" t="s">
        <v>401</v>
      </c>
      <c r="D46" s="288" t="s">
        <v>175</v>
      </c>
      <c r="E46" s="289" t="s">
        <v>28</v>
      </c>
      <c r="F46" s="120" t="s">
        <v>30</v>
      </c>
      <c r="G46" s="287">
        <v>64</v>
      </c>
      <c r="H46" s="301">
        <v>287</v>
      </c>
      <c r="I46" s="392" t="s">
        <v>402</v>
      </c>
      <c r="J46" s="284">
        <v>45717</v>
      </c>
      <c r="K46" s="285">
        <v>0.5625</v>
      </c>
      <c r="L46" s="120" t="s">
        <v>119</v>
      </c>
      <c r="M46" s="241" t="s">
        <v>403</v>
      </c>
      <c r="N46" s="66" t="s">
        <v>89</v>
      </c>
      <c r="O46" s="66" t="s">
        <v>90</v>
      </c>
      <c r="P46" s="111" t="s">
        <v>89</v>
      </c>
      <c r="Q46" s="263" t="s">
        <v>404</v>
      </c>
      <c r="R46" s="260" t="s">
        <v>92</v>
      </c>
      <c r="S46" s="260" t="s">
        <v>128</v>
      </c>
      <c r="T46" s="66" t="s">
        <v>274</v>
      </c>
      <c r="U46" s="120" t="s">
        <v>405</v>
      </c>
      <c r="V46" s="120" t="s">
        <v>178</v>
      </c>
      <c r="W46" s="120" t="s">
        <v>396</v>
      </c>
      <c r="X46" s="120" t="s">
        <v>406</v>
      </c>
      <c r="Y46" s="120" t="s">
        <v>407</v>
      </c>
      <c r="Z46" s="111" t="s">
        <v>189</v>
      </c>
      <c r="AA46" s="66" t="s">
        <v>22</v>
      </c>
      <c r="AB46" s="181">
        <v>0</v>
      </c>
      <c r="AC46" s="181" t="s">
        <v>101</v>
      </c>
      <c r="AD46" s="218" t="s">
        <v>101</v>
      </c>
      <c r="AE46" s="271" t="s">
        <v>89</v>
      </c>
      <c r="AF46" s="241" t="s">
        <v>103</v>
      </c>
      <c r="AG46" s="242" t="s">
        <v>104</v>
      </c>
      <c r="AH46" s="353" t="s">
        <v>103</v>
      </c>
      <c r="AI46" s="353">
        <v>2878</v>
      </c>
      <c r="AJ46" s="353" t="s">
        <v>103</v>
      </c>
      <c r="AK46" s="353" t="s">
        <v>103</v>
      </c>
      <c r="AL46" s="66" t="s">
        <v>351</v>
      </c>
      <c r="AM46" s="260" t="s">
        <v>92</v>
      </c>
      <c r="AN46" s="111" t="s">
        <v>106</v>
      </c>
      <c r="AO46" s="163" t="s">
        <v>408</v>
      </c>
      <c r="AP46" s="138" t="s">
        <v>108</v>
      </c>
      <c r="AQ46" s="218"/>
      <c r="AS46" s="366"/>
      <c r="AT46" s="366"/>
      <c r="AU46" s="366"/>
      <c r="AV46" s="366"/>
      <c r="AW46" s="366"/>
      <c r="AX46" s="366"/>
      <c r="AY46" s="366"/>
      <c r="AZ46" s="366"/>
      <c r="BA46" s="366"/>
      <c r="BB46" s="366"/>
      <c r="BC46" s="366"/>
    </row>
    <row r="47" spans="1:55" ht="82.5" customHeight="1" x14ac:dyDescent="0.2">
      <c r="A47" s="283">
        <v>36</v>
      </c>
      <c r="B47" s="300" t="s">
        <v>409</v>
      </c>
      <c r="C47" s="301" t="s">
        <v>410</v>
      </c>
      <c r="D47" s="271" t="s">
        <v>86</v>
      </c>
      <c r="E47" s="332" t="s">
        <v>28</v>
      </c>
      <c r="F47" s="120" t="s">
        <v>30</v>
      </c>
      <c r="G47" s="287">
        <v>37</v>
      </c>
      <c r="H47" s="301">
        <v>9898</v>
      </c>
      <c r="I47" s="392" t="s">
        <v>411</v>
      </c>
      <c r="J47" s="297">
        <v>45720</v>
      </c>
      <c r="K47" s="302">
        <v>0.8125</v>
      </c>
      <c r="L47" s="120" t="s">
        <v>235</v>
      </c>
      <c r="M47" s="241" t="s">
        <v>26</v>
      </c>
      <c r="N47" s="66" t="s">
        <v>89</v>
      </c>
      <c r="O47" s="66" t="s">
        <v>90</v>
      </c>
      <c r="P47" s="111" t="s">
        <v>89</v>
      </c>
      <c r="Q47" s="263" t="s">
        <v>91</v>
      </c>
      <c r="R47" s="260" t="s">
        <v>92</v>
      </c>
      <c r="S47" s="260" t="s">
        <v>341</v>
      </c>
      <c r="T47" s="66" t="s">
        <v>94</v>
      </c>
      <c r="U47" s="120"/>
      <c r="V47" s="120" t="s">
        <v>96</v>
      </c>
      <c r="W47" s="120" t="s">
        <v>396</v>
      </c>
      <c r="X47" s="214" t="s">
        <v>97</v>
      </c>
      <c r="Y47" s="120" t="s">
        <v>412</v>
      </c>
      <c r="Z47" s="111" t="s">
        <v>138</v>
      </c>
      <c r="AA47" s="66" t="s">
        <v>23</v>
      </c>
      <c r="AB47" s="181">
        <v>0</v>
      </c>
      <c r="AC47" s="181" t="s">
        <v>101</v>
      </c>
      <c r="AD47" s="218" t="s">
        <v>101</v>
      </c>
      <c r="AE47" s="271" t="s">
        <v>139</v>
      </c>
      <c r="AF47" s="241" t="s">
        <v>103</v>
      </c>
      <c r="AG47" s="242" t="s">
        <v>104</v>
      </c>
      <c r="AH47" s="353" t="s">
        <v>103</v>
      </c>
      <c r="AI47" s="353">
        <v>2879</v>
      </c>
      <c r="AJ47" s="353" t="s">
        <v>104</v>
      </c>
      <c r="AK47" s="353" t="s">
        <v>104</v>
      </c>
      <c r="AL47" s="66" t="s">
        <v>159</v>
      </c>
      <c r="AM47" s="260" t="s">
        <v>92</v>
      </c>
      <c r="AN47" s="111" t="s">
        <v>106</v>
      </c>
      <c r="AO47" s="138" t="s">
        <v>413</v>
      </c>
      <c r="AP47" s="138" t="s">
        <v>108</v>
      </c>
      <c r="AQ47" s="181"/>
      <c r="AR47" s="39"/>
      <c r="AS47" s="141"/>
      <c r="AT47" s="366"/>
      <c r="AU47" s="364"/>
      <c r="AV47" s="364"/>
      <c r="AW47" s="364"/>
      <c r="AX47" s="364"/>
      <c r="AY47" s="364"/>
      <c r="AZ47" s="364"/>
      <c r="BA47" s="364"/>
      <c r="BB47" s="364"/>
      <c r="BC47" s="364"/>
    </row>
    <row r="48" spans="1:55" ht="78.75" customHeight="1" x14ac:dyDescent="0.2">
      <c r="A48" s="283">
        <v>37</v>
      </c>
      <c r="B48" s="219" t="s">
        <v>222</v>
      </c>
      <c r="C48" s="120" t="s">
        <v>223</v>
      </c>
      <c r="D48" s="286" t="s">
        <v>175</v>
      </c>
      <c r="E48" s="332" t="s">
        <v>28</v>
      </c>
      <c r="F48" s="332" t="s">
        <v>30</v>
      </c>
      <c r="G48" s="287">
        <v>56</v>
      </c>
      <c r="H48" s="301">
        <v>1021</v>
      </c>
      <c r="I48" s="392" t="s">
        <v>414</v>
      </c>
      <c r="J48" s="297">
        <v>45723</v>
      </c>
      <c r="K48" s="302">
        <v>0.375</v>
      </c>
      <c r="L48" s="120" t="s">
        <v>415</v>
      </c>
      <c r="M48" s="241" t="s">
        <v>11</v>
      </c>
      <c r="N48" s="66" t="s">
        <v>207</v>
      </c>
      <c r="O48" s="66" t="s">
        <v>90</v>
      </c>
      <c r="P48" s="111" t="s">
        <v>89</v>
      </c>
      <c r="Q48" s="263" t="s">
        <v>416</v>
      </c>
      <c r="R48" s="260" t="s">
        <v>92</v>
      </c>
      <c r="S48" s="260" t="s">
        <v>341</v>
      </c>
      <c r="T48" s="66" t="s">
        <v>94</v>
      </c>
      <c r="U48" s="120"/>
      <c r="V48" s="42" t="s">
        <v>96</v>
      </c>
      <c r="W48" s="120" t="s">
        <v>396</v>
      </c>
      <c r="X48" s="120" t="s">
        <v>417</v>
      </c>
      <c r="Y48" s="120" t="s">
        <v>418</v>
      </c>
      <c r="Z48" s="111" t="s">
        <v>100</v>
      </c>
      <c r="AA48" s="66" t="s">
        <v>22</v>
      </c>
      <c r="AB48" s="111">
        <v>0</v>
      </c>
      <c r="AC48" s="111" t="s">
        <v>101</v>
      </c>
      <c r="AD48" s="111" t="s">
        <v>101</v>
      </c>
      <c r="AE48" s="111" t="s">
        <v>89</v>
      </c>
      <c r="AF48" s="241" t="s">
        <v>103</v>
      </c>
      <c r="AG48" s="242" t="s">
        <v>104</v>
      </c>
      <c r="AH48" s="353" t="s">
        <v>103</v>
      </c>
      <c r="AI48" s="353">
        <v>2898</v>
      </c>
      <c r="AJ48" s="353" t="s">
        <v>103</v>
      </c>
      <c r="AK48" s="353" t="s">
        <v>103</v>
      </c>
      <c r="AL48" s="66" t="s">
        <v>197</v>
      </c>
      <c r="AM48" s="260" t="s">
        <v>92</v>
      </c>
      <c r="AN48" s="111" t="s">
        <v>106</v>
      </c>
      <c r="AO48" s="260" t="s">
        <v>399</v>
      </c>
      <c r="AP48" s="260" t="s">
        <v>108</v>
      </c>
      <c r="AQ48" s="111"/>
      <c r="AR48" s="39"/>
      <c r="AS48" s="141"/>
      <c r="AT48" s="366"/>
      <c r="AU48" s="364"/>
      <c r="AV48" s="364"/>
      <c r="AW48" s="364"/>
      <c r="AX48" s="364"/>
      <c r="AY48" s="364"/>
      <c r="AZ48" s="364"/>
      <c r="BA48" s="364"/>
      <c r="BB48" s="364"/>
      <c r="BC48" s="364"/>
    </row>
    <row r="49" spans="1:55" ht="73.5" customHeight="1" x14ac:dyDescent="0.2">
      <c r="A49" s="283">
        <v>38</v>
      </c>
      <c r="B49" s="219" t="s">
        <v>419</v>
      </c>
      <c r="C49" s="120" t="s">
        <v>420</v>
      </c>
      <c r="D49" s="120" t="s">
        <v>421</v>
      </c>
      <c r="E49" s="120" t="s">
        <v>27</v>
      </c>
      <c r="F49" s="120" t="s">
        <v>162</v>
      </c>
      <c r="G49" s="287">
        <v>53</v>
      </c>
      <c r="H49" s="181">
        <v>582</v>
      </c>
      <c r="I49" s="392" t="s">
        <v>422</v>
      </c>
      <c r="J49" s="284">
        <v>45728</v>
      </c>
      <c r="K49" s="285">
        <v>0.66666666666666663</v>
      </c>
      <c r="L49" s="298" t="s">
        <v>423</v>
      </c>
      <c r="M49" s="241" t="s">
        <v>11</v>
      </c>
      <c r="N49" s="66" t="s">
        <v>207</v>
      </c>
      <c r="O49" s="66" t="s">
        <v>90</v>
      </c>
      <c r="P49" s="111" t="s">
        <v>89</v>
      </c>
      <c r="Q49" s="263" t="s">
        <v>424</v>
      </c>
      <c r="R49" s="260" t="s">
        <v>92</v>
      </c>
      <c r="S49" s="260" t="s">
        <v>106</v>
      </c>
      <c r="T49" s="66" t="s">
        <v>89</v>
      </c>
      <c r="U49" s="120"/>
      <c r="V49" s="120" t="s">
        <v>425</v>
      </c>
      <c r="W49" s="120" t="s">
        <v>421</v>
      </c>
      <c r="X49" s="120" t="s">
        <v>421</v>
      </c>
      <c r="Y49" s="120" t="s">
        <v>421</v>
      </c>
      <c r="Z49" s="111" t="s">
        <v>150</v>
      </c>
      <c r="AA49" s="466" t="s">
        <v>101</v>
      </c>
      <c r="AB49" s="181">
        <v>0</v>
      </c>
      <c r="AC49" s="181" t="s">
        <v>101</v>
      </c>
      <c r="AD49" s="181" t="s">
        <v>101</v>
      </c>
      <c r="AE49" s="111" t="s">
        <v>89</v>
      </c>
      <c r="AF49" s="241" t="s">
        <v>103</v>
      </c>
      <c r="AG49" s="242" t="s">
        <v>104</v>
      </c>
      <c r="AH49" s="353" t="s">
        <v>103</v>
      </c>
      <c r="AI49" s="353">
        <v>2906</v>
      </c>
      <c r="AJ49" s="353" t="s">
        <v>103</v>
      </c>
      <c r="AK49" s="353" t="s">
        <v>103</v>
      </c>
      <c r="AL49" s="181" t="s">
        <v>101</v>
      </c>
      <c r="AM49" s="181" t="s">
        <v>101</v>
      </c>
      <c r="AN49" s="181" t="s">
        <v>101</v>
      </c>
      <c r="AO49" s="181" t="s">
        <v>101</v>
      </c>
      <c r="AP49" s="181" t="s">
        <v>101</v>
      </c>
      <c r="AQ49" s="181"/>
      <c r="AR49" s="39"/>
      <c r="AS49" s="141"/>
      <c r="AT49" s="366"/>
      <c r="AU49" s="364"/>
      <c r="AV49" s="364"/>
      <c r="AW49" s="364"/>
      <c r="AX49" s="364"/>
      <c r="AY49" s="364"/>
      <c r="AZ49" s="364"/>
      <c r="BA49" s="364"/>
      <c r="BB49" s="364"/>
      <c r="BC49" s="364"/>
    </row>
    <row r="50" spans="1:55" ht="93.75" customHeight="1" x14ac:dyDescent="0.2">
      <c r="A50" s="283">
        <v>39</v>
      </c>
      <c r="B50" s="246" t="s">
        <v>426</v>
      </c>
      <c r="C50" s="268" t="s">
        <v>427</v>
      </c>
      <c r="D50" s="268" t="s">
        <v>86</v>
      </c>
      <c r="E50" s="120" t="s">
        <v>28</v>
      </c>
      <c r="F50" s="120" t="s">
        <v>30</v>
      </c>
      <c r="G50" s="372">
        <v>44</v>
      </c>
      <c r="H50" s="301">
        <v>9884</v>
      </c>
      <c r="I50" s="392" t="s">
        <v>428</v>
      </c>
      <c r="J50" s="284">
        <v>45731</v>
      </c>
      <c r="K50" s="285">
        <v>0.48958333333333331</v>
      </c>
      <c r="L50" s="120" t="s">
        <v>88</v>
      </c>
      <c r="M50" s="241" t="s">
        <v>26</v>
      </c>
      <c r="N50" s="111" t="s">
        <v>89</v>
      </c>
      <c r="O50" s="111" t="s">
        <v>90</v>
      </c>
      <c r="P50" s="111" t="s">
        <v>89</v>
      </c>
      <c r="Q50" s="241" t="s">
        <v>91</v>
      </c>
      <c r="R50" s="111" t="s">
        <v>92</v>
      </c>
      <c r="S50" s="120" t="s">
        <v>93</v>
      </c>
      <c r="T50" s="66" t="s">
        <v>94</v>
      </c>
      <c r="U50" s="120"/>
      <c r="V50" s="120" t="s">
        <v>96</v>
      </c>
      <c r="W50" s="111" t="s">
        <v>97</v>
      </c>
      <c r="X50" s="120" t="s">
        <v>98</v>
      </c>
      <c r="Y50" s="111" t="s">
        <v>429</v>
      </c>
      <c r="Z50" s="111" t="s">
        <v>189</v>
      </c>
      <c r="AA50" s="66" t="s">
        <v>22</v>
      </c>
      <c r="AB50" s="111">
        <v>0</v>
      </c>
      <c r="AC50" s="111" t="s">
        <v>101</v>
      </c>
      <c r="AD50" s="111" t="s">
        <v>101</v>
      </c>
      <c r="AE50" s="111" t="s">
        <v>139</v>
      </c>
      <c r="AF50" s="241" t="s">
        <v>103</v>
      </c>
      <c r="AG50" s="241" t="s">
        <v>103</v>
      </c>
      <c r="AH50" s="352" t="s">
        <v>103</v>
      </c>
      <c r="AI50" s="352">
        <v>2909</v>
      </c>
      <c r="AJ50" s="352" t="s">
        <v>104</v>
      </c>
      <c r="AK50" s="352" t="s">
        <v>104</v>
      </c>
      <c r="AL50" s="120" t="s">
        <v>105</v>
      </c>
      <c r="AM50" s="111" t="s">
        <v>92</v>
      </c>
      <c r="AN50" s="111" t="s">
        <v>106</v>
      </c>
      <c r="AO50" s="163" t="s">
        <v>199</v>
      </c>
      <c r="AP50" s="138" t="s">
        <v>108</v>
      </c>
      <c r="AQ50" s="111"/>
      <c r="AR50" s="39"/>
      <c r="AS50" s="141"/>
      <c r="AT50" s="366"/>
      <c r="AU50" s="364"/>
      <c r="AV50" s="364"/>
      <c r="AW50" s="364"/>
      <c r="AX50" s="364"/>
      <c r="AY50" s="364"/>
      <c r="AZ50" s="364"/>
      <c r="BA50" s="364"/>
      <c r="BB50" s="364"/>
      <c r="BC50" s="364"/>
    </row>
    <row r="51" spans="1:55" s="39" customFormat="1" ht="78" customHeight="1" x14ac:dyDescent="0.2">
      <c r="A51" s="283">
        <v>40</v>
      </c>
      <c r="B51" s="219" t="s">
        <v>430</v>
      </c>
      <c r="C51" s="120" t="s">
        <v>431</v>
      </c>
      <c r="D51" s="120" t="s">
        <v>86</v>
      </c>
      <c r="E51" s="120" t="s">
        <v>27</v>
      </c>
      <c r="F51" s="120" t="s">
        <v>30</v>
      </c>
      <c r="G51" s="287">
        <v>27</v>
      </c>
      <c r="H51" s="181">
        <v>10336</v>
      </c>
      <c r="I51" s="392" t="s">
        <v>432</v>
      </c>
      <c r="J51" s="284">
        <v>45738</v>
      </c>
      <c r="K51" s="285">
        <v>0.75694444444444442</v>
      </c>
      <c r="L51" s="120" t="s">
        <v>254</v>
      </c>
      <c r="M51" s="242" t="s">
        <v>206</v>
      </c>
      <c r="N51" s="66" t="s">
        <v>207</v>
      </c>
      <c r="O51" s="66" t="s">
        <v>90</v>
      </c>
      <c r="P51" s="111" t="s">
        <v>89</v>
      </c>
      <c r="Q51" s="241" t="s">
        <v>91</v>
      </c>
      <c r="R51" s="111" t="s">
        <v>92</v>
      </c>
      <c r="S51" s="120" t="s">
        <v>93</v>
      </c>
      <c r="T51" s="66" t="s">
        <v>89</v>
      </c>
      <c r="U51" s="120" t="s">
        <v>433</v>
      </c>
      <c r="V51" s="120" t="s">
        <v>178</v>
      </c>
      <c r="W51" s="120" t="s">
        <v>181</v>
      </c>
      <c r="X51" s="120" t="s">
        <v>434</v>
      </c>
      <c r="Y51" s="120" t="s">
        <v>435</v>
      </c>
      <c r="Z51" s="111" t="s">
        <v>189</v>
      </c>
      <c r="AA51" s="66" t="s">
        <v>23</v>
      </c>
      <c r="AB51" s="181">
        <v>0</v>
      </c>
      <c r="AC51" s="111" t="s">
        <v>101</v>
      </c>
      <c r="AD51" s="181"/>
      <c r="AE51" s="271" t="s">
        <v>213</v>
      </c>
      <c r="AF51" s="241" t="s">
        <v>103</v>
      </c>
      <c r="AG51" s="242" t="s">
        <v>104</v>
      </c>
      <c r="AH51" s="353" t="s">
        <v>104</v>
      </c>
      <c r="AI51" s="353"/>
      <c r="AJ51" s="352" t="s">
        <v>104</v>
      </c>
      <c r="AK51" s="352" t="s">
        <v>104</v>
      </c>
      <c r="AL51" s="260" t="s">
        <v>259</v>
      </c>
      <c r="AM51" s="111" t="s">
        <v>92</v>
      </c>
      <c r="AN51" s="111" t="s">
        <v>106</v>
      </c>
      <c r="AO51" s="138" t="s">
        <v>436</v>
      </c>
      <c r="AP51" s="138" t="s">
        <v>92</v>
      </c>
      <c r="AQ51" s="181"/>
      <c r="AS51" s="141"/>
      <c r="AT51" s="366"/>
      <c r="AU51" s="141"/>
      <c r="AV51" s="141"/>
      <c r="AW51" s="141"/>
      <c r="AX51" s="141"/>
      <c r="AY51" s="141"/>
      <c r="AZ51" s="141"/>
      <c r="BA51" s="141"/>
      <c r="BB51" s="141"/>
      <c r="BC51" s="141"/>
    </row>
    <row r="52" spans="1:55" s="98" customFormat="1" ht="77.25" customHeight="1" x14ac:dyDescent="0.2">
      <c r="A52" s="283">
        <v>43</v>
      </c>
      <c r="B52" s="247" t="s">
        <v>152</v>
      </c>
      <c r="C52" s="268" t="s">
        <v>153</v>
      </c>
      <c r="D52" s="268" t="s">
        <v>165</v>
      </c>
      <c r="E52" s="120" t="s">
        <v>28</v>
      </c>
      <c r="F52" s="120" t="s">
        <v>30</v>
      </c>
      <c r="G52" s="372">
        <v>47</v>
      </c>
      <c r="H52" s="301">
        <v>605</v>
      </c>
      <c r="I52" s="392" t="s">
        <v>437</v>
      </c>
      <c r="J52" s="284">
        <v>45739</v>
      </c>
      <c r="K52" s="294">
        <v>0.3888888888888889</v>
      </c>
      <c r="L52" s="120" t="s">
        <v>88</v>
      </c>
      <c r="M52" s="241" t="s">
        <v>26</v>
      </c>
      <c r="N52" s="111" t="s">
        <v>89</v>
      </c>
      <c r="O52" s="66" t="s">
        <v>90</v>
      </c>
      <c r="P52" s="111" t="s">
        <v>89</v>
      </c>
      <c r="Q52" s="242" t="s">
        <v>91</v>
      </c>
      <c r="R52" s="66" t="s">
        <v>92</v>
      </c>
      <c r="S52" s="120" t="s">
        <v>93</v>
      </c>
      <c r="T52" s="66" t="s">
        <v>94</v>
      </c>
      <c r="U52" s="120"/>
      <c r="V52" s="120" t="s">
        <v>115</v>
      </c>
      <c r="W52" s="332" t="s">
        <v>156</v>
      </c>
      <c r="X52" s="332" t="s">
        <v>157</v>
      </c>
      <c r="Y52" s="66" t="s">
        <v>158</v>
      </c>
      <c r="Z52" s="111" t="s">
        <v>438</v>
      </c>
      <c r="AA52" s="66" t="s">
        <v>22</v>
      </c>
      <c r="AB52" s="260">
        <v>0</v>
      </c>
      <c r="AC52" s="111" t="s">
        <v>101</v>
      </c>
      <c r="AD52" s="111" t="s">
        <v>101</v>
      </c>
      <c r="AE52" s="241" t="s">
        <v>139</v>
      </c>
      <c r="AF52" s="241" t="s">
        <v>103</v>
      </c>
      <c r="AG52" s="242" t="s">
        <v>103</v>
      </c>
      <c r="AH52" s="353" t="s">
        <v>103</v>
      </c>
      <c r="AI52" s="353">
        <v>2920</v>
      </c>
      <c r="AJ52" s="353" t="s">
        <v>104</v>
      </c>
      <c r="AK52" s="353" t="s">
        <v>104</v>
      </c>
      <c r="AL52" s="120" t="s">
        <v>159</v>
      </c>
      <c r="AM52" s="111" t="s">
        <v>92</v>
      </c>
      <c r="AN52" s="111" t="s">
        <v>106</v>
      </c>
      <c r="AO52" s="163" t="s">
        <v>439</v>
      </c>
      <c r="AP52" s="138" t="s">
        <v>92</v>
      </c>
      <c r="AQ52" s="181"/>
      <c r="AS52" s="141"/>
      <c r="AT52" s="141"/>
      <c r="AU52" s="141"/>
      <c r="AV52" s="141"/>
      <c r="AW52" s="141"/>
      <c r="AX52" s="141"/>
      <c r="AY52" s="141"/>
      <c r="AZ52" s="141"/>
      <c r="BA52" s="141"/>
      <c r="BB52" s="141"/>
      <c r="BC52" s="141"/>
    </row>
    <row r="53" spans="1:55" s="39" customFormat="1" ht="108.75" customHeight="1" x14ac:dyDescent="0.2">
      <c r="A53" s="283">
        <v>44</v>
      </c>
      <c r="B53" s="219" t="s">
        <v>440</v>
      </c>
      <c r="C53" s="120" t="s">
        <v>441</v>
      </c>
      <c r="D53" s="120" t="s">
        <v>175</v>
      </c>
      <c r="E53" s="120" t="s">
        <v>27</v>
      </c>
      <c r="F53" s="120" t="s">
        <v>30</v>
      </c>
      <c r="G53" s="287">
        <v>31</v>
      </c>
      <c r="H53" s="181">
        <v>11043</v>
      </c>
      <c r="I53" s="392" t="s">
        <v>442</v>
      </c>
      <c r="J53" s="284">
        <v>45739</v>
      </c>
      <c r="K53" s="285">
        <v>0.56944444444444442</v>
      </c>
      <c r="L53" s="120" t="s">
        <v>443</v>
      </c>
      <c r="M53" s="241" t="s">
        <v>26</v>
      </c>
      <c r="N53" s="111" t="s">
        <v>89</v>
      </c>
      <c r="O53" s="66" t="s">
        <v>90</v>
      </c>
      <c r="P53" s="111" t="s">
        <v>89</v>
      </c>
      <c r="Q53" s="242" t="s">
        <v>91</v>
      </c>
      <c r="R53" s="66" t="s">
        <v>92</v>
      </c>
      <c r="S53" s="261" t="s">
        <v>128</v>
      </c>
      <c r="T53" s="66" t="s">
        <v>94</v>
      </c>
      <c r="U53" s="271"/>
      <c r="V53" s="120" t="s">
        <v>444</v>
      </c>
      <c r="W53" s="332" t="s">
        <v>156</v>
      </c>
      <c r="X53" s="120" t="s">
        <v>445</v>
      </c>
      <c r="Y53" s="120" t="s">
        <v>446</v>
      </c>
      <c r="Z53" s="111" t="s">
        <v>438</v>
      </c>
      <c r="AA53" s="111" t="s">
        <v>22</v>
      </c>
      <c r="AB53" s="260">
        <v>0</v>
      </c>
      <c r="AC53" s="111" t="s">
        <v>101</v>
      </c>
      <c r="AD53" s="111" t="s">
        <v>101</v>
      </c>
      <c r="AE53" s="218" t="s">
        <v>89</v>
      </c>
      <c r="AF53" s="241" t="s">
        <v>103</v>
      </c>
      <c r="AG53" s="241" t="s">
        <v>104</v>
      </c>
      <c r="AH53" s="355" t="s">
        <v>103</v>
      </c>
      <c r="AI53" s="355">
        <v>2921</v>
      </c>
      <c r="AJ53" s="353" t="s">
        <v>104</v>
      </c>
      <c r="AK53" s="353" t="s">
        <v>104</v>
      </c>
      <c r="AL53" s="260" t="s">
        <v>259</v>
      </c>
      <c r="AM53" s="111" t="s">
        <v>92</v>
      </c>
      <c r="AN53" s="111" t="s">
        <v>106</v>
      </c>
      <c r="AO53" s="138" t="s">
        <v>447</v>
      </c>
      <c r="AP53" s="138" t="s">
        <v>92</v>
      </c>
      <c r="AQ53" s="181"/>
      <c r="AS53" s="141"/>
      <c r="AT53" s="141"/>
      <c r="AU53" s="141"/>
      <c r="AV53" s="141"/>
      <c r="AW53" s="141"/>
      <c r="AX53" s="141"/>
      <c r="AY53" s="141"/>
      <c r="AZ53" s="141"/>
      <c r="BA53" s="141"/>
      <c r="BB53" s="141"/>
      <c r="BC53" s="141"/>
    </row>
    <row r="54" spans="1:55" s="39" customFormat="1" ht="92.25" customHeight="1" x14ac:dyDescent="0.2">
      <c r="A54" s="283">
        <v>45</v>
      </c>
      <c r="B54" s="219" t="s">
        <v>448</v>
      </c>
      <c r="C54" s="120" t="s">
        <v>449</v>
      </c>
      <c r="D54" s="120" t="s">
        <v>450</v>
      </c>
      <c r="E54" s="120" t="s">
        <v>27</v>
      </c>
      <c r="F54" s="120" t="s">
        <v>30</v>
      </c>
      <c r="G54" s="287" t="s">
        <v>451</v>
      </c>
      <c r="H54" s="284" t="s">
        <v>452</v>
      </c>
      <c r="I54" s="392" t="s">
        <v>453</v>
      </c>
      <c r="J54" s="284">
        <v>45739</v>
      </c>
      <c r="K54" s="285">
        <v>0.76041666666666663</v>
      </c>
      <c r="L54" s="120" t="s">
        <v>454</v>
      </c>
      <c r="M54" s="241" t="s">
        <v>26</v>
      </c>
      <c r="N54" s="111" t="s">
        <v>89</v>
      </c>
      <c r="O54" s="66" t="s">
        <v>90</v>
      </c>
      <c r="P54" s="111" t="s">
        <v>89</v>
      </c>
      <c r="Q54" s="242" t="s">
        <v>91</v>
      </c>
      <c r="R54" s="66" t="s">
        <v>92</v>
      </c>
      <c r="S54" s="260" t="s">
        <v>106</v>
      </c>
      <c r="T54" s="66" t="s">
        <v>94</v>
      </c>
      <c r="U54" s="66"/>
      <c r="V54" s="120" t="s">
        <v>455</v>
      </c>
      <c r="W54" s="120" t="s">
        <v>456</v>
      </c>
      <c r="X54" s="120" t="s">
        <v>457</v>
      </c>
      <c r="Y54" s="120" t="s">
        <v>458</v>
      </c>
      <c r="Z54" s="111" t="s">
        <v>438</v>
      </c>
      <c r="AA54" s="66" t="s">
        <v>23</v>
      </c>
      <c r="AB54" s="260">
        <v>0</v>
      </c>
      <c r="AC54" s="111" t="s">
        <v>101</v>
      </c>
      <c r="AD54" s="111" t="s">
        <v>101</v>
      </c>
      <c r="AE54" s="218" t="s">
        <v>89</v>
      </c>
      <c r="AF54" s="241" t="s">
        <v>103</v>
      </c>
      <c r="AG54" s="242" t="s">
        <v>104</v>
      </c>
      <c r="AH54" s="354" t="s">
        <v>104</v>
      </c>
      <c r="AI54" s="354"/>
      <c r="AJ54" s="353" t="s">
        <v>104</v>
      </c>
      <c r="AK54" s="353" t="s">
        <v>104</v>
      </c>
      <c r="AL54" s="260" t="s">
        <v>120</v>
      </c>
      <c r="AM54" s="111" t="s">
        <v>92</v>
      </c>
      <c r="AN54" s="111" t="s">
        <v>106</v>
      </c>
      <c r="AO54" s="138" t="s">
        <v>101</v>
      </c>
      <c r="AP54" s="138" t="s">
        <v>101</v>
      </c>
      <c r="AQ54" s="181"/>
      <c r="AS54" s="141"/>
      <c r="AT54" s="141"/>
      <c r="AU54" s="141"/>
      <c r="AV54" s="141"/>
      <c r="AW54" s="141"/>
      <c r="AX54" s="141"/>
      <c r="AY54" s="141"/>
      <c r="AZ54" s="141"/>
      <c r="BA54" s="141"/>
      <c r="BB54" s="141"/>
      <c r="BC54" s="141"/>
    </row>
    <row r="55" spans="1:55" s="39" customFormat="1" ht="97.5" customHeight="1" x14ac:dyDescent="0.2">
      <c r="A55" s="283">
        <v>46</v>
      </c>
      <c r="B55" s="219" t="s">
        <v>369</v>
      </c>
      <c r="C55" s="120" t="s">
        <v>370</v>
      </c>
      <c r="D55" s="120" t="s">
        <v>86</v>
      </c>
      <c r="E55" s="120" t="s">
        <v>28</v>
      </c>
      <c r="F55" s="120" t="s">
        <v>30</v>
      </c>
      <c r="G55" s="287">
        <v>45</v>
      </c>
      <c r="H55" s="301">
        <v>234</v>
      </c>
      <c r="I55" s="392" t="s">
        <v>459</v>
      </c>
      <c r="J55" s="304">
        <v>45747</v>
      </c>
      <c r="K55" s="285">
        <v>0.69444444444444442</v>
      </c>
      <c r="L55" s="120" t="s">
        <v>213</v>
      </c>
      <c r="M55" s="241" t="s">
        <v>206</v>
      </c>
      <c r="N55" s="242" t="s">
        <v>207</v>
      </c>
      <c r="O55" s="242" t="s">
        <v>90</v>
      </c>
      <c r="P55" s="111" t="s">
        <v>89</v>
      </c>
      <c r="Q55" s="66" t="s">
        <v>91</v>
      </c>
      <c r="R55" s="260" t="s">
        <v>92</v>
      </c>
      <c r="S55" s="260" t="s">
        <v>341</v>
      </c>
      <c r="T55" s="120" t="s">
        <v>89</v>
      </c>
      <c r="U55" s="66" t="s">
        <v>460</v>
      </c>
      <c r="V55" s="120" t="s">
        <v>461</v>
      </c>
      <c r="W55" s="120" t="s">
        <v>462</v>
      </c>
      <c r="X55" s="120" t="s">
        <v>463</v>
      </c>
      <c r="Y55" s="120" t="s">
        <v>464</v>
      </c>
      <c r="Z55" s="111" t="s">
        <v>130</v>
      </c>
      <c r="AA55" s="66" t="s">
        <v>23</v>
      </c>
      <c r="AB55" s="181">
        <v>0</v>
      </c>
      <c r="AC55" s="181" t="s">
        <v>101</v>
      </c>
      <c r="AD55" s="181">
        <v>2</v>
      </c>
      <c r="AE55" s="218" t="s">
        <v>213</v>
      </c>
      <c r="AF55" s="241" t="s">
        <v>103</v>
      </c>
      <c r="AG55" s="242" t="s">
        <v>104</v>
      </c>
      <c r="AH55" s="354"/>
      <c r="AI55" s="354"/>
      <c r="AJ55" s="354"/>
      <c r="AK55" s="354"/>
      <c r="AL55" s="260" t="s">
        <v>465</v>
      </c>
      <c r="AM55" s="260" t="s">
        <v>92</v>
      </c>
      <c r="AN55" s="111" t="s">
        <v>106</v>
      </c>
      <c r="AO55" s="138" t="s">
        <v>466</v>
      </c>
      <c r="AP55" s="138" t="s">
        <v>92</v>
      </c>
      <c r="AQ55" s="181"/>
      <c r="AS55" s="141"/>
      <c r="AT55" s="141"/>
      <c r="AU55" s="141"/>
      <c r="AV55" s="141"/>
      <c r="AW55" s="141"/>
      <c r="AX55" s="141"/>
      <c r="AY55" s="141"/>
      <c r="AZ55" s="141"/>
      <c r="BA55" s="141"/>
      <c r="BB55" s="141"/>
      <c r="BC55" s="141"/>
    </row>
    <row r="56" spans="1:55" s="39" customFormat="1" ht="97.5" customHeight="1" x14ac:dyDescent="0.2">
      <c r="A56" s="283">
        <v>47</v>
      </c>
      <c r="B56" s="219" t="s">
        <v>467</v>
      </c>
      <c r="C56" s="120" t="s">
        <v>468</v>
      </c>
      <c r="D56" s="291" t="s">
        <v>111</v>
      </c>
      <c r="E56" s="120" t="s">
        <v>27</v>
      </c>
      <c r="F56" s="120" t="s">
        <v>30</v>
      </c>
      <c r="G56" s="287">
        <v>46</v>
      </c>
      <c r="H56" s="301">
        <v>9879</v>
      </c>
      <c r="I56" s="392" t="s">
        <v>469</v>
      </c>
      <c r="J56" s="304">
        <v>45747</v>
      </c>
      <c r="K56" s="285">
        <v>0.76041666666666663</v>
      </c>
      <c r="L56" s="120" t="s">
        <v>88</v>
      </c>
      <c r="M56" s="241" t="s">
        <v>26</v>
      </c>
      <c r="N56" s="242" t="s">
        <v>207</v>
      </c>
      <c r="O56" s="242" t="s">
        <v>90</v>
      </c>
      <c r="P56" s="111" t="s">
        <v>89</v>
      </c>
      <c r="Q56" s="66" t="s">
        <v>91</v>
      </c>
      <c r="R56" s="260" t="s">
        <v>92</v>
      </c>
      <c r="S56" s="260" t="s">
        <v>341</v>
      </c>
      <c r="T56" s="66" t="s">
        <v>94</v>
      </c>
      <c r="U56" s="111"/>
      <c r="V56" s="120" t="s">
        <v>115</v>
      </c>
      <c r="W56" s="120"/>
      <c r="X56" s="120"/>
      <c r="Y56" s="120"/>
      <c r="Z56" s="111" t="s">
        <v>130</v>
      </c>
      <c r="AA56" s="66" t="s">
        <v>24</v>
      </c>
      <c r="AB56" s="181">
        <v>1</v>
      </c>
      <c r="AC56" s="181" t="s">
        <v>101</v>
      </c>
      <c r="AD56" s="181">
        <v>3</v>
      </c>
      <c r="AE56" s="111"/>
      <c r="AF56" s="241"/>
      <c r="AG56" s="242"/>
      <c r="AH56" s="354"/>
      <c r="AI56" s="354"/>
      <c r="AJ56" s="354"/>
      <c r="AK56" s="354"/>
      <c r="AL56" s="260"/>
      <c r="AM56" s="260"/>
      <c r="AN56" s="260"/>
      <c r="AO56" s="260"/>
      <c r="AP56" s="260"/>
      <c r="AQ56" s="111"/>
      <c r="AS56" s="141"/>
      <c r="AT56" s="141"/>
      <c r="AU56" s="141"/>
      <c r="AV56" s="141"/>
      <c r="AW56" s="141"/>
      <c r="AX56" s="141"/>
      <c r="AY56" s="141"/>
      <c r="AZ56" s="141"/>
      <c r="BA56" s="141"/>
      <c r="BB56" s="141"/>
      <c r="BC56" s="141"/>
    </row>
    <row r="57" spans="1:55" s="39" customFormat="1" ht="97.5" customHeight="1" x14ac:dyDescent="0.2">
      <c r="A57" s="283">
        <v>48</v>
      </c>
      <c r="B57" s="219"/>
      <c r="C57" s="120"/>
      <c r="D57" s="291"/>
      <c r="E57" s="120"/>
      <c r="F57" s="120"/>
      <c r="G57" s="287"/>
      <c r="H57" s="301"/>
      <c r="I57" s="392"/>
      <c r="J57" s="304"/>
      <c r="K57" s="285"/>
      <c r="L57" s="120"/>
      <c r="M57" s="241"/>
      <c r="N57" s="242"/>
      <c r="O57" s="242"/>
      <c r="P57" s="111"/>
      <c r="Q57" s="66"/>
      <c r="R57" s="260"/>
      <c r="S57" s="260"/>
      <c r="T57" s="66"/>
      <c r="U57" s="111"/>
      <c r="V57" s="120"/>
      <c r="W57" s="120"/>
      <c r="X57" s="120"/>
      <c r="Y57" s="120"/>
      <c r="Z57" s="111"/>
      <c r="AA57" s="66"/>
      <c r="AB57" s="181"/>
      <c r="AC57" s="181"/>
      <c r="AD57" s="181"/>
      <c r="AE57" s="111"/>
      <c r="AF57" s="241"/>
      <c r="AG57" s="242"/>
      <c r="AH57" s="354"/>
      <c r="AI57" s="354"/>
      <c r="AJ57" s="354"/>
      <c r="AK57" s="354"/>
      <c r="AL57" s="260"/>
      <c r="AM57" s="260"/>
      <c r="AN57" s="260"/>
      <c r="AO57" s="260"/>
      <c r="AP57" s="260"/>
      <c r="AQ57" s="111"/>
      <c r="AS57" s="141"/>
      <c r="AT57" s="141"/>
      <c r="AU57" s="141"/>
      <c r="AV57" s="141"/>
      <c r="AW57" s="141"/>
      <c r="AX57" s="141"/>
      <c r="AY57" s="141"/>
      <c r="AZ57" s="141"/>
      <c r="BA57" s="141"/>
      <c r="BB57" s="141"/>
      <c r="BC57" s="141"/>
    </row>
    <row r="58" spans="1:55" s="39" customFormat="1" ht="97.5" customHeight="1" x14ac:dyDescent="0.2">
      <c r="A58" s="283">
        <v>49</v>
      </c>
      <c r="B58" s="219"/>
      <c r="C58" s="120"/>
      <c r="D58" s="291"/>
      <c r="E58" s="120"/>
      <c r="F58" s="120"/>
      <c r="G58" s="287"/>
      <c r="H58" s="301"/>
      <c r="I58" s="392"/>
      <c r="J58" s="304"/>
      <c r="K58" s="285"/>
      <c r="L58" s="120"/>
      <c r="M58" s="241"/>
      <c r="N58" s="242"/>
      <c r="O58" s="242"/>
      <c r="P58" s="111"/>
      <c r="Q58" s="66"/>
      <c r="R58" s="260"/>
      <c r="S58" s="260"/>
      <c r="T58" s="66"/>
      <c r="U58" s="111"/>
      <c r="V58" s="120"/>
      <c r="W58" s="120"/>
      <c r="X58" s="120"/>
      <c r="Y58" s="120"/>
      <c r="Z58" s="111"/>
      <c r="AA58" s="66"/>
      <c r="AB58" s="181"/>
      <c r="AC58" s="181"/>
      <c r="AD58" s="181"/>
      <c r="AE58" s="111"/>
      <c r="AF58" s="241"/>
      <c r="AG58" s="242"/>
      <c r="AH58" s="354"/>
      <c r="AI58" s="354"/>
      <c r="AJ58" s="354"/>
      <c r="AK58" s="354"/>
      <c r="AL58" s="260"/>
      <c r="AM58" s="260"/>
      <c r="AN58" s="260"/>
      <c r="AO58" s="260"/>
      <c r="AP58" s="260"/>
      <c r="AQ58" s="111"/>
      <c r="AS58" s="141"/>
      <c r="AT58" s="141"/>
      <c r="AU58" s="141"/>
      <c r="AV58" s="141"/>
      <c r="AW58" s="141"/>
      <c r="AX58" s="141"/>
      <c r="AY58" s="141"/>
      <c r="AZ58" s="141"/>
      <c r="BA58" s="141"/>
      <c r="BB58" s="141"/>
      <c r="BC58" s="141"/>
    </row>
    <row r="59" spans="1:55" s="39" customFormat="1" ht="97.5" customHeight="1" x14ac:dyDescent="0.2">
      <c r="A59" s="283">
        <v>50</v>
      </c>
      <c r="B59" s="219"/>
      <c r="C59" s="120"/>
      <c r="D59" s="291"/>
      <c r="E59" s="120"/>
      <c r="F59" s="120"/>
      <c r="G59" s="287"/>
      <c r="H59" s="301"/>
      <c r="I59" s="392"/>
      <c r="J59" s="304"/>
      <c r="K59" s="285"/>
      <c r="L59" s="120"/>
      <c r="M59" s="241"/>
      <c r="N59" s="242"/>
      <c r="O59" s="242"/>
      <c r="P59" s="111"/>
      <c r="Q59" s="66"/>
      <c r="R59" s="260"/>
      <c r="S59" s="260"/>
      <c r="T59" s="66"/>
      <c r="U59" s="111"/>
      <c r="V59" s="120"/>
      <c r="W59" s="120"/>
      <c r="X59" s="120"/>
      <c r="Y59" s="120"/>
      <c r="Z59" s="111"/>
      <c r="AA59" s="66"/>
      <c r="AB59" s="181"/>
      <c r="AC59" s="181"/>
      <c r="AD59" s="181"/>
      <c r="AE59" s="111"/>
      <c r="AF59" s="241"/>
      <c r="AG59" s="242"/>
      <c r="AH59" s="354"/>
      <c r="AI59" s="354"/>
      <c r="AJ59" s="354"/>
      <c r="AK59" s="354"/>
      <c r="AL59" s="260"/>
      <c r="AM59" s="260"/>
      <c r="AN59" s="260"/>
      <c r="AO59" s="260"/>
      <c r="AP59" s="260"/>
      <c r="AQ59" s="111"/>
      <c r="AS59" s="141"/>
      <c r="AT59" s="141"/>
      <c r="AU59" s="141"/>
      <c r="AV59" s="141"/>
      <c r="AW59" s="141"/>
      <c r="AX59" s="141"/>
      <c r="AY59" s="141"/>
      <c r="AZ59" s="141"/>
      <c r="BA59" s="141"/>
      <c r="BB59" s="141"/>
      <c r="BC59" s="141"/>
    </row>
    <row r="60" spans="1:55" s="39" customFormat="1" ht="97.5" customHeight="1" x14ac:dyDescent="0.2">
      <c r="A60" s="283">
        <v>51</v>
      </c>
      <c r="B60" s="219"/>
      <c r="C60" s="120"/>
      <c r="D60" s="291"/>
      <c r="E60" s="120"/>
      <c r="F60" s="120"/>
      <c r="G60" s="287"/>
      <c r="H60" s="301"/>
      <c r="I60" s="392"/>
      <c r="J60" s="304"/>
      <c r="K60" s="285"/>
      <c r="L60" s="120"/>
      <c r="M60" s="241"/>
      <c r="N60" s="242"/>
      <c r="O60" s="242"/>
      <c r="P60" s="111"/>
      <c r="Q60" s="66"/>
      <c r="R60" s="260"/>
      <c r="S60" s="260"/>
      <c r="T60" s="66"/>
      <c r="U60" s="111"/>
      <c r="V60" s="120"/>
      <c r="W60" s="120"/>
      <c r="X60" s="120"/>
      <c r="Y60" s="120"/>
      <c r="Z60" s="111"/>
      <c r="AA60" s="66"/>
      <c r="AB60" s="181"/>
      <c r="AC60" s="181"/>
      <c r="AD60" s="181"/>
      <c r="AE60" s="111"/>
      <c r="AF60" s="241"/>
      <c r="AG60" s="242"/>
      <c r="AH60" s="354"/>
      <c r="AI60" s="354"/>
      <c r="AJ60" s="354"/>
      <c r="AK60" s="354"/>
      <c r="AL60" s="260"/>
      <c r="AM60" s="260"/>
      <c r="AN60" s="260"/>
      <c r="AO60" s="260"/>
      <c r="AP60" s="260"/>
      <c r="AQ60" s="111"/>
      <c r="AS60" s="141"/>
      <c r="AT60" s="141"/>
      <c r="AU60" s="141"/>
      <c r="AV60" s="141"/>
      <c r="AW60" s="141"/>
      <c r="AX60" s="141"/>
      <c r="AY60" s="141"/>
      <c r="AZ60" s="141"/>
      <c r="BA60" s="141"/>
      <c r="BB60" s="141"/>
      <c r="BC60" s="141"/>
    </row>
    <row r="61" spans="1:55" s="39" customFormat="1" ht="97.5" customHeight="1" x14ac:dyDescent="0.2">
      <c r="A61" s="283">
        <v>52</v>
      </c>
      <c r="B61" s="219"/>
      <c r="C61" s="120"/>
      <c r="D61" s="291"/>
      <c r="E61" s="120"/>
      <c r="F61" s="120"/>
      <c r="G61" s="287"/>
      <c r="H61" s="301"/>
      <c r="I61" s="392"/>
      <c r="J61" s="304"/>
      <c r="K61" s="285"/>
      <c r="L61" s="120"/>
      <c r="M61" s="241"/>
      <c r="N61" s="242"/>
      <c r="O61" s="242"/>
      <c r="P61" s="111"/>
      <c r="Q61" s="66"/>
      <c r="R61" s="260"/>
      <c r="S61" s="260"/>
      <c r="T61" s="66"/>
      <c r="U61" s="111"/>
      <c r="V61" s="120"/>
      <c r="W61" s="120"/>
      <c r="X61" s="120"/>
      <c r="Y61" s="120"/>
      <c r="Z61" s="111"/>
      <c r="AA61" s="66"/>
      <c r="AB61" s="181"/>
      <c r="AC61" s="181"/>
      <c r="AD61" s="181"/>
      <c r="AE61" s="111"/>
      <c r="AF61" s="241"/>
      <c r="AG61" s="242"/>
      <c r="AH61" s="354"/>
      <c r="AI61" s="354"/>
      <c r="AJ61" s="354"/>
      <c r="AK61" s="354"/>
      <c r="AL61" s="260"/>
      <c r="AM61" s="260"/>
      <c r="AN61" s="260"/>
      <c r="AO61" s="260"/>
      <c r="AP61" s="260"/>
      <c r="AQ61" s="111"/>
      <c r="AS61" s="141"/>
      <c r="AT61" s="141"/>
      <c r="AU61" s="141"/>
      <c r="AV61" s="141"/>
      <c r="AW61" s="141"/>
      <c r="AX61" s="141"/>
      <c r="AY61" s="141"/>
      <c r="AZ61" s="141"/>
      <c r="BA61" s="141"/>
      <c r="BB61" s="141"/>
      <c r="BC61" s="141"/>
    </row>
    <row r="62" spans="1:55" s="39" customFormat="1" ht="97.5" customHeight="1" x14ac:dyDescent="0.2">
      <c r="A62" s="283">
        <v>53</v>
      </c>
      <c r="B62" s="219"/>
      <c r="C62" s="120"/>
      <c r="D62" s="291"/>
      <c r="E62" s="120"/>
      <c r="F62" s="120"/>
      <c r="G62" s="287"/>
      <c r="H62" s="301"/>
      <c r="I62" s="392"/>
      <c r="J62" s="304"/>
      <c r="K62" s="285"/>
      <c r="L62" s="120"/>
      <c r="M62" s="241"/>
      <c r="N62" s="242"/>
      <c r="O62" s="242"/>
      <c r="P62" s="111"/>
      <c r="Q62" s="66"/>
      <c r="R62" s="260"/>
      <c r="S62" s="260"/>
      <c r="T62" s="66"/>
      <c r="U62" s="111"/>
      <c r="V62" s="120"/>
      <c r="W62" s="120"/>
      <c r="X62" s="120"/>
      <c r="Y62" s="120"/>
      <c r="Z62" s="111"/>
      <c r="AA62" s="66"/>
      <c r="AB62" s="181"/>
      <c r="AC62" s="181"/>
      <c r="AD62" s="181"/>
      <c r="AE62" s="111"/>
      <c r="AF62" s="241"/>
      <c r="AG62" s="242"/>
      <c r="AH62" s="354"/>
      <c r="AI62" s="354"/>
      <c r="AJ62" s="354"/>
      <c r="AK62" s="354"/>
      <c r="AL62" s="260"/>
      <c r="AM62" s="260"/>
      <c r="AN62" s="260"/>
      <c r="AO62" s="260"/>
      <c r="AP62" s="260"/>
      <c r="AQ62" s="111"/>
      <c r="AS62" s="141"/>
      <c r="AT62" s="141"/>
      <c r="AU62" s="141"/>
      <c r="AV62" s="141"/>
      <c r="AW62" s="141"/>
      <c r="AX62" s="141"/>
      <c r="AY62" s="141"/>
      <c r="AZ62" s="141"/>
      <c r="BA62" s="141"/>
      <c r="BB62" s="141"/>
      <c r="BC62" s="141"/>
    </row>
    <row r="63" spans="1:55" s="39" customFormat="1" ht="97.5" customHeight="1" x14ac:dyDescent="0.2">
      <c r="A63" s="283">
        <v>54</v>
      </c>
      <c r="B63" s="219"/>
      <c r="C63" s="120"/>
      <c r="D63" s="291"/>
      <c r="E63" s="120"/>
      <c r="F63" s="120"/>
      <c r="G63" s="287"/>
      <c r="H63" s="301"/>
      <c r="I63" s="392"/>
      <c r="J63" s="304"/>
      <c r="K63" s="285"/>
      <c r="L63" s="120"/>
      <c r="M63" s="241"/>
      <c r="N63" s="242"/>
      <c r="O63" s="242"/>
      <c r="P63" s="111"/>
      <c r="Q63" s="66"/>
      <c r="R63" s="260"/>
      <c r="S63" s="260"/>
      <c r="T63" s="66"/>
      <c r="U63" s="111"/>
      <c r="V63" s="120"/>
      <c r="W63" s="120"/>
      <c r="X63" s="120"/>
      <c r="Y63" s="120"/>
      <c r="Z63" s="111"/>
      <c r="AA63" s="66"/>
      <c r="AB63" s="181"/>
      <c r="AC63" s="181"/>
      <c r="AD63" s="181"/>
      <c r="AE63" s="111"/>
      <c r="AF63" s="241"/>
      <c r="AG63" s="242"/>
      <c r="AH63" s="354"/>
      <c r="AI63" s="354"/>
      <c r="AJ63" s="354"/>
      <c r="AK63" s="354"/>
      <c r="AL63" s="260"/>
      <c r="AM63" s="260"/>
      <c r="AN63" s="260"/>
      <c r="AO63" s="260"/>
      <c r="AP63" s="260"/>
      <c r="AQ63" s="111"/>
      <c r="AS63" s="141"/>
      <c r="AT63" s="141"/>
      <c r="AU63" s="141"/>
      <c r="AV63" s="141"/>
      <c r="AW63" s="141"/>
      <c r="AX63" s="141"/>
      <c r="AY63" s="141"/>
      <c r="AZ63" s="141"/>
      <c r="BA63" s="141"/>
      <c r="BB63" s="141"/>
      <c r="BC63" s="141"/>
    </row>
    <row r="64" spans="1:55" s="39" customFormat="1" ht="97.5" customHeight="1" x14ac:dyDescent="0.2">
      <c r="A64" s="283">
        <v>55</v>
      </c>
      <c r="B64" s="219"/>
      <c r="C64" s="120"/>
      <c r="D64" s="291"/>
      <c r="E64" s="120"/>
      <c r="F64" s="120"/>
      <c r="G64" s="287"/>
      <c r="H64" s="301"/>
      <c r="I64" s="392"/>
      <c r="J64" s="304"/>
      <c r="K64" s="285"/>
      <c r="L64" s="120"/>
      <c r="M64" s="241"/>
      <c r="N64" s="242"/>
      <c r="O64" s="242"/>
      <c r="P64" s="111"/>
      <c r="Q64" s="66"/>
      <c r="R64" s="260"/>
      <c r="S64" s="260"/>
      <c r="T64" s="66"/>
      <c r="U64" s="111"/>
      <c r="V64" s="120"/>
      <c r="W64" s="120"/>
      <c r="X64" s="120"/>
      <c r="Y64" s="120"/>
      <c r="Z64" s="111"/>
      <c r="AA64" s="66"/>
      <c r="AB64" s="181"/>
      <c r="AC64" s="181"/>
      <c r="AD64" s="181"/>
      <c r="AE64" s="111"/>
      <c r="AF64" s="241"/>
      <c r="AG64" s="242"/>
      <c r="AH64" s="354"/>
      <c r="AI64" s="354"/>
      <c r="AJ64" s="354"/>
      <c r="AK64" s="354"/>
      <c r="AL64" s="260"/>
      <c r="AM64" s="260"/>
      <c r="AN64" s="260"/>
      <c r="AO64" s="260"/>
      <c r="AP64" s="260"/>
      <c r="AQ64" s="111"/>
      <c r="AS64" s="141"/>
      <c r="AT64" s="141"/>
      <c r="AU64" s="141"/>
      <c r="AV64" s="141"/>
      <c r="AW64" s="141"/>
      <c r="AX64" s="141"/>
      <c r="AY64" s="141"/>
      <c r="AZ64" s="141"/>
      <c r="BA64" s="141"/>
      <c r="BB64" s="141"/>
      <c r="BC64" s="141"/>
    </row>
    <row r="65" spans="1:55" s="39" customFormat="1" ht="97.5" customHeight="1" x14ac:dyDescent="0.2">
      <c r="A65" s="283">
        <v>56</v>
      </c>
      <c r="B65" s="219"/>
      <c r="C65" s="120"/>
      <c r="D65" s="291"/>
      <c r="E65" s="120"/>
      <c r="F65" s="120"/>
      <c r="G65" s="287"/>
      <c r="H65" s="301"/>
      <c r="I65" s="392"/>
      <c r="J65" s="304"/>
      <c r="K65" s="285"/>
      <c r="L65" s="120"/>
      <c r="M65" s="241"/>
      <c r="N65" s="242"/>
      <c r="O65" s="242"/>
      <c r="P65" s="111"/>
      <c r="Q65" s="66"/>
      <c r="R65" s="260"/>
      <c r="S65" s="260"/>
      <c r="T65" s="66"/>
      <c r="U65" s="111"/>
      <c r="V65" s="120"/>
      <c r="W65" s="120"/>
      <c r="X65" s="120"/>
      <c r="Y65" s="120"/>
      <c r="Z65" s="111"/>
      <c r="AA65" s="66"/>
      <c r="AB65" s="181"/>
      <c r="AC65" s="181"/>
      <c r="AD65" s="181"/>
      <c r="AE65" s="111"/>
      <c r="AF65" s="241"/>
      <c r="AG65" s="242"/>
      <c r="AH65" s="354"/>
      <c r="AI65" s="354"/>
      <c r="AJ65" s="354"/>
      <c r="AK65" s="354"/>
      <c r="AL65" s="260"/>
      <c r="AM65" s="260"/>
      <c r="AN65" s="260"/>
      <c r="AO65" s="260"/>
      <c r="AP65" s="260"/>
      <c r="AQ65" s="111"/>
      <c r="AS65" s="141"/>
      <c r="AT65" s="141"/>
      <c r="AU65" s="141"/>
      <c r="AV65" s="141"/>
      <c r="AW65" s="141"/>
      <c r="AX65" s="141"/>
      <c r="AY65" s="141"/>
      <c r="AZ65" s="141"/>
      <c r="BA65" s="141"/>
      <c r="BB65" s="141"/>
      <c r="BC65" s="141"/>
    </row>
    <row r="66" spans="1:55" s="39" customFormat="1" ht="97.5" customHeight="1" x14ac:dyDescent="0.2">
      <c r="A66" s="283">
        <v>57</v>
      </c>
      <c r="B66" s="219"/>
      <c r="C66" s="120"/>
      <c r="D66" s="291"/>
      <c r="E66" s="120"/>
      <c r="F66" s="120"/>
      <c r="G66" s="287"/>
      <c r="H66" s="301"/>
      <c r="I66" s="392"/>
      <c r="J66" s="304"/>
      <c r="K66" s="285"/>
      <c r="L66" s="120"/>
      <c r="M66" s="241"/>
      <c r="N66" s="242"/>
      <c r="O66" s="242"/>
      <c r="P66" s="111"/>
      <c r="Q66" s="66"/>
      <c r="R66" s="260"/>
      <c r="S66" s="260"/>
      <c r="T66" s="66"/>
      <c r="U66" s="111"/>
      <c r="V66" s="120"/>
      <c r="W66" s="120"/>
      <c r="X66" s="120"/>
      <c r="Y66" s="120"/>
      <c r="Z66" s="111"/>
      <c r="AA66" s="66"/>
      <c r="AB66" s="181"/>
      <c r="AC66" s="181"/>
      <c r="AD66" s="181"/>
      <c r="AE66" s="111"/>
      <c r="AF66" s="241"/>
      <c r="AG66" s="242"/>
      <c r="AH66" s="354"/>
      <c r="AI66" s="354"/>
      <c r="AJ66" s="354"/>
      <c r="AK66" s="354"/>
      <c r="AL66" s="260"/>
      <c r="AM66" s="260"/>
      <c r="AN66" s="260"/>
      <c r="AO66" s="260"/>
      <c r="AP66" s="260"/>
      <c r="AQ66" s="111"/>
      <c r="AS66" s="141"/>
      <c r="AT66" s="141"/>
      <c r="AU66" s="141"/>
      <c r="AV66" s="141"/>
      <c r="AW66" s="141"/>
      <c r="AX66" s="141"/>
      <c r="AY66" s="141"/>
      <c r="AZ66" s="141"/>
      <c r="BA66" s="141"/>
      <c r="BB66" s="141"/>
      <c r="BC66" s="141"/>
    </row>
    <row r="67" spans="1:55" s="39" customFormat="1" ht="97.5" customHeight="1" x14ac:dyDescent="0.2">
      <c r="A67" s="283">
        <v>58</v>
      </c>
      <c r="B67" s="219"/>
      <c r="C67" s="120"/>
      <c r="D67" s="291"/>
      <c r="E67" s="120"/>
      <c r="F67" s="120"/>
      <c r="G67" s="287"/>
      <c r="H67" s="301"/>
      <c r="I67" s="392"/>
      <c r="J67" s="304"/>
      <c r="K67" s="285"/>
      <c r="L67" s="120"/>
      <c r="M67" s="241"/>
      <c r="N67" s="242"/>
      <c r="O67" s="242"/>
      <c r="P67" s="111"/>
      <c r="Q67" s="66"/>
      <c r="R67" s="260"/>
      <c r="S67" s="260"/>
      <c r="T67" s="66"/>
      <c r="U67" s="111"/>
      <c r="V67" s="120"/>
      <c r="W67" s="120"/>
      <c r="X67" s="120"/>
      <c r="Y67" s="120"/>
      <c r="Z67" s="111"/>
      <c r="AA67" s="66"/>
      <c r="AB67" s="181"/>
      <c r="AC67" s="181"/>
      <c r="AD67" s="181"/>
      <c r="AE67" s="111"/>
      <c r="AF67" s="241"/>
      <c r="AG67" s="242"/>
      <c r="AH67" s="354"/>
      <c r="AI67" s="354"/>
      <c r="AJ67" s="354"/>
      <c r="AK67" s="354"/>
      <c r="AL67" s="260"/>
      <c r="AM67" s="260"/>
      <c r="AN67" s="260"/>
      <c r="AO67" s="260"/>
      <c r="AP67" s="260"/>
      <c r="AQ67" s="111"/>
      <c r="AS67" s="141"/>
      <c r="AT67" s="141"/>
      <c r="AU67" s="141"/>
      <c r="AV67" s="141"/>
      <c r="AW67" s="141"/>
      <c r="AX67" s="141"/>
      <c r="AY67" s="141"/>
      <c r="AZ67" s="141"/>
      <c r="BA67" s="141"/>
      <c r="BB67" s="141"/>
      <c r="BC67" s="141"/>
    </row>
    <row r="68" spans="1:55" s="39" customFormat="1" ht="97.5" customHeight="1" x14ac:dyDescent="0.2">
      <c r="A68" s="283">
        <v>59</v>
      </c>
      <c r="B68" s="219"/>
      <c r="C68" s="120"/>
      <c r="D68" s="291"/>
      <c r="E68" s="120"/>
      <c r="F68" s="120"/>
      <c r="G68" s="287"/>
      <c r="H68" s="301"/>
      <c r="I68" s="392"/>
      <c r="J68" s="304"/>
      <c r="K68" s="285"/>
      <c r="L68" s="120"/>
      <c r="M68" s="241"/>
      <c r="N68" s="242"/>
      <c r="O68" s="242"/>
      <c r="P68" s="111"/>
      <c r="Q68" s="66"/>
      <c r="R68" s="260"/>
      <c r="S68" s="260"/>
      <c r="T68" s="66"/>
      <c r="U68" s="111"/>
      <c r="V68" s="120"/>
      <c r="W68" s="120"/>
      <c r="X68" s="120"/>
      <c r="Y68" s="120"/>
      <c r="Z68" s="111"/>
      <c r="AA68" s="66"/>
      <c r="AB68" s="181"/>
      <c r="AC68" s="181"/>
      <c r="AD68" s="181"/>
      <c r="AE68" s="111"/>
      <c r="AF68" s="241"/>
      <c r="AG68" s="242"/>
      <c r="AH68" s="354"/>
      <c r="AI68" s="354"/>
      <c r="AJ68" s="354"/>
      <c r="AK68" s="354"/>
      <c r="AL68" s="260"/>
      <c r="AM68" s="260"/>
      <c r="AN68" s="260"/>
      <c r="AO68" s="260"/>
      <c r="AP68" s="260"/>
      <c r="AQ68" s="111"/>
      <c r="AS68" s="141"/>
      <c r="AT68" s="141"/>
      <c r="AU68" s="141"/>
      <c r="AV68" s="141"/>
      <c r="AW68" s="141"/>
      <c r="AX68" s="141"/>
      <c r="AY68" s="141"/>
      <c r="AZ68" s="141"/>
      <c r="BA68" s="141"/>
      <c r="BB68" s="141"/>
      <c r="BC68" s="141"/>
    </row>
    <row r="69" spans="1:55" s="39" customFormat="1" ht="97.5" customHeight="1" x14ac:dyDescent="0.2">
      <c r="A69" s="283">
        <v>60</v>
      </c>
      <c r="B69" s="219"/>
      <c r="C69" s="120"/>
      <c r="D69" s="291"/>
      <c r="E69" s="120"/>
      <c r="F69" s="120"/>
      <c r="G69" s="287"/>
      <c r="H69" s="301"/>
      <c r="I69" s="392"/>
      <c r="J69" s="304"/>
      <c r="K69" s="285"/>
      <c r="L69" s="120"/>
      <c r="M69" s="241"/>
      <c r="N69" s="242"/>
      <c r="O69" s="242"/>
      <c r="P69" s="111"/>
      <c r="Q69" s="66"/>
      <c r="R69" s="260"/>
      <c r="S69" s="260"/>
      <c r="T69" s="66"/>
      <c r="U69" s="111"/>
      <c r="V69" s="120"/>
      <c r="W69" s="120"/>
      <c r="X69" s="120"/>
      <c r="Y69" s="120"/>
      <c r="Z69" s="111"/>
      <c r="AA69" s="66"/>
      <c r="AB69" s="181"/>
      <c r="AC69" s="181"/>
      <c r="AD69" s="181"/>
      <c r="AE69" s="111"/>
      <c r="AF69" s="241"/>
      <c r="AG69" s="242"/>
      <c r="AH69" s="354"/>
      <c r="AI69" s="354"/>
      <c r="AJ69" s="354"/>
      <c r="AK69" s="354"/>
      <c r="AL69" s="260"/>
      <c r="AM69" s="260"/>
      <c r="AN69" s="260"/>
      <c r="AO69" s="260"/>
      <c r="AP69" s="260"/>
      <c r="AQ69" s="111"/>
      <c r="AS69" s="141"/>
      <c r="AT69" s="141"/>
      <c r="AU69" s="141"/>
      <c r="AV69" s="141"/>
      <c r="AW69" s="141"/>
      <c r="AX69" s="141"/>
      <c r="AY69" s="141"/>
      <c r="AZ69" s="141"/>
      <c r="BA69" s="141"/>
      <c r="BB69" s="141"/>
      <c r="BC69" s="141"/>
    </row>
    <row r="70" spans="1:55" s="39" customFormat="1" ht="97.5" customHeight="1" x14ac:dyDescent="0.2">
      <c r="A70" s="283">
        <v>61</v>
      </c>
      <c r="B70" s="219"/>
      <c r="C70" s="120"/>
      <c r="D70" s="291"/>
      <c r="E70" s="120"/>
      <c r="F70" s="120"/>
      <c r="G70" s="287"/>
      <c r="H70" s="301"/>
      <c r="I70" s="392"/>
      <c r="J70" s="304"/>
      <c r="K70" s="285"/>
      <c r="L70" s="120"/>
      <c r="M70" s="241"/>
      <c r="N70" s="242"/>
      <c r="O70" s="242"/>
      <c r="P70" s="111"/>
      <c r="Q70" s="66"/>
      <c r="R70" s="260"/>
      <c r="S70" s="260"/>
      <c r="T70" s="66"/>
      <c r="U70" s="111"/>
      <c r="V70" s="120"/>
      <c r="W70" s="120"/>
      <c r="X70" s="120"/>
      <c r="Y70" s="120"/>
      <c r="Z70" s="111"/>
      <c r="AA70" s="66"/>
      <c r="AB70" s="181"/>
      <c r="AC70" s="181"/>
      <c r="AD70" s="181"/>
      <c r="AE70" s="111"/>
      <c r="AF70" s="241"/>
      <c r="AG70" s="242"/>
      <c r="AH70" s="354"/>
      <c r="AI70" s="354"/>
      <c r="AJ70" s="354"/>
      <c r="AK70" s="354"/>
      <c r="AL70" s="260"/>
      <c r="AM70" s="260"/>
      <c r="AN70" s="260"/>
      <c r="AO70" s="260"/>
      <c r="AP70" s="260"/>
      <c r="AQ70" s="111"/>
      <c r="AS70" s="141"/>
      <c r="AT70" s="141"/>
      <c r="AU70" s="141"/>
      <c r="AV70" s="141"/>
      <c r="AW70" s="141"/>
      <c r="AX70" s="141"/>
      <c r="AY70" s="141"/>
      <c r="AZ70" s="141"/>
      <c r="BA70" s="141"/>
      <c r="BB70" s="141"/>
      <c r="BC70" s="141"/>
    </row>
    <row r="71" spans="1:55" s="39" customFormat="1" ht="97.5" customHeight="1" x14ac:dyDescent="0.2">
      <c r="A71" s="283">
        <v>62</v>
      </c>
      <c r="B71" s="219"/>
      <c r="C71" s="120"/>
      <c r="D71" s="291"/>
      <c r="E71" s="120"/>
      <c r="F71" s="120"/>
      <c r="G71" s="287"/>
      <c r="H71" s="301"/>
      <c r="I71" s="392"/>
      <c r="J71" s="304"/>
      <c r="K71" s="285"/>
      <c r="L71" s="120"/>
      <c r="M71" s="241"/>
      <c r="N71" s="242"/>
      <c r="O71" s="242"/>
      <c r="P71" s="111"/>
      <c r="Q71" s="66"/>
      <c r="R71" s="260"/>
      <c r="S71" s="260"/>
      <c r="T71" s="66"/>
      <c r="U71" s="111"/>
      <c r="V71" s="120"/>
      <c r="W71" s="120"/>
      <c r="X71" s="120"/>
      <c r="Y71" s="120"/>
      <c r="Z71" s="111"/>
      <c r="AA71" s="66"/>
      <c r="AB71" s="181"/>
      <c r="AC71" s="181"/>
      <c r="AD71" s="181"/>
      <c r="AE71" s="111"/>
      <c r="AF71" s="241"/>
      <c r="AG71" s="242"/>
      <c r="AH71" s="354"/>
      <c r="AI71" s="354"/>
      <c r="AJ71" s="354"/>
      <c r="AK71" s="354"/>
      <c r="AL71" s="260"/>
      <c r="AM71" s="260"/>
      <c r="AN71" s="260"/>
      <c r="AO71" s="260"/>
      <c r="AP71" s="260"/>
      <c r="AQ71" s="111"/>
      <c r="AS71" s="141"/>
      <c r="AT71" s="141"/>
      <c r="AU71" s="141"/>
      <c r="AV71" s="141"/>
      <c r="AW71" s="141"/>
      <c r="AX71" s="141"/>
      <c r="AY71" s="141"/>
      <c r="AZ71" s="141"/>
      <c r="BA71" s="141"/>
      <c r="BB71" s="141"/>
      <c r="BC71" s="141"/>
    </row>
    <row r="72" spans="1:55" s="39" customFormat="1" ht="97.5" customHeight="1" x14ac:dyDescent="0.2">
      <c r="A72" s="283">
        <v>63</v>
      </c>
      <c r="B72" s="219"/>
      <c r="C72" s="120"/>
      <c r="D72" s="291"/>
      <c r="E72" s="120"/>
      <c r="F72" s="120"/>
      <c r="G72" s="287"/>
      <c r="H72" s="301"/>
      <c r="I72" s="392"/>
      <c r="J72" s="304"/>
      <c r="K72" s="285"/>
      <c r="L72" s="120"/>
      <c r="M72" s="241"/>
      <c r="N72" s="242"/>
      <c r="O72" s="242"/>
      <c r="P72" s="111"/>
      <c r="Q72" s="66"/>
      <c r="R72" s="260"/>
      <c r="S72" s="260"/>
      <c r="T72" s="66"/>
      <c r="U72" s="111"/>
      <c r="V72" s="120"/>
      <c r="W72" s="120"/>
      <c r="X72" s="120"/>
      <c r="Y72" s="120"/>
      <c r="Z72" s="111"/>
      <c r="AA72" s="66"/>
      <c r="AB72" s="181"/>
      <c r="AC72" s="181"/>
      <c r="AD72" s="181"/>
      <c r="AE72" s="111"/>
      <c r="AF72" s="241"/>
      <c r="AG72" s="242"/>
      <c r="AH72" s="354"/>
      <c r="AI72" s="354"/>
      <c r="AJ72" s="354"/>
      <c r="AK72" s="354"/>
      <c r="AL72" s="260"/>
      <c r="AM72" s="260"/>
      <c r="AN72" s="260"/>
      <c r="AO72" s="260"/>
      <c r="AP72" s="260"/>
      <c r="AQ72" s="111"/>
      <c r="AS72" s="141"/>
      <c r="AT72" s="141"/>
      <c r="AU72" s="141"/>
      <c r="AV72" s="141"/>
      <c r="AW72" s="141"/>
      <c r="AX72" s="141"/>
      <c r="AY72" s="141"/>
      <c r="AZ72" s="141"/>
      <c r="BA72" s="141"/>
      <c r="BB72" s="141"/>
      <c r="BC72" s="141"/>
    </row>
    <row r="73" spans="1:55" s="39" customFormat="1" ht="97.5" customHeight="1" x14ac:dyDescent="0.2">
      <c r="A73" s="283">
        <v>46</v>
      </c>
      <c r="B73" s="219"/>
      <c r="C73" s="120"/>
      <c r="D73" s="291"/>
      <c r="E73" s="120"/>
      <c r="F73" s="120"/>
      <c r="G73" s="287"/>
      <c r="H73" s="301"/>
      <c r="I73" s="392"/>
      <c r="J73" s="304"/>
      <c r="K73" s="285"/>
      <c r="L73" s="120"/>
      <c r="M73" s="241"/>
      <c r="N73" s="242"/>
      <c r="O73" s="242"/>
      <c r="P73" s="111"/>
      <c r="Q73" s="66"/>
      <c r="R73" s="260"/>
      <c r="S73" s="260"/>
      <c r="T73" s="66"/>
      <c r="U73" s="111"/>
      <c r="V73" s="120"/>
      <c r="W73" s="120"/>
      <c r="X73" s="120"/>
      <c r="Y73" s="120"/>
      <c r="Z73" s="111"/>
      <c r="AA73" s="66"/>
      <c r="AB73" s="181"/>
      <c r="AC73" s="181"/>
      <c r="AD73" s="181"/>
      <c r="AE73" s="111"/>
      <c r="AF73" s="241"/>
      <c r="AG73" s="242"/>
      <c r="AH73" s="354"/>
      <c r="AI73" s="354"/>
      <c r="AJ73" s="354"/>
      <c r="AK73" s="354"/>
      <c r="AL73" s="260"/>
      <c r="AM73" s="260"/>
      <c r="AN73" s="260"/>
      <c r="AO73" s="260"/>
      <c r="AP73" s="260"/>
      <c r="AQ73" s="111"/>
      <c r="AS73" s="141"/>
      <c r="AT73" s="141"/>
      <c r="AU73" s="141"/>
      <c r="AV73" s="141"/>
      <c r="AW73" s="141"/>
      <c r="AX73" s="141"/>
      <c r="AY73" s="141"/>
      <c r="AZ73" s="141"/>
      <c r="BA73" s="141"/>
      <c r="BB73" s="141"/>
      <c r="BC73" s="141"/>
    </row>
    <row r="74" spans="1:55" s="39" customFormat="1" ht="97.5" customHeight="1" x14ac:dyDescent="0.2">
      <c r="A74" s="283">
        <v>46</v>
      </c>
      <c r="B74" s="219"/>
      <c r="C74" s="120"/>
      <c r="D74" s="291"/>
      <c r="E74" s="120"/>
      <c r="F74" s="120"/>
      <c r="G74" s="287"/>
      <c r="H74" s="301"/>
      <c r="I74" s="392"/>
      <c r="J74" s="304"/>
      <c r="K74" s="285"/>
      <c r="L74" s="120"/>
      <c r="M74" s="241"/>
      <c r="N74" s="242"/>
      <c r="O74" s="242"/>
      <c r="P74" s="111"/>
      <c r="Q74" s="66"/>
      <c r="R74" s="260"/>
      <c r="S74" s="260"/>
      <c r="T74" s="66"/>
      <c r="U74" s="111"/>
      <c r="V74" s="120"/>
      <c r="W74" s="120"/>
      <c r="X74" s="120"/>
      <c r="Y74" s="120"/>
      <c r="Z74" s="111"/>
      <c r="AA74" s="66"/>
      <c r="AB74" s="181"/>
      <c r="AC74" s="181"/>
      <c r="AD74" s="181"/>
      <c r="AE74" s="111"/>
      <c r="AF74" s="241"/>
      <c r="AG74" s="242"/>
      <c r="AH74" s="354"/>
      <c r="AI74" s="354"/>
      <c r="AJ74" s="354"/>
      <c r="AK74" s="354"/>
      <c r="AL74" s="260"/>
      <c r="AM74" s="260"/>
      <c r="AN74" s="260"/>
      <c r="AO74" s="260"/>
      <c r="AP74" s="260"/>
      <c r="AQ74" s="111"/>
      <c r="AS74" s="141"/>
      <c r="AT74" s="141"/>
      <c r="AU74" s="141"/>
      <c r="AV74" s="141"/>
      <c r="AW74" s="141"/>
      <c r="AX74" s="141"/>
      <c r="AY74" s="141"/>
      <c r="AZ74" s="141"/>
      <c r="BA74" s="141"/>
      <c r="BB74" s="141"/>
      <c r="BC74" s="141"/>
    </row>
    <row r="75" spans="1:55" s="39" customFormat="1" ht="97.5" customHeight="1" x14ac:dyDescent="0.2">
      <c r="A75" s="283">
        <v>46</v>
      </c>
      <c r="B75" s="219"/>
      <c r="C75" s="120"/>
      <c r="D75" s="291"/>
      <c r="E75" s="120"/>
      <c r="F75" s="120"/>
      <c r="G75" s="287"/>
      <c r="H75" s="301"/>
      <c r="I75" s="392"/>
      <c r="J75" s="304"/>
      <c r="K75" s="285"/>
      <c r="L75" s="120"/>
      <c r="M75" s="241"/>
      <c r="N75" s="242"/>
      <c r="O75" s="242"/>
      <c r="P75" s="111"/>
      <c r="Q75" s="66"/>
      <c r="R75" s="260"/>
      <c r="S75" s="260"/>
      <c r="T75" s="66"/>
      <c r="U75" s="111"/>
      <c r="V75" s="120"/>
      <c r="W75" s="120"/>
      <c r="X75" s="120"/>
      <c r="Y75" s="120"/>
      <c r="Z75" s="111"/>
      <c r="AA75" s="66"/>
      <c r="AB75" s="181"/>
      <c r="AC75" s="181"/>
      <c r="AD75" s="181"/>
      <c r="AE75" s="111"/>
      <c r="AF75" s="241"/>
      <c r="AG75" s="242"/>
      <c r="AH75" s="354"/>
      <c r="AI75" s="354"/>
      <c r="AJ75" s="354"/>
      <c r="AK75" s="354"/>
      <c r="AL75" s="260"/>
      <c r="AM75" s="260"/>
      <c r="AN75" s="260"/>
      <c r="AO75" s="260"/>
      <c r="AP75" s="260"/>
      <c r="AQ75" s="111"/>
      <c r="AS75" s="141"/>
      <c r="AT75" s="141"/>
      <c r="AU75" s="141"/>
      <c r="AV75" s="141"/>
      <c r="AW75" s="141"/>
      <c r="AX75" s="141"/>
      <c r="AY75" s="141"/>
      <c r="AZ75" s="141"/>
      <c r="BA75" s="141"/>
      <c r="BB75" s="141"/>
      <c r="BC75" s="141"/>
    </row>
    <row r="76" spans="1:55" s="39" customFormat="1" ht="97.5" customHeight="1" x14ac:dyDescent="0.2">
      <c r="A76" s="283">
        <v>46</v>
      </c>
      <c r="B76" s="219"/>
      <c r="C76" s="120"/>
      <c r="D76" s="291"/>
      <c r="E76" s="120"/>
      <c r="F76" s="120"/>
      <c r="G76" s="287"/>
      <c r="H76" s="301"/>
      <c r="I76" s="392"/>
      <c r="J76" s="304"/>
      <c r="K76" s="285"/>
      <c r="L76" s="120"/>
      <c r="M76" s="241"/>
      <c r="N76" s="242"/>
      <c r="O76" s="242"/>
      <c r="P76" s="111"/>
      <c r="Q76" s="66"/>
      <c r="R76" s="260"/>
      <c r="S76" s="260"/>
      <c r="T76" s="66"/>
      <c r="U76" s="111"/>
      <c r="V76" s="120"/>
      <c r="W76" s="120"/>
      <c r="X76" s="120"/>
      <c r="Y76" s="120"/>
      <c r="Z76" s="111"/>
      <c r="AA76" s="66"/>
      <c r="AB76" s="181"/>
      <c r="AC76" s="181"/>
      <c r="AD76" s="181"/>
      <c r="AE76" s="111"/>
      <c r="AF76" s="241"/>
      <c r="AG76" s="242"/>
      <c r="AH76" s="354"/>
      <c r="AI76" s="354"/>
      <c r="AJ76" s="354"/>
      <c r="AK76" s="354"/>
      <c r="AL76" s="260"/>
      <c r="AM76" s="260"/>
      <c r="AN76" s="260"/>
      <c r="AO76" s="260"/>
      <c r="AP76" s="260"/>
      <c r="AQ76" s="111"/>
      <c r="AS76" s="141"/>
      <c r="AT76" s="141"/>
      <c r="AU76" s="141"/>
      <c r="AV76" s="141"/>
      <c r="AW76" s="141"/>
      <c r="AX76" s="141"/>
      <c r="AY76" s="141"/>
      <c r="AZ76" s="141"/>
      <c r="BA76" s="141"/>
      <c r="BB76" s="141"/>
      <c r="BC76" s="141"/>
    </row>
    <row r="77" spans="1:55" s="39" customFormat="1" ht="97.5" customHeight="1" x14ac:dyDescent="0.2">
      <c r="A77" s="283">
        <v>46</v>
      </c>
      <c r="B77" s="219"/>
      <c r="C77" s="120"/>
      <c r="D77" s="291"/>
      <c r="E77" s="120"/>
      <c r="F77" s="120"/>
      <c r="G77" s="287"/>
      <c r="H77" s="301"/>
      <c r="I77" s="392"/>
      <c r="J77" s="304"/>
      <c r="K77" s="285"/>
      <c r="L77" s="120"/>
      <c r="M77" s="241"/>
      <c r="N77" s="242"/>
      <c r="O77" s="242"/>
      <c r="P77" s="111"/>
      <c r="Q77" s="66"/>
      <c r="R77" s="260"/>
      <c r="S77" s="260"/>
      <c r="T77" s="66"/>
      <c r="U77" s="111"/>
      <c r="V77" s="120"/>
      <c r="W77" s="120"/>
      <c r="X77" s="120"/>
      <c r="Y77" s="120"/>
      <c r="Z77" s="111"/>
      <c r="AA77" s="66"/>
      <c r="AB77" s="181"/>
      <c r="AC77" s="181"/>
      <c r="AD77" s="181"/>
      <c r="AE77" s="111"/>
      <c r="AF77" s="241"/>
      <c r="AG77" s="242"/>
      <c r="AH77" s="354"/>
      <c r="AI77" s="354"/>
      <c r="AJ77" s="354"/>
      <c r="AK77" s="354"/>
      <c r="AL77" s="260"/>
      <c r="AM77" s="260"/>
      <c r="AN77" s="260"/>
      <c r="AO77" s="260"/>
      <c r="AP77" s="260"/>
      <c r="AQ77" s="111"/>
      <c r="AS77" s="141"/>
      <c r="AT77" s="141"/>
      <c r="AU77" s="141"/>
      <c r="AV77" s="141"/>
      <c r="AW77" s="141"/>
      <c r="AX77" s="141"/>
      <c r="AY77" s="141"/>
      <c r="AZ77" s="141"/>
      <c r="BA77" s="141"/>
      <c r="BB77" s="141"/>
      <c r="BC77" s="141"/>
    </row>
    <row r="78" spans="1:55" s="39" customFormat="1" ht="97.5" customHeight="1" x14ac:dyDescent="0.2">
      <c r="A78" s="283">
        <v>46</v>
      </c>
      <c r="B78" s="219"/>
      <c r="C78" s="120"/>
      <c r="D78" s="291"/>
      <c r="E78" s="120"/>
      <c r="F78" s="120"/>
      <c r="G78" s="287"/>
      <c r="H78" s="301"/>
      <c r="I78" s="392"/>
      <c r="J78" s="304"/>
      <c r="K78" s="285"/>
      <c r="L78" s="120"/>
      <c r="M78" s="241"/>
      <c r="N78" s="242"/>
      <c r="O78" s="242"/>
      <c r="P78" s="111"/>
      <c r="Q78" s="66"/>
      <c r="R78" s="260"/>
      <c r="S78" s="260"/>
      <c r="T78" s="66"/>
      <c r="U78" s="111"/>
      <c r="V78" s="120"/>
      <c r="W78" s="120"/>
      <c r="X78" s="120"/>
      <c r="Y78" s="120"/>
      <c r="Z78" s="111"/>
      <c r="AA78" s="66"/>
      <c r="AB78" s="181"/>
      <c r="AC78" s="181"/>
      <c r="AD78" s="181"/>
      <c r="AE78" s="111"/>
      <c r="AF78" s="241"/>
      <c r="AG78" s="242"/>
      <c r="AH78" s="354"/>
      <c r="AI78" s="354"/>
      <c r="AJ78" s="354"/>
      <c r="AK78" s="354"/>
      <c r="AL78" s="260"/>
      <c r="AM78" s="260"/>
      <c r="AN78" s="260"/>
      <c r="AO78" s="260"/>
      <c r="AP78" s="260"/>
      <c r="AQ78" s="111"/>
      <c r="AS78" s="141"/>
      <c r="AT78" s="141"/>
      <c r="AU78" s="141"/>
      <c r="AV78" s="141"/>
      <c r="AW78" s="141"/>
      <c r="AX78" s="141"/>
      <c r="AY78" s="141"/>
      <c r="AZ78" s="141"/>
      <c r="BA78" s="141"/>
      <c r="BB78" s="141"/>
      <c r="BC78" s="141"/>
    </row>
    <row r="79" spans="1:55" s="39" customFormat="1" ht="97.5" customHeight="1" x14ac:dyDescent="0.2">
      <c r="A79" s="283">
        <v>46</v>
      </c>
      <c r="B79" s="219"/>
      <c r="C79" s="120"/>
      <c r="D79" s="291"/>
      <c r="E79" s="120"/>
      <c r="F79" s="120"/>
      <c r="G79" s="287"/>
      <c r="H79" s="301"/>
      <c r="I79" s="392"/>
      <c r="J79" s="304"/>
      <c r="K79" s="285"/>
      <c r="L79" s="120"/>
      <c r="M79" s="241"/>
      <c r="N79" s="242"/>
      <c r="O79" s="242"/>
      <c r="P79" s="111"/>
      <c r="Q79" s="66"/>
      <c r="R79" s="260"/>
      <c r="S79" s="260"/>
      <c r="T79" s="66"/>
      <c r="U79" s="111"/>
      <c r="V79" s="120"/>
      <c r="W79" s="120"/>
      <c r="X79" s="120"/>
      <c r="Y79" s="120"/>
      <c r="Z79" s="111"/>
      <c r="AA79" s="66"/>
      <c r="AB79" s="181"/>
      <c r="AC79" s="181"/>
      <c r="AD79" s="181"/>
      <c r="AE79" s="111"/>
      <c r="AF79" s="241"/>
      <c r="AG79" s="242"/>
      <c r="AH79" s="354"/>
      <c r="AI79" s="354"/>
      <c r="AJ79" s="354"/>
      <c r="AK79" s="354"/>
      <c r="AL79" s="260"/>
      <c r="AM79" s="260"/>
      <c r="AN79" s="260"/>
      <c r="AO79" s="260"/>
      <c r="AP79" s="260"/>
      <c r="AQ79" s="111"/>
      <c r="AS79" s="141"/>
      <c r="AT79" s="141"/>
      <c r="AU79" s="141"/>
      <c r="AV79" s="141"/>
      <c r="AW79" s="141"/>
      <c r="AX79" s="141"/>
      <c r="AY79" s="141"/>
      <c r="AZ79" s="141"/>
      <c r="BA79" s="141"/>
      <c r="BB79" s="141"/>
      <c r="BC79" s="141"/>
    </row>
    <row r="80" spans="1:55" s="39" customFormat="1" ht="97.5" customHeight="1" x14ac:dyDescent="0.2">
      <c r="A80" s="283">
        <v>46</v>
      </c>
      <c r="B80" s="219"/>
      <c r="C80" s="120"/>
      <c r="D80" s="291"/>
      <c r="E80" s="120"/>
      <c r="F80" s="120"/>
      <c r="G80" s="287"/>
      <c r="H80" s="301"/>
      <c r="I80" s="392"/>
      <c r="J80" s="304"/>
      <c r="K80" s="285"/>
      <c r="L80" s="120"/>
      <c r="M80" s="241"/>
      <c r="N80" s="242"/>
      <c r="O80" s="242"/>
      <c r="P80" s="111"/>
      <c r="Q80" s="66"/>
      <c r="R80" s="260"/>
      <c r="S80" s="260"/>
      <c r="T80" s="66"/>
      <c r="U80" s="111"/>
      <c r="V80" s="120"/>
      <c r="W80" s="120"/>
      <c r="X80" s="120"/>
      <c r="Y80" s="120"/>
      <c r="Z80" s="111"/>
      <c r="AA80" s="66"/>
      <c r="AB80" s="181"/>
      <c r="AC80" s="181"/>
      <c r="AD80" s="181"/>
      <c r="AE80" s="111"/>
      <c r="AF80" s="241"/>
      <c r="AG80" s="242"/>
      <c r="AH80" s="354"/>
      <c r="AI80" s="354"/>
      <c r="AJ80" s="354"/>
      <c r="AK80" s="354"/>
      <c r="AL80" s="260"/>
      <c r="AM80" s="260"/>
      <c r="AN80" s="260"/>
      <c r="AO80" s="260"/>
      <c r="AP80" s="260"/>
      <c r="AQ80" s="111"/>
      <c r="AS80" s="141"/>
      <c r="AT80" s="141"/>
      <c r="AU80" s="141"/>
      <c r="AV80" s="141"/>
      <c r="AW80" s="141"/>
      <c r="AX80" s="141"/>
      <c r="AY80" s="141"/>
      <c r="AZ80" s="141"/>
      <c r="BA80" s="141"/>
      <c r="BB80" s="141"/>
      <c r="BC80" s="141"/>
    </row>
    <row r="81" spans="1:55" s="39" customFormat="1" ht="97.5" customHeight="1" x14ac:dyDescent="0.2">
      <c r="A81" s="283">
        <v>46</v>
      </c>
      <c r="B81" s="219"/>
      <c r="C81" s="120"/>
      <c r="D81" s="291"/>
      <c r="E81" s="120"/>
      <c r="F81" s="120"/>
      <c r="G81" s="287"/>
      <c r="H81" s="301"/>
      <c r="I81" s="392"/>
      <c r="J81" s="304"/>
      <c r="K81" s="285"/>
      <c r="L81" s="120"/>
      <c r="M81" s="241"/>
      <c r="N81" s="242"/>
      <c r="O81" s="242"/>
      <c r="P81" s="111"/>
      <c r="Q81" s="66"/>
      <c r="R81" s="260"/>
      <c r="S81" s="260"/>
      <c r="T81" s="66"/>
      <c r="U81" s="111"/>
      <c r="V81" s="120"/>
      <c r="W81" s="120"/>
      <c r="X81" s="120"/>
      <c r="Y81" s="120"/>
      <c r="Z81" s="111"/>
      <c r="AA81" s="66"/>
      <c r="AB81" s="181"/>
      <c r="AC81" s="181"/>
      <c r="AD81" s="181"/>
      <c r="AE81" s="111"/>
      <c r="AF81" s="241"/>
      <c r="AG81" s="242"/>
      <c r="AH81" s="354"/>
      <c r="AI81" s="354"/>
      <c r="AJ81" s="354"/>
      <c r="AK81" s="354"/>
      <c r="AL81" s="260"/>
      <c r="AM81" s="260"/>
      <c r="AN81" s="260"/>
      <c r="AO81" s="260"/>
      <c r="AP81" s="260"/>
      <c r="AQ81" s="111"/>
      <c r="AS81" s="141"/>
      <c r="AT81" s="141"/>
      <c r="AU81" s="141"/>
      <c r="AV81" s="141"/>
      <c r="AW81" s="141"/>
      <c r="AX81" s="141"/>
      <c r="AY81" s="141"/>
      <c r="AZ81" s="141"/>
      <c r="BA81" s="141"/>
      <c r="BB81" s="141"/>
      <c r="BC81" s="141"/>
    </row>
    <row r="82" spans="1:55" s="39" customFormat="1" ht="97.5" customHeight="1" x14ac:dyDescent="0.2">
      <c r="A82" s="283">
        <v>46</v>
      </c>
      <c r="B82" s="219"/>
      <c r="C82" s="120"/>
      <c r="D82" s="291"/>
      <c r="E82" s="120"/>
      <c r="F82" s="120"/>
      <c r="G82" s="287"/>
      <c r="H82" s="301"/>
      <c r="I82" s="392"/>
      <c r="J82" s="304"/>
      <c r="K82" s="285"/>
      <c r="L82" s="120"/>
      <c r="M82" s="241"/>
      <c r="N82" s="242"/>
      <c r="O82" s="242"/>
      <c r="P82" s="111"/>
      <c r="Q82" s="66"/>
      <c r="R82" s="260"/>
      <c r="S82" s="260"/>
      <c r="T82" s="66"/>
      <c r="U82" s="111"/>
      <c r="V82" s="120"/>
      <c r="W82" s="120"/>
      <c r="X82" s="120"/>
      <c r="Y82" s="120"/>
      <c r="Z82" s="111"/>
      <c r="AA82" s="66"/>
      <c r="AB82" s="181"/>
      <c r="AC82" s="181"/>
      <c r="AD82" s="181"/>
      <c r="AE82" s="111"/>
      <c r="AF82" s="241"/>
      <c r="AG82" s="242"/>
      <c r="AH82" s="354"/>
      <c r="AI82" s="354"/>
      <c r="AJ82" s="354"/>
      <c r="AK82" s="354"/>
      <c r="AL82" s="260"/>
      <c r="AM82" s="260"/>
      <c r="AN82" s="260"/>
      <c r="AO82" s="260"/>
      <c r="AP82" s="260"/>
      <c r="AQ82" s="111"/>
      <c r="AS82" s="141"/>
      <c r="AT82" s="141"/>
      <c r="AU82" s="141"/>
      <c r="AV82" s="141"/>
      <c r="AW82" s="141"/>
      <c r="AX82" s="141"/>
      <c r="AY82" s="141"/>
      <c r="AZ82" s="141"/>
      <c r="BA82" s="141"/>
      <c r="BB82" s="141"/>
      <c r="BC82" s="141"/>
    </row>
    <row r="83" spans="1:55" s="39" customFormat="1" ht="97.5" customHeight="1" x14ac:dyDescent="0.2">
      <c r="A83" s="283">
        <v>46</v>
      </c>
      <c r="B83" s="219"/>
      <c r="C83" s="120"/>
      <c r="D83" s="291"/>
      <c r="E83" s="120"/>
      <c r="F83" s="120"/>
      <c r="G83" s="287"/>
      <c r="H83" s="301"/>
      <c r="I83" s="392"/>
      <c r="J83" s="304"/>
      <c r="K83" s="285"/>
      <c r="L83" s="120"/>
      <c r="M83" s="241"/>
      <c r="N83" s="242"/>
      <c r="O83" s="242"/>
      <c r="P83" s="111"/>
      <c r="Q83" s="66"/>
      <c r="R83" s="260"/>
      <c r="S83" s="260"/>
      <c r="T83" s="66"/>
      <c r="U83" s="111"/>
      <c r="V83" s="120"/>
      <c r="W83" s="120"/>
      <c r="X83" s="120"/>
      <c r="Y83" s="120"/>
      <c r="Z83" s="111"/>
      <c r="AA83" s="66"/>
      <c r="AB83" s="181"/>
      <c r="AC83" s="181"/>
      <c r="AD83" s="181"/>
      <c r="AE83" s="111"/>
      <c r="AF83" s="241"/>
      <c r="AG83" s="242"/>
      <c r="AH83" s="354"/>
      <c r="AI83" s="354"/>
      <c r="AJ83" s="354"/>
      <c r="AK83" s="354"/>
      <c r="AL83" s="260"/>
      <c r="AM83" s="260"/>
      <c r="AN83" s="260"/>
      <c r="AO83" s="260"/>
      <c r="AP83" s="260"/>
      <c r="AQ83" s="111"/>
      <c r="AS83" s="141"/>
      <c r="AT83" s="141"/>
      <c r="AU83" s="141"/>
      <c r="AV83" s="141"/>
      <c r="AW83" s="141"/>
      <c r="AX83" s="141"/>
      <c r="AY83" s="141"/>
      <c r="AZ83" s="141"/>
      <c r="BA83" s="141"/>
      <c r="BB83" s="141"/>
      <c r="BC83" s="141"/>
    </row>
    <row r="84" spans="1:55" s="39" customFormat="1" ht="97.5" customHeight="1" x14ac:dyDescent="0.2">
      <c r="A84" s="283">
        <v>46</v>
      </c>
      <c r="B84" s="219"/>
      <c r="C84" s="120"/>
      <c r="D84" s="291"/>
      <c r="E84" s="120"/>
      <c r="F84" s="120"/>
      <c r="G84" s="287"/>
      <c r="H84" s="301"/>
      <c r="I84" s="392"/>
      <c r="J84" s="304"/>
      <c r="K84" s="285"/>
      <c r="L84" s="120"/>
      <c r="M84" s="241"/>
      <c r="N84" s="242"/>
      <c r="O84" s="242"/>
      <c r="P84" s="111"/>
      <c r="Q84" s="66"/>
      <c r="R84" s="260"/>
      <c r="S84" s="260"/>
      <c r="T84" s="66"/>
      <c r="U84" s="111"/>
      <c r="V84" s="120"/>
      <c r="W84" s="120"/>
      <c r="X84" s="120"/>
      <c r="Y84" s="120"/>
      <c r="Z84" s="111"/>
      <c r="AA84" s="66"/>
      <c r="AB84" s="181"/>
      <c r="AC84" s="181"/>
      <c r="AD84" s="181"/>
      <c r="AE84" s="111"/>
      <c r="AF84" s="241"/>
      <c r="AG84" s="242"/>
      <c r="AH84" s="354"/>
      <c r="AI84" s="354"/>
      <c r="AJ84" s="354"/>
      <c r="AK84" s="354"/>
      <c r="AL84" s="260"/>
      <c r="AM84" s="260"/>
      <c r="AN84" s="260"/>
      <c r="AO84" s="260"/>
      <c r="AP84" s="260"/>
      <c r="AQ84" s="111"/>
      <c r="AS84" s="141"/>
      <c r="AT84" s="141"/>
      <c r="AU84" s="141"/>
      <c r="AV84" s="141"/>
      <c r="AW84" s="141"/>
      <c r="AX84" s="141"/>
      <c r="AY84" s="141"/>
      <c r="AZ84" s="141"/>
      <c r="BA84" s="141"/>
      <c r="BB84" s="141"/>
      <c r="BC84" s="141"/>
    </row>
    <row r="85" spans="1:55" s="39" customFormat="1" ht="97.5" customHeight="1" x14ac:dyDescent="0.2">
      <c r="A85" s="283">
        <v>46</v>
      </c>
      <c r="B85" s="219"/>
      <c r="C85" s="120"/>
      <c r="D85" s="291"/>
      <c r="E85" s="120"/>
      <c r="F85" s="120"/>
      <c r="G85" s="287"/>
      <c r="H85" s="301"/>
      <c r="I85" s="392"/>
      <c r="J85" s="304"/>
      <c r="K85" s="285"/>
      <c r="L85" s="120"/>
      <c r="M85" s="241"/>
      <c r="N85" s="242"/>
      <c r="O85" s="242"/>
      <c r="P85" s="111"/>
      <c r="Q85" s="66"/>
      <c r="R85" s="260"/>
      <c r="S85" s="260"/>
      <c r="T85" s="66"/>
      <c r="U85" s="111"/>
      <c r="V85" s="120"/>
      <c r="W85" s="120"/>
      <c r="X85" s="120"/>
      <c r="Y85" s="120"/>
      <c r="Z85" s="111"/>
      <c r="AA85" s="66"/>
      <c r="AB85" s="181"/>
      <c r="AC85" s="181"/>
      <c r="AD85" s="181"/>
      <c r="AE85" s="111"/>
      <c r="AF85" s="241"/>
      <c r="AG85" s="242"/>
      <c r="AH85" s="354"/>
      <c r="AI85" s="354"/>
      <c r="AJ85" s="354"/>
      <c r="AK85" s="354"/>
      <c r="AL85" s="260"/>
      <c r="AM85" s="260"/>
      <c r="AN85" s="260"/>
      <c r="AO85" s="260"/>
      <c r="AP85" s="260"/>
      <c r="AQ85" s="111"/>
      <c r="AS85" s="141"/>
      <c r="AT85" s="141"/>
      <c r="AU85" s="141"/>
      <c r="AV85" s="141"/>
      <c r="AW85" s="141"/>
      <c r="AX85" s="141"/>
      <c r="AY85" s="141"/>
      <c r="AZ85" s="141"/>
      <c r="BA85" s="141"/>
      <c r="BB85" s="141"/>
      <c r="BC85" s="141"/>
    </row>
    <row r="86" spans="1:55" s="39" customFormat="1" ht="97.5" customHeight="1" x14ac:dyDescent="0.2">
      <c r="A86" s="283">
        <v>46</v>
      </c>
      <c r="B86" s="219"/>
      <c r="C86" s="120"/>
      <c r="D86" s="291"/>
      <c r="E86" s="120"/>
      <c r="F86" s="120"/>
      <c r="G86" s="287"/>
      <c r="H86" s="301"/>
      <c r="I86" s="392"/>
      <c r="J86" s="304"/>
      <c r="K86" s="285"/>
      <c r="L86" s="120"/>
      <c r="M86" s="241"/>
      <c r="N86" s="242"/>
      <c r="O86" s="242"/>
      <c r="P86" s="111"/>
      <c r="Q86" s="66"/>
      <c r="R86" s="260"/>
      <c r="S86" s="260"/>
      <c r="T86" s="66"/>
      <c r="U86" s="111"/>
      <c r="V86" s="120"/>
      <c r="W86" s="120"/>
      <c r="X86" s="120"/>
      <c r="Y86" s="120"/>
      <c r="Z86" s="111"/>
      <c r="AA86" s="66"/>
      <c r="AB86" s="181"/>
      <c r="AC86" s="181"/>
      <c r="AD86" s="181"/>
      <c r="AE86" s="111"/>
      <c r="AF86" s="241"/>
      <c r="AG86" s="242"/>
      <c r="AH86" s="354"/>
      <c r="AI86" s="354"/>
      <c r="AJ86" s="354"/>
      <c r="AK86" s="354"/>
      <c r="AL86" s="260"/>
      <c r="AM86" s="260"/>
      <c r="AN86" s="260"/>
      <c r="AO86" s="260"/>
      <c r="AP86" s="260"/>
      <c r="AQ86" s="111"/>
      <c r="AS86" s="141"/>
      <c r="AT86" s="141"/>
      <c r="AU86" s="141"/>
      <c r="AV86" s="141"/>
      <c r="AW86" s="141"/>
      <c r="AX86" s="141"/>
      <c r="AY86" s="141"/>
      <c r="AZ86" s="141"/>
      <c r="BA86" s="141"/>
      <c r="BB86" s="141"/>
      <c r="BC86" s="141"/>
    </row>
    <row r="87" spans="1:55" s="39" customFormat="1" ht="97.5" customHeight="1" x14ac:dyDescent="0.2">
      <c r="A87" s="283">
        <v>46</v>
      </c>
      <c r="B87" s="219"/>
      <c r="C87" s="120"/>
      <c r="D87" s="291"/>
      <c r="E87" s="120"/>
      <c r="F87" s="120"/>
      <c r="G87" s="287"/>
      <c r="H87" s="301"/>
      <c r="I87" s="392"/>
      <c r="J87" s="304"/>
      <c r="K87" s="285"/>
      <c r="L87" s="120"/>
      <c r="M87" s="241"/>
      <c r="N87" s="242"/>
      <c r="O87" s="242"/>
      <c r="P87" s="111"/>
      <c r="Q87" s="66"/>
      <c r="R87" s="260"/>
      <c r="S87" s="260"/>
      <c r="T87" s="66"/>
      <c r="U87" s="111"/>
      <c r="V87" s="120"/>
      <c r="W87" s="120"/>
      <c r="X87" s="120"/>
      <c r="Y87" s="120"/>
      <c r="Z87" s="111"/>
      <c r="AA87" s="66"/>
      <c r="AB87" s="181"/>
      <c r="AC87" s="181"/>
      <c r="AD87" s="181"/>
      <c r="AE87" s="111"/>
      <c r="AF87" s="241"/>
      <c r="AG87" s="242"/>
      <c r="AH87" s="354"/>
      <c r="AI87" s="354"/>
      <c r="AJ87" s="354"/>
      <c r="AK87" s="354"/>
      <c r="AL87" s="260"/>
      <c r="AM87" s="260"/>
      <c r="AN87" s="260"/>
      <c r="AO87" s="260"/>
      <c r="AP87" s="260"/>
      <c r="AQ87" s="111"/>
      <c r="AS87" s="141"/>
      <c r="AT87" s="141"/>
      <c r="AU87" s="141"/>
      <c r="AV87" s="141"/>
      <c r="AW87" s="141"/>
      <c r="AX87" s="141"/>
      <c r="AY87" s="141"/>
      <c r="AZ87" s="141"/>
      <c r="BA87" s="141"/>
      <c r="BB87" s="141"/>
      <c r="BC87" s="141"/>
    </row>
    <row r="88" spans="1:55" s="39" customFormat="1" ht="97.5" customHeight="1" x14ac:dyDescent="0.2">
      <c r="A88" s="283">
        <v>46</v>
      </c>
      <c r="B88" s="219"/>
      <c r="C88" s="120"/>
      <c r="D88" s="291"/>
      <c r="E88" s="120"/>
      <c r="F88" s="120"/>
      <c r="G88" s="287"/>
      <c r="H88" s="301"/>
      <c r="I88" s="392"/>
      <c r="J88" s="304"/>
      <c r="K88" s="285"/>
      <c r="L88" s="120"/>
      <c r="M88" s="241"/>
      <c r="N88" s="242"/>
      <c r="O88" s="242"/>
      <c r="P88" s="111"/>
      <c r="Q88" s="66"/>
      <c r="R88" s="260"/>
      <c r="S88" s="260"/>
      <c r="T88" s="66"/>
      <c r="U88" s="111"/>
      <c r="V88" s="120"/>
      <c r="W88" s="120"/>
      <c r="X88" s="120"/>
      <c r="Y88" s="120"/>
      <c r="Z88" s="111"/>
      <c r="AA88" s="66"/>
      <c r="AB88" s="181"/>
      <c r="AC88" s="181"/>
      <c r="AD88" s="181"/>
      <c r="AE88" s="111"/>
      <c r="AF88" s="241"/>
      <c r="AG88" s="242"/>
      <c r="AH88" s="354"/>
      <c r="AI88" s="354"/>
      <c r="AJ88" s="354"/>
      <c r="AK88" s="354"/>
      <c r="AL88" s="260"/>
      <c r="AM88" s="260"/>
      <c r="AN88" s="260"/>
      <c r="AO88" s="260"/>
      <c r="AP88" s="260"/>
      <c r="AQ88" s="111"/>
      <c r="AS88" s="141"/>
      <c r="AT88" s="141"/>
      <c r="AU88" s="141"/>
      <c r="AV88" s="141"/>
      <c r="AW88" s="141"/>
      <c r="AX88" s="141"/>
      <c r="AY88" s="141"/>
      <c r="AZ88" s="141"/>
      <c r="BA88" s="141"/>
      <c r="BB88" s="141"/>
      <c r="BC88" s="141"/>
    </row>
    <row r="89" spans="1:55" s="39" customFormat="1" ht="97.5" customHeight="1" x14ac:dyDescent="0.2">
      <c r="A89" s="283">
        <v>46</v>
      </c>
      <c r="B89" s="219"/>
      <c r="C89" s="120"/>
      <c r="D89" s="291"/>
      <c r="E89" s="120"/>
      <c r="F89" s="120"/>
      <c r="G89" s="287"/>
      <c r="H89" s="301"/>
      <c r="I89" s="392"/>
      <c r="J89" s="304"/>
      <c r="K89" s="285"/>
      <c r="L89" s="120"/>
      <c r="M89" s="241"/>
      <c r="N89" s="242"/>
      <c r="O89" s="242"/>
      <c r="P89" s="111"/>
      <c r="Q89" s="66"/>
      <c r="R89" s="260"/>
      <c r="S89" s="260"/>
      <c r="T89" s="66"/>
      <c r="U89" s="111"/>
      <c r="V89" s="120"/>
      <c r="W89" s="120"/>
      <c r="X89" s="120"/>
      <c r="Y89" s="120"/>
      <c r="Z89" s="111"/>
      <c r="AA89" s="66"/>
      <c r="AB89" s="181"/>
      <c r="AC89" s="181"/>
      <c r="AD89" s="181"/>
      <c r="AE89" s="111"/>
      <c r="AF89" s="241"/>
      <c r="AG89" s="242"/>
      <c r="AH89" s="354"/>
      <c r="AI89" s="354"/>
      <c r="AJ89" s="354"/>
      <c r="AK89" s="354"/>
      <c r="AL89" s="260"/>
      <c r="AM89" s="260"/>
      <c r="AN89" s="260"/>
      <c r="AO89" s="260"/>
      <c r="AP89" s="260"/>
      <c r="AQ89" s="111"/>
      <c r="AS89" s="141"/>
      <c r="AT89" s="141"/>
      <c r="AU89" s="141"/>
      <c r="AV89" s="141"/>
      <c r="AW89" s="141"/>
      <c r="AX89" s="141"/>
      <c r="AY89" s="141"/>
      <c r="AZ89" s="141"/>
      <c r="BA89" s="141"/>
      <c r="BB89" s="141"/>
      <c r="BC89" s="141"/>
    </row>
    <row r="90" spans="1:55" s="39" customFormat="1" ht="97.5" customHeight="1" x14ac:dyDescent="0.2">
      <c r="A90" s="283">
        <v>46</v>
      </c>
      <c r="B90" s="219"/>
      <c r="C90" s="120"/>
      <c r="D90" s="291"/>
      <c r="E90" s="120"/>
      <c r="F90" s="120"/>
      <c r="G90" s="287"/>
      <c r="H90" s="301"/>
      <c r="I90" s="392"/>
      <c r="J90" s="304"/>
      <c r="K90" s="285"/>
      <c r="L90" s="120"/>
      <c r="M90" s="241"/>
      <c r="N90" s="242"/>
      <c r="O90" s="242"/>
      <c r="P90" s="111"/>
      <c r="Q90" s="66"/>
      <c r="R90" s="260"/>
      <c r="S90" s="260"/>
      <c r="T90" s="66"/>
      <c r="U90" s="111"/>
      <c r="V90" s="120"/>
      <c r="W90" s="120"/>
      <c r="X90" s="120"/>
      <c r="Y90" s="120"/>
      <c r="Z90" s="111"/>
      <c r="AA90" s="66"/>
      <c r="AB90" s="181"/>
      <c r="AC90" s="181"/>
      <c r="AD90" s="181"/>
      <c r="AE90" s="111"/>
      <c r="AF90" s="241"/>
      <c r="AG90" s="242"/>
      <c r="AH90" s="354"/>
      <c r="AI90" s="354"/>
      <c r="AJ90" s="354"/>
      <c r="AK90" s="354"/>
      <c r="AL90" s="260"/>
      <c r="AM90" s="260"/>
      <c r="AN90" s="260"/>
      <c r="AO90" s="260"/>
      <c r="AP90" s="260"/>
      <c r="AQ90" s="111"/>
      <c r="AS90" s="141"/>
      <c r="AT90" s="141"/>
      <c r="AU90" s="141"/>
      <c r="AV90" s="141"/>
      <c r="AW90" s="141"/>
      <c r="AX90" s="141"/>
      <c r="AY90" s="141"/>
      <c r="AZ90" s="141"/>
      <c r="BA90" s="141"/>
      <c r="BB90" s="141"/>
      <c r="BC90" s="141"/>
    </row>
    <row r="91" spans="1:55" s="39" customFormat="1" ht="97.5" customHeight="1" x14ac:dyDescent="0.2">
      <c r="A91" s="283">
        <v>46</v>
      </c>
      <c r="B91" s="219"/>
      <c r="C91" s="120"/>
      <c r="D91" s="291"/>
      <c r="E91" s="120"/>
      <c r="F91" s="120"/>
      <c r="G91" s="287"/>
      <c r="H91" s="301"/>
      <c r="I91" s="392"/>
      <c r="J91" s="304"/>
      <c r="K91" s="285"/>
      <c r="L91" s="120"/>
      <c r="M91" s="241"/>
      <c r="N91" s="242"/>
      <c r="O91" s="242"/>
      <c r="P91" s="111"/>
      <c r="Q91" s="66"/>
      <c r="R91" s="260"/>
      <c r="S91" s="260"/>
      <c r="T91" s="66"/>
      <c r="U91" s="111"/>
      <c r="V91" s="120"/>
      <c r="W91" s="120"/>
      <c r="X91" s="120"/>
      <c r="Y91" s="120"/>
      <c r="Z91" s="111"/>
      <c r="AA91" s="66"/>
      <c r="AB91" s="181"/>
      <c r="AC91" s="181"/>
      <c r="AD91" s="181"/>
      <c r="AE91" s="111"/>
      <c r="AF91" s="241"/>
      <c r="AG91" s="242"/>
      <c r="AH91" s="354"/>
      <c r="AI91" s="354"/>
      <c r="AJ91" s="354"/>
      <c r="AK91" s="354"/>
      <c r="AL91" s="260"/>
      <c r="AM91" s="260"/>
      <c r="AN91" s="260"/>
      <c r="AO91" s="260"/>
      <c r="AP91" s="260"/>
      <c r="AQ91" s="111"/>
      <c r="AS91" s="141"/>
      <c r="AT91" s="141"/>
      <c r="AU91" s="141"/>
      <c r="AV91" s="141"/>
      <c r="AW91" s="141"/>
      <c r="AX91" s="141"/>
      <c r="AY91" s="141"/>
      <c r="AZ91" s="141"/>
      <c r="BA91" s="141"/>
      <c r="BB91" s="141"/>
      <c r="BC91" s="141"/>
    </row>
    <row r="92" spans="1:55" s="39" customFormat="1" ht="97.5" customHeight="1" x14ac:dyDescent="0.2">
      <c r="A92" s="283">
        <v>46</v>
      </c>
      <c r="B92" s="219"/>
      <c r="C92" s="120"/>
      <c r="D92" s="291"/>
      <c r="E92" s="120"/>
      <c r="F92" s="120"/>
      <c r="G92" s="287"/>
      <c r="H92" s="301"/>
      <c r="I92" s="392"/>
      <c r="J92" s="304"/>
      <c r="K92" s="285"/>
      <c r="L92" s="120"/>
      <c r="M92" s="241"/>
      <c r="N92" s="242"/>
      <c r="O92" s="242"/>
      <c r="P92" s="111"/>
      <c r="Q92" s="66"/>
      <c r="R92" s="260"/>
      <c r="S92" s="260"/>
      <c r="T92" s="66"/>
      <c r="U92" s="111"/>
      <c r="V92" s="120"/>
      <c r="W92" s="120"/>
      <c r="X92" s="120"/>
      <c r="Y92" s="120"/>
      <c r="Z92" s="111"/>
      <c r="AA92" s="66"/>
      <c r="AB92" s="181"/>
      <c r="AC92" s="181"/>
      <c r="AD92" s="181"/>
      <c r="AE92" s="111"/>
      <c r="AF92" s="241"/>
      <c r="AG92" s="242"/>
      <c r="AH92" s="354"/>
      <c r="AI92" s="354"/>
      <c r="AJ92" s="354"/>
      <c r="AK92" s="354"/>
      <c r="AL92" s="260"/>
      <c r="AM92" s="260"/>
      <c r="AN92" s="260"/>
      <c r="AO92" s="260"/>
      <c r="AP92" s="260"/>
      <c r="AQ92" s="111"/>
      <c r="AS92" s="141"/>
      <c r="AT92" s="141"/>
      <c r="AU92" s="141"/>
      <c r="AV92" s="141"/>
      <c r="AW92" s="141"/>
      <c r="AX92" s="141"/>
      <c r="AY92" s="141"/>
      <c r="AZ92" s="141"/>
      <c r="BA92" s="141"/>
      <c r="BB92" s="141"/>
      <c r="BC92" s="141"/>
    </row>
    <row r="93" spans="1:55" s="39" customFormat="1" ht="97.5" customHeight="1" x14ac:dyDescent="0.2">
      <c r="A93" s="283">
        <v>46</v>
      </c>
      <c r="B93" s="219"/>
      <c r="C93" s="120"/>
      <c r="D93" s="291"/>
      <c r="E93" s="120"/>
      <c r="F93" s="120"/>
      <c r="G93" s="287"/>
      <c r="H93" s="301"/>
      <c r="I93" s="392"/>
      <c r="J93" s="304"/>
      <c r="K93" s="285"/>
      <c r="L93" s="120"/>
      <c r="M93" s="241"/>
      <c r="N93" s="242"/>
      <c r="O93" s="242"/>
      <c r="P93" s="111"/>
      <c r="Q93" s="66"/>
      <c r="R93" s="260"/>
      <c r="S93" s="260"/>
      <c r="T93" s="66"/>
      <c r="U93" s="111"/>
      <c r="V93" s="120"/>
      <c r="W93" s="120"/>
      <c r="X93" s="120"/>
      <c r="Y93" s="120"/>
      <c r="Z93" s="111"/>
      <c r="AA93" s="66"/>
      <c r="AB93" s="181"/>
      <c r="AC93" s="181"/>
      <c r="AD93" s="181"/>
      <c r="AE93" s="111"/>
      <c r="AF93" s="241"/>
      <c r="AG93" s="242"/>
      <c r="AH93" s="354"/>
      <c r="AI93" s="354"/>
      <c r="AJ93" s="354"/>
      <c r="AK93" s="354"/>
      <c r="AL93" s="260"/>
      <c r="AM93" s="260"/>
      <c r="AN93" s="260"/>
      <c r="AO93" s="260"/>
      <c r="AP93" s="260"/>
      <c r="AQ93" s="111"/>
      <c r="AS93" s="141"/>
      <c r="AT93" s="141"/>
      <c r="AU93" s="141"/>
      <c r="AV93" s="141"/>
      <c r="AW93" s="141"/>
      <c r="AX93" s="141"/>
      <c r="AY93" s="141"/>
      <c r="AZ93" s="141"/>
      <c r="BA93" s="141"/>
      <c r="BB93" s="141"/>
      <c r="BC93" s="141"/>
    </row>
    <row r="94" spans="1:55" s="39" customFormat="1" ht="97.5" customHeight="1" x14ac:dyDescent="0.2">
      <c r="A94" s="283">
        <v>46</v>
      </c>
      <c r="B94" s="219"/>
      <c r="C94" s="120"/>
      <c r="D94" s="291"/>
      <c r="E94" s="120"/>
      <c r="F94" s="120"/>
      <c r="G94" s="287"/>
      <c r="H94" s="301"/>
      <c r="I94" s="392"/>
      <c r="J94" s="304"/>
      <c r="K94" s="285"/>
      <c r="L94" s="120"/>
      <c r="M94" s="241"/>
      <c r="N94" s="242"/>
      <c r="O94" s="242"/>
      <c r="P94" s="111"/>
      <c r="Q94" s="66"/>
      <c r="R94" s="260"/>
      <c r="S94" s="260"/>
      <c r="T94" s="66"/>
      <c r="U94" s="111"/>
      <c r="V94" s="120"/>
      <c r="W94" s="120"/>
      <c r="X94" s="120"/>
      <c r="Y94" s="120"/>
      <c r="Z94" s="111"/>
      <c r="AA94" s="66"/>
      <c r="AB94" s="181"/>
      <c r="AC94" s="181"/>
      <c r="AD94" s="181"/>
      <c r="AE94" s="111"/>
      <c r="AF94" s="241"/>
      <c r="AG94" s="242"/>
      <c r="AH94" s="354"/>
      <c r="AI94" s="354"/>
      <c r="AJ94" s="354"/>
      <c r="AK94" s="354"/>
      <c r="AL94" s="260"/>
      <c r="AM94" s="260"/>
      <c r="AN94" s="260"/>
      <c r="AO94" s="260"/>
      <c r="AP94" s="260"/>
      <c r="AQ94" s="111"/>
      <c r="AS94" s="141"/>
      <c r="AT94" s="141"/>
      <c r="AU94" s="141"/>
      <c r="AV94" s="141"/>
      <c r="AW94" s="141"/>
      <c r="AX94" s="141"/>
      <c r="AY94" s="141"/>
      <c r="AZ94" s="141"/>
      <c r="BA94" s="141"/>
      <c r="BB94" s="141"/>
      <c r="BC94" s="141"/>
    </row>
    <row r="95" spans="1:55" s="39" customFormat="1" ht="97.5" customHeight="1" x14ac:dyDescent="0.2">
      <c r="A95" s="283">
        <v>46</v>
      </c>
      <c r="B95" s="219"/>
      <c r="C95" s="120"/>
      <c r="D95" s="291"/>
      <c r="E95" s="120"/>
      <c r="F95" s="120"/>
      <c r="G95" s="287"/>
      <c r="H95" s="301"/>
      <c r="I95" s="392"/>
      <c r="J95" s="304"/>
      <c r="K95" s="285"/>
      <c r="L95" s="120"/>
      <c r="M95" s="241"/>
      <c r="N95" s="242"/>
      <c r="O95" s="242"/>
      <c r="P95" s="111"/>
      <c r="Q95" s="66"/>
      <c r="R95" s="260"/>
      <c r="S95" s="260"/>
      <c r="T95" s="66"/>
      <c r="U95" s="111"/>
      <c r="V95" s="120"/>
      <c r="W95" s="120"/>
      <c r="X95" s="120"/>
      <c r="Y95" s="120"/>
      <c r="Z95" s="111"/>
      <c r="AA95" s="66"/>
      <c r="AB95" s="181"/>
      <c r="AC95" s="181"/>
      <c r="AD95" s="181"/>
      <c r="AE95" s="111"/>
      <c r="AF95" s="241"/>
      <c r="AG95" s="242"/>
      <c r="AH95" s="354"/>
      <c r="AI95" s="354"/>
      <c r="AJ95" s="354"/>
      <c r="AK95" s="354"/>
      <c r="AL95" s="260"/>
      <c r="AM95" s="260"/>
      <c r="AN95" s="260"/>
      <c r="AO95" s="260"/>
      <c r="AP95" s="260"/>
      <c r="AQ95" s="111"/>
      <c r="AS95" s="141"/>
      <c r="AT95" s="141"/>
      <c r="AU95" s="141"/>
      <c r="AV95" s="141"/>
      <c r="AW95" s="141"/>
      <c r="AX95" s="141"/>
      <c r="AY95" s="141"/>
      <c r="AZ95" s="141"/>
      <c r="BA95" s="141"/>
      <c r="BB95" s="141"/>
      <c r="BC95" s="141"/>
    </row>
    <row r="96" spans="1:55" s="39" customFormat="1" ht="97.5" customHeight="1" x14ac:dyDescent="0.2">
      <c r="A96" s="283">
        <v>46</v>
      </c>
      <c r="B96" s="219"/>
      <c r="C96" s="120"/>
      <c r="D96" s="291"/>
      <c r="E96" s="120"/>
      <c r="F96" s="120"/>
      <c r="G96" s="287"/>
      <c r="H96" s="301"/>
      <c r="I96" s="392"/>
      <c r="J96" s="304"/>
      <c r="K96" s="285"/>
      <c r="L96" s="120"/>
      <c r="M96" s="241"/>
      <c r="N96" s="242"/>
      <c r="O96" s="242"/>
      <c r="P96" s="111"/>
      <c r="Q96" s="66"/>
      <c r="R96" s="260"/>
      <c r="S96" s="260"/>
      <c r="T96" s="66"/>
      <c r="U96" s="111"/>
      <c r="V96" s="120"/>
      <c r="W96" s="120"/>
      <c r="X96" s="120"/>
      <c r="Y96" s="120"/>
      <c r="Z96" s="111"/>
      <c r="AA96" s="66"/>
      <c r="AB96" s="181"/>
      <c r="AC96" s="181"/>
      <c r="AD96" s="181"/>
      <c r="AE96" s="111"/>
      <c r="AF96" s="241"/>
      <c r="AG96" s="242"/>
      <c r="AH96" s="354"/>
      <c r="AI96" s="354"/>
      <c r="AJ96" s="354"/>
      <c r="AK96" s="354"/>
      <c r="AL96" s="260"/>
      <c r="AM96" s="260"/>
      <c r="AN96" s="260"/>
      <c r="AO96" s="260"/>
      <c r="AP96" s="260"/>
      <c r="AQ96" s="111"/>
      <c r="AS96" s="141"/>
      <c r="AT96" s="141"/>
      <c r="AU96" s="141"/>
      <c r="AV96" s="141"/>
      <c r="AW96" s="141"/>
      <c r="AX96" s="141"/>
      <c r="AY96" s="141"/>
      <c r="AZ96" s="141"/>
      <c r="BA96" s="141"/>
      <c r="BB96" s="141"/>
      <c r="BC96" s="141"/>
    </row>
    <row r="97" spans="1:55" s="39" customFormat="1" ht="97.5" customHeight="1" x14ac:dyDescent="0.2">
      <c r="A97" s="283">
        <v>46</v>
      </c>
      <c r="B97" s="219"/>
      <c r="C97" s="120"/>
      <c r="D97" s="291"/>
      <c r="E97" s="120"/>
      <c r="F97" s="120"/>
      <c r="G97" s="287"/>
      <c r="H97" s="301"/>
      <c r="I97" s="392"/>
      <c r="J97" s="304"/>
      <c r="K97" s="285"/>
      <c r="L97" s="120"/>
      <c r="M97" s="241"/>
      <c r="N97" s="242"/>
      <c r="O97" s="242"/>
      <c r="P97" s="111"/>
      <c r="Q97" s="66"/>
      <c r="R97" s="260"/>
      <c r="S97" s="260"/>
      <c r="T97" s="66"/>
      <c r="U97" s="111"/>
      <c r="V97" s="120"/>
      <c r="W97" s="120"/>
      <c r="X97" s="120"/>
      <c r="Y97" s="120"/>
      <c r="Z97" s="111"/>
      <c r="AA97" s="66"/>
      <c r="AB97" s="181"/>
      <c r="AC97" s="181"/>
      <c r="AD97" s="181"/>
      <c r="AE97" s="111"/>
      <c r="AF97" s="241"/>
      <c r="AG97" s="242"/>
      <c r="AH97" s="354"/>
      <c r="AI97" s="354"/>
      <c r="AJ97" s="354"/>
      <c r="AK97" s="354"/>
      <c r="AL97" s="260"/>
      <c r="AM97" s="260"/>
      <c r="AN97" s="260"/>
      <c r="AO97" s="260"/>
      <c r="AP97" s="260"/>
      <c r="AQ97" s="111"/>
      <c r="AS97" s="141"/>
      <c r="AT97" s="141"/>
      <c r="AU97" s="141"/>
      <c r="AV97" s="141"/>
      <c r="AW97" s="141"/>
      <c r="AX97" s="141"/>
      <c r="AY97" s="141"/>
      <c r="AZ97" s="141"/>
      <c r="BA97" s="141"/>
      <c r="BB97" s="141"/>
      <c r="BC97" s="141"/>
    </row>
    <row r="98" spans="1:55" s="39" customFormat="1" ht="97.5" customHeight="1" x14ac:dyDescent="0.2">
      <c r="A98" s="283">
        <v>46</v>
      </c>
      <c r="B98" s="219"/>
      <c r="C98" s="120"/>
      <c r="D98" s="291"/>
      <c r="E98" s="120"/>
      <c r="F98" s="120"/>
      <c r="G98" s="287"/>
      <c r="H98" s="301"/>
      <c r="I98" s="392"/>
      <c r="J98" s="304"/>
      <c r="K98" s="285"/>
      <c r="L98" s="120"/>
      <c r="M98" s="241"/>
      <c r="N98" s="242"/>
      <c r="O98" s="242"/>
      <c r="P98" s="111"/>
      <c r="Q98" s="66"/>
      <c r="R98" s="260"/>
      <c r="S98" s="260"/>
      <c r="T98" s="66"/>
      <c r="U98" s="111"/>
      <c r="V98" s="120"/>
      <c r="W98" s="120"/>
      <c r="X98" s="120"/>
      <c r="Y98" s="120"/>
      <c r="Z98" s="111"/>
      <c r="AA98" s="66"/>
      <c r="AB98" s="181"/>
      <c r="AC98" s="181"/>
      <c r="AD98" s="181"/>
      <c r="AE98" s="111"/>
      <c r="AF98" s="241"/>
      <c r="AG98" s="242"/>
      <c r="AH98" s="354"/>
      <c r="AI98" s="354"/>
      <c r="AJ98" s="354"/>
      <c r="AK98" s="354"/>
      <c r="AL98" s="260"/>
      <c r="AM98" s="260"/>
      <c r="AN98" s="260"/>
      <c r="AO98" s="260"/>
      <c r="AP98" s="260"/>
      <c r="AQ98" s="111"/>
      <c r="AS98" s="141"/>
      <c r="AT98" s="141"/>
      <c r="AU98" s="141"/>
      <c r="AV98" s="141"/>
      <c r="AW98" s="141"/>
      <c r="AX98" s="141"/>
      <c r="AY98" s="141"/>
      <c r="AZ98" s="141"/>
      <c r="BA98" s="141"/>
      <c r="BB98" s="141"/>
      <c r="BC98" s="141"/>
    </row>
    <row r="99" spans="1:55" s="39" customFormat="1" ht="97.5" customHeight="1" x14ac:dyDescent="0.2">
      <c r="A99" s="283">
        <v>46</v>
      </c>
      <c r="B99" s="219"/>
      <c r="C99" s="120"/>
      <c r="D99" s="291"/>
      <c r="E99" s="120"/>
      <c r="F99" s="120"/>
      <c r="G99" s="287"/>
      <c r="H99" s="301"/>
      <c r="I99" s="392"/>
      <c r="J99" s="304"/>
      <c r="K99" s="285"/>
      <c r="L99" s="120"/>
      <c r="M99" s="241"/>
      <c r="N99" s="242"/>
      <c r="O99" s="242"/>
      <c r="P99" s="111"/>
      <c r="Q99" s="66"/>
      <c r="R99" s="260"/>
      <c r="S99" s="260"/>
      <c r="T99" s="66"/>
      <c r="U99" s="111"/>
      <c r="V99" s="120"/>
      <c r="W99" s="120"/>
      <c r="X99" s="120"/>
      <c r="Y99" s="120"/>
      <c r="Z99" s="111"/>
      <c r="AA99" s="66"/>
      <c r="AB99" s="181"/>
      <c r="AC99" s="181"/>
      <c r="AD99" s="181"/>
      <c r="AE99" s="111"/>
      <c r="AF99" s="241"/>
      <c r="AG99" s="242"/>
      <c r="AH99" s="354"/>
      <c r="AI99" s="354"/>
      <c r="AJ99" s="354"/>
      <c r="AK99" s="354"/>
      <c r="AL99" s="260"/>
      <c r="AM99" s="260"/>
      <c r="AN99" s="260"/>
      <c r="AO99" s="260"/>
      <c r="AP99" s="260"/>
      <c r="AQ99" s="111"/>
      <c r="AS99" s="141"/>
      <c r="AT99" s="141"/>
      <c r="AU99" s="141"/>
      <c r="AV99" s="141"/>
      <c r="AW99" s="141"/>
      <c r="AX99" s="141"/>
      <c r="AY99" s="141"/>
      <c r="AZ99" s="141"/>
      <c r="BA99" s="141"/>
      <c r="BB99" s="141"/>
      <c r="BC99" s="141"/>
    </row>
    <row r="100" spans="1:55" s="39" customFormat="1" ht="97.5" customHeight="1" x14ac:dyDescent="0.2">
      <c r="A100" s="283">
        <v>46</v>
      </c>
      <c r="B100" s="219"/>
      <c r="C100" s="120"/>
      <c r="D100" s="291"/>
      <c r="E100" s="120"/>
      <c r="F100" s="120"/>
      <c r="G100" s="287"/>
      <c r="H100" s="301"/>
      <c r="I100" s="392"/>
      <c r="J100" s="304"/>
      <c r="K100" s="285"/>
      <c r="L100" s="120"/>
      <c r="M100" s="241"/>
      <c r="N100" s="242"/>
      <c r="O100" s="242"/>
      <c r="P100" s="111"/>
      <c r="Q100" s="66"/>
      <c r="R100" s="260"/>
      <c r="S100" s="260"/>
      <c r="T100" s="66"/>
      <c r="U100" s="111"/>
      <c r="V100" s="120"/>
      <c r="W100" s="120"/>
      <c r="X100" s="120"/>
      <c r="Y100" s="120"/>
      <c r="Z100" s="111"/>
      <c r="AA100" s="66"/>
      <c r="AB100" s="181"/>
      <c r="AC100" s="181"/>
      <c r="AD100" s="181"/>
      <c r="AE100" s="111"/>
      <c r="AF100" s="241"/>
      <c r="AG100" s="242"/>
      <c r="AH100" s="354"/>
      <c r="AI100" s="354"/>
      <c r="AJ100" s="354"/>
      <c r="AK100" s="354"/>
      <c r="AL100" s="260"/>
      <c r="AM100" s="260"/>
      <c r="AN100" s="260"/>
      <c r="AO100" s="260"/>
      <c r="AP100" s="260"/>
      <c r="AQ100" s="111"/>
      <c r="AS100" s="141"/>
      <c r="AT100" s="141"/>
      <c r="AU100" s="141"/>
      <c r="AV100" s="141"/>
      <c r="AW100" s="141"/>
      <c r="AX100" s="141"/>
      <c r="AY100" s="141"/>
      <c r="AZ100" s="141"/>
      <c r="BA100" s="141"/>
      <c r="BB100" s="141"/>
      <c r="BC100" s="141"/>
    </row>
    <row r="101" spans="1:55" s="39" customFormat="1" ht="97.5" customHeight="1" x14ac:dyDescent="0.2">
      <c r="A101" s="283">
        <v>46</v>
      </c>
      <c r="B101" s="219"/>
      <c r="C101" s="120"/>
      <c r="D101" s="291"/>
      <c r="E101" s="120"/>
      <c r="F101" s="120"/>
      <c r="G101" s="287"/>
      <c r="H101" s="301"/>
      <c r="I101" s="392"/>
      <c r="J101" s="304"/>
      <c r="K101" s="285"/>
      <c r="L101" s="120"/>
      <c r="M101" s="241"/>
      <c r="N101" s="242"/>
      <c r="O101" s="242"/>
      <c r="P101" s="111"/>
      <c r="Q101" s="66"/>
      <c r="R101" s="260"/>
      <c r="S101" s="260"/>
      <c r="T101" s="66"/>
      <c r="U101" s="111"/>
      <c r="V101" s="120"/>
      <c r="W101" s="120"/>
      <c r="X101" s="120"/>
      <c r="Y101" s="120"/>
      <c r="Z101" s="111"/>
      <c r="AA101" s="66"/>
      <c r="AB101" s="181"/>
      <c r="AC101" s="181"/>
      <c r="AD101" s="181"/>
      <c r="AE101" s="111"/>
      <c r="AF101" s="241"/>
      <c r="AG101" s="242"/>
      <c r="AH101" s="354"/>
      <c r="AI101" s="354"/>
      <c r="AJ101" s="354"/>
      <c r="AK101" s="354"/>
      <c r="AL101" s="260"/>
      <c r="AM101" s="260"/>
      <c r="AN101" s="260"/>
      <c r="AO101" s="260"/>
      <c r="AP101" s="260"/>
      <c r="AQ101" s="111"/>
      <c r="AS101" s="141"/>
      <c r="AT101" s="141"/>
      <c r="AU101" s="141"/>
      <c r="AV101" s="141"/>
      <c r="AW101" s="141"/>
      <c r="AX101" s="141"/>
      <c r="AY101" s="141"/>
      <c r="AZ101" s="141"/>
      <c r="BA101" s="141"/>
      <c r="BB101" s="141"/>
      <c r="BC101" s="141"/>
    </row>
    <row r="102" spans="1:55" s="39" customFormat="1" ht="97.5" customHeight="1" x14ac:dyDescent="0.2">
      <c r="A102" s="283">
        <v>46</v>
      </c>
      <c r="B102" s="219"/>
      <c r="C102" s="120"/>
      <c r="D102" s="291"/>
      <c r="E102" s="120"/>
      <c r="F102" s="120"/>
      <c r="G102" s="287"/>
      <c r="H102" s="301"/>
      <c r="I102" s="392"/>
      <c r="J102" s="304"/>
      <c r="K102" s="285"/>
      <c r="L102" s="120"/>
      <c r="M102" s="241"/>
      <c r="N102" s="242"/>
      <c r="O102" s="242"/>
      <c r="P102" s="111"/>
      <c r="Q102" s="66"/>
      <c r="R102" s="260"/>
      <c r="S102" s="260"/>
      <c r="T102" s="66"/>
      <c r="U102" s="111"/>
      <c r="V102" s="120"/>
      <c r="W102" s="120"/>
      <c r="X102" s="120"/>
      <c r="Y102" s="120"/>
      <c r="Z102" s="111"/>
      <c r="AA102" s="66"/>
      <c r="AB102" s="181"/>
      <c r="AC102" s="181"/>
      <c r="AD102" s="181"/>
      <c r="AE102" s="111"/>
      <c r="AF102" s="241"/>
      <c r="AG102" s="242"/>
      <c r="AH102" s="354"/>
      <c r="AI102" s="354"/>
      <c r="AJ102" s="354"/>
      <c r="AK102" s="354"/>
      <c r="AL102" s="260"/>
      <c r="AM102" s="260"/>
      <c r="AN102" s="260"/>
      <c r="AO102" s="260"/>
      <c r="AP102" s="260"/>
      <c r="AQ102" s="111"/>
      <c r="AS102" s="141"/>
      <c r="AT102" s="141"/>
      <c r="AU102" s="141"/>
      <c r="AV102" s="141"/>
      <c r="AW102" s="141"/>
      <c r="AX102" s="141"/>
      <c r="AY102" s="141"/>
      <c r="AZ102" s="141"/>
      <c r="BA102" s="141"/>
      <c r="BB102" s="141"/>
      <c r="BC102" s="141"/>
    </row>
    <row r="103" spans="1:55" s="39" customFormat="1" ht="97.5" customHeight="1" x14ac:dyDescent="0.2">
      <c r="A103" s="283">
        <v>46</v>
      </c>
      <c r="B103" s="219"/>
      <c r="C103" s="120"/>
      <c r="D103" s="291"/>
      <c r="E103" s="120"/>
      <c r="F103" s="120"/>
      <c r="G103" s="287"/>
      <c r="H103" s="301"/>
      <c r="I103" s="392"/>
      <c r="J103" s="304"/>
      <c r="K103" s="285"/>
      <c r="L103" s="120"/>
      <c r="M103" s="241"/>
      <c r="N103" s="242"/>
      <c r="O103" s="242"/>
      <c r="P103" s="111"/>
      <c r="Q103" s="66"/>
      <c r="R103" s="260"/>
      <c r="S103" s="260"/>
      <c r="T103" s="66"/>
      <c r="U103" s="111"/>
      <c r="V103" s="120"/>
      <c r="W103" s="120"/>
      <c r="X103" s="120"/>
      <c r="Y103" s="120"/>
      <c r="Z103" s="111"/>
      <c r="AA103" s="66"/>
      <c r="AB103" s="181"/>
      <c r="AC103" s="181"/>
      <c r="AD103" s="181"/>
      <c r="AE103" s="111"/>
      <c r="AF103" s="241"/>
      <c r="AG103" s="242"/>
      <c r="AH103" s="354"/>
      <c r="AI103" s="354"/>
      <c r="AJ103" s="354"/>
      <c r="AK103" s="354"/>
      <c r="AL103" s="260"/>
      <c r="AM103" s="260"/>
      <c r="AN103" s="260"/>
      <c r="AO103" s="260"/>
      <c r="AP103" s="260"/>
      <c r="AQ103" s="111"/>
      <c r="AS103" s="141"/>
      <c r="AT103" s="141"/>
      <c r="AU103" s="141"/>
      <c r="AV103" s="141"/>
      <c r="AW103" s="141"/>
      <c r="AX103" s="141"/>
      <c r="AY103" s="141"/>
      <c r="AZ103" s="141"/>
      <c r="BA103" s="141"/>
      <c r="BB103" s="141"/>
      <c r="BC103" s="141"/>
    </row>
    <row r="104" spans="1:55" s="39" customFormat="1" ht="97.5" customHeight="1" x14ac:dyDescent="0.2">
      <c r="A104" s="283">
        <v>46</v>
      </c>
      <c r="B104" s="219"/>
      <c r="C104" s="120"/>
      <c r="D104" s="291"/>
      <c r="E104" s="120"/>
      <c r="F104" s="120"/>
      <c r="G104" s="287"/>
      <c r="H104" s="301"/>
      <c r="I104" s="392"/>
      <c r="J104" s="304"/>
      <c r="K104" s="285"/>
      <c r="L104" s="120"/>
      <c r="M104" s="241"/>
      <c r="N104" s="242"/>
      <c r="O104" s="242"/>
      <c r="P104" s="111"/>
      <c r="Q104" s="66"/>
      <c r="R104" s="260"/>
      <c r="S104" s="260"/>
      <c r="T104" s="66"/>
      <c r="U104" s="111"/>
      <c r="V104" s="120"/>
      <c r="W104" s="120"/>
      <c r="X104" s="120"/>
      <c r="Y104" s="120"/>
      <c r="Z104" s="111"/>
      <c r="AA104" s="66"/>
      <c r="AB104" s="181"/>
      <c r="AC104" s="181"/>
      <c r="AD104" s="181"/>
      <c r="AE104" s="111"/>
      <c r="AF104" s="241"/>
      <c r="AG104" s="242"/>
      <c r="AH104" s="354"/>
      <c r="AI104" s="354"/>
      <c r="AJ104" s="354"/>
      <c r="AK104" s="354"/>
      <c r="AL104" s="260"/>
      <c r="AM104" s="260"/>
      <c r="AN104" s="260"/>
      <c r="AO104" s="260"/>
      <c r="AP104" s="260"/>
      <c r="AQ104" s="111"/>
      <c r="AS104" s="141"/>
      <c r="AT104" s="141"/>
      <c r="AU104" s="141"/>
      <c r="AV104" s="141"/>
      <c r="AW104" s="141"/>
      <c r="AX104" s="141"/>
      <c r="AY104" s="141"/>
      <c r="AZ104" s="141"/>
      <c r="BA104" s="141"/>
      <c r="BB104" s="141"/>
      <c r="BC104" s="141"/>
    </row>
    <row r="105" spans="1:55" s="39" customFormat="1" ht="97.5" customHeight="1" x14ac:dyDescent="0.2">
      <c r="A105" s="283">
        <v>46</v>
      </c>
      <c r="B105" s="219"/>
      <c r="C105" s="120"/>
      <c r="D105" s="291"/>
      <c r="E105" s="120"/>
      <c r="F105" s="120"/>
      <c r="G105" s="287"/>
      <c r="H105" s="301"/>
      <c r="I105" s="392"/>
      <c r="J105" s="304"/>
      <c r="K105" s="285"/>
      <c r="L105" s="120"/>
      <c r="M105" s="241"/>
      <c r="N105" s="242"/>
      <c r="O105" s="242"/>
      <c r="P105" s="111"/>
      <c r="Q105" s="66"/>
      <c r="R105" s="260"/>
      <c r="S105" s="260"/>
      <c r="T105" s="66"/>
      <c r="U105" s="111"/>
      <c r="V105" s="120"/>
      <c r="W105" s="120"/>
      <c r="X105" s="120"/>
      <c r="Y105" s="120"/>
      <c r="Z105" s="111"/>
      <c r="AA105" s="66"/>
      <c r="AB105" s="181"/>
      <c r="AC105" s="181"/>
      <c r="AD105" s="181"/>
      <c r="AE105" s="111"/>
      <c r="AF105" s="241"/>
      <c r="AG105" s="242"/>
      <c r="AH105" s="354"/>
      <c r="AI105" s="354"/>
      <c r="AJ105" s="354"/>
      <c r="AK105" s="354"/>
      <c r="AL105" s="260"/>
      <c r="AM105" s="260"/>
      <c r="AN105" s="260"/>
      <c r="AO105" s="260"/>
      <c r="AP105" s="260"/>
      <c r="AQ105" s="111"/>
      <c r="AS105" s="141"/>
      <c r="AT105" s="141"/>
      <c r="AU105" s="141"/>
      <c r="AV105" s="141"/>
      <c r="AW105" s="141"/>
      <c r="AX105" s="141"/>
      <c r="AY105" s="141"/>
      <c r="AZ105" s="141"/>
      <c r="BA105" s="141"/>
      <c r="BB105" s="141"/>
      <c r="BC105" s="141"/>
    </row>
    <row r="106" spans="1:55" s="39" customFormat="1" ht="97.5" customHeight="1" x14ac:dyDescent="0.2">
      <c r="A106" s="283">
        <v>46</v>
      </c>
      <c r="B106" s="219"/>
      <c r="C106" s="120"/>
      <c r="D106" s="291"/>
      <c r="E106" s="120"/>
      <c r="F106" s="120"/>
      <c r="G106" s="287"/>
      <c r="H106" s="301"/>
      <c r="I106" s="392"/>
      <c r="J106" s="304"/>
      <c r="K106" s="285"/>
      <c r="L106" s="120"/>
      <c r="M106" s="241"/>
      <c r="N106" s="242"/>
      <c r="O106" s="242"/>
      <c r="P106" s="111"/>
      <c r="Q106" s="66"/>
      <c r="R106" s="260"/>
      <c r="S106" s="260"/>
      <c r="T106" s="66"/>
      <c r="U106" s="111"/>
      <c r="V106" s="120"/>
      <c r="W106" s="120"/>
      <c r="X106" s="120"/>
      <c r="Y106" s="120"/>
      <c r="Z106" s="111"/>
      <c r="AA106" s="66"/>
      <c r="AB106" s="181"/>
      <c r="AC106" s="181"/>
      <c r="AD106" s="181"/>
      <c r="AE106" s="111"/>
      <c r="AF106" s="241"/>
      <c r="AG106" s="242"/>
      <c r="AH106" s="354"/>
      <c r="AI106" s="354"/>
      <c r="AJ106" s="354"/>
      <c r="AK106" s="354"/>
      <c r="AL106" s="260"/>
      <c r="AM106" s="260"/>
      <c r="AN106" s="260"/>
      <c r="AO106" s="260"/>
      <c r="AP106" s="260"/>
      <c r="AQ106" s="111"/>
      <c r="AS106" s="141"/>
      <c r="AT106" s="141"/>
      <c r="AU106" s="141"/>
      <c r="AV106" s="141"/>
      <c r="AW106" s="141"/>
      <c r="AX106" s="141"/>
      <c r="AY106" s="141"/>
      <c r="AZ106" s="141"/>
      <c r="BA106" s="141"/>
      <c r="BB106" s="141"/>
      <c r="BC106" s="141"/>
    </row>
    <row r="107" spans="1:55" s="39" customFormat="1" ht="97.5" customHeight="1" x14ac:dyDescent="0.2">
      <c r="A107" s="283">
        <v>46</v>
      </c>
      <c r="B107" s="219"/>
      <c r="C107" s="120"/>
      <c r="D107" s="291"/>
      <c r="E107" s="120"/>
      <c r="F107" s="120"/>
      <c r="G107" s="287"/>
      <c r="H107" s="301"/>
      <c r="I107" s="392"/>
      <c r="J107" s="304"/>
      <c r="K107" s="285"/>
      <c r="L107" s="120"/>
      <c r="M107" s="241"/>
      <c r="N107" s="242"/>
      <c r="O107" s="242"/>
      <c r="P107" s="111"/>
      <c r="Q107" s="66"/>
      <c r="R107" s="260"/>
      <c r="S107" s="260"/>
      <c r="T107" s="66"/>
      <c r="U107" s="111"/>
      <c r="V107" s="120"/>
      <c r="W107" s="120"/>
      <c r="X107" s="120"/>
      <c r="Y107" s="120"/>
      <c r="Z107" s="111"/>
      <c r="AA107" s="66"/>
      <c r="AB107" s="181"/>
      <c r="AC107" s="181"/>
      <c r="AD107" s="181"/>
      <c r="AE107" s="111"/>
      <c r="AF107" s="241"/>
      <c r="AG107" s="242"/>
      <c r="AH107" s="354"/>
      <c r="AI107" s="354"/>
      <c r="AJ107" s="354"/>
      <c r="AK107" s="354"/>
      <c r="AL107" s="260"/>
      <c r="AM107" s="260"/>
      <c r="AN107" s="260"/>
      <c r="AO107" s="260"/>
      <c r="AP107" s="260"/>
      <c r="AQ107" s="111"/>
      <c r="AS107" s="141"/>
      <c r="AT107" s="141"/>
      <c r="AU107" s="141"/>
      <c r="AV107" s="141"/>
      <c r="AW107" s="141"/>
      <c r="AX107" s="141"/>
      <c r="AY107" s="141"/>
      <c r="AZ107" s="141"/>
      <c r="BA107" s="141"/>
      <c r="BB107" s="141"/>
      <c r="BC107" s="141"/>
    </row>
    <row r="108" spans="1:55" s="39" customFormat="1" ht="97.5" customHeight="1" x14ac:dyDescent="0.2">
      <c r="A108" s="283">
        <v>46</v>
      </c>
      <c r="B108" s="219"/>
      <c r="C108" s="120"/>
      <c r="D108" s="291"/>
      <c r="E108" s="120"/>
      <c r="F108" s="120"/>
      <c r="G108" s="287"/>
      <c r="H108" s="301"/>
      <c r="I108" s="392"/>
      <c r="J108" s="304"/>
      <c r="K108" s="285"/>
      <c r="L108" s="120"/>
      <c r="M108" s="241"/>
      <c r="N108" s="242"/>
      <c r="O108" s="242"/>
      <c r="P108" s="111"/>
      <c r="Q108" s="66"/>
      <c r="R108" s="260"/>
      <c r="S108" s="260"/>
      <c r="T108" s="66"/>
      <c r="U108" s="111"/>
      <c r="V108" s="120"/>
      <c r="W108" s="120"/>
      <c r="X108" s="120"/>
      <c r="Y108" s="120"/>
      <c r="Z108" s="111"/>
      <c r="AA108" s="66"/>
      <c r="AB108" s="181"/>
      <c r="AC108" s="181"/>
      <c r="AD108" s="181"/>
      <c r="AE108" s="111"/>
      <c r="AF108" s="241"/>
      <c r="AG108" s="242"/>
      <c r="AH108" s="354"/>
      <c r="AI108" s="354"/>
      <c r="AJ108" s="354"/>
      <c r="AK108" s="354"/>
      <c r="AL108" s="260"/>
      <c r="AM108" s="260"/>
      <c r="AN108" s="260"/>
      <c r="AO108" s="260"/>
      <c r="AP108" s="260"/>
      <c r="AQ108" s="111"/>
      <c r="AS108" s="141"/>
      <c r="AT108" s="141"/>
      <c r="AU108" s="141"/>
      <c r="AV108" s="141"/>
      <c r="AW108" s="141"/>
      <c r="AX108" s="141"/>
      <c r="AY108" s="141"/>
      <c r="AZ108" s="141"/>
      <c r="BA108" s="141"/>
      <c r="BB108" s="141"/>
      <c r="BC108" s="141"/>
    </row>
    <row r="109" spans="1:55" s="39" customFormat="1" ht="97.5" customHeight="1" x14ac:dyDescent="0.2">
      <c r="A109" s="283">
        <v>46</v>
      </c>
      <c r="B109" s="219"/>
      <c r="C109" s="120"/>
      <c r="D109" s="291"/>
      <c r="E109" s="120"/>
      <c r="F109" s="120"/>
      <c r="G109" s="287"/>
      <c r="H109" s="301"/>
      <c r="I109" s="392"/>
      <c r="J109" s="304"/>
      <c r="K109" s="285"/>
      <c r="L109" s="120"/>
      <c r="M109" s="241"/>
      <c r="N109" s="242"/>
      <c r="O109" s="242"/>
      <c r="P109" s="111"/>
      <c r="Q109" s="66"/>
      <c r="R109" s="260"/>
      <c r="S109" s="260"/>
      <c r="T109" s="66"/>
      <c r="U109" s="111"/>
      <c r="V109" s="120"/>
      <c r="W109" s="120"/>
      <c r="X109" s="120"/>
      <c r="Y109" s="120"/>
      <c r="Z109" s="111"/>
      <c r="AA109" s="66"/>
      <c r="AB109" s="181"/>
      <c r="AC109" s="181"/>
      <c r="AD109" s="181"/>
      <c r="AE109" s="111"/>
      <c r="AF109" s="241"/>
      <c r="AG109" s="242"/>
      <c r="AH109" s="354"/>
      <c r="AI109" s="354"/>
      <c r="AJ109" s="354"/>
      <c r="AK109" s="354"/>
      <c r="AL109" s="260"/>
      <c r="AM109" s="260"/>
      <c r="AN109" s="260"/>
      <c r="AO109" s="260"/>
      <c r="AP109" s="260"/>
      <c r="AQ109" s="111"/>
      <c r="AS109" s="141"/>
      <c r="AT109" s="141"/>
      <c r="AU109" s="141"/>
      <c r="AV109" s="141"/>
      <c r="AW109" s="141"/>
      <c r="AX109" s="141"/>
      <c r="AY109" s="141"/>
      <c r="AZ109" s="141"/>
      <c r="BA109" s="141"/>
      <c r="BB109" s="141"/>
      <c r="BC109" s="141"/>
    </row>
    <row r="110" spans="1:55" s="39" customFormat="1" ht="97.5" customHeight="1" x14ac:dyDescent="0.2">
      <c r="A110" s="283">
        <v>46</v>
      </c>
      <c r="B110" s="219"/>
      <c r="C110" s="120"/>
      <c r="D110" s="291"/>
      <c r="E110" s="120"/>
      <c r="F110" s="120"/>
      <c r="G110" s="287"/>
      <c r="H110" s="301"/>
      <c r="I110" s="392"/>
      <c r="J110" s="304"/>
      <c r="K110" s="285"/>
      <c r="L110" s="120"/>
      <c r="M110" s="241"/>
      <c r="N110" s="242"/>
      <c r="O110" s="242"/>
      <c r="P110" s="111"/>
      <c r="Q110" s="66"/>
      <c r="R110" s="260"/>
      <c r="S110" s="260"/>
      <c r="T110" s="66"/>
      <c r="U110" s="111"/>
      <c r="V110" s="120"/>
      <c r="W110" s="120"/>
      <c r="X110" s="120"/>
      <c r="Y110" s="120"/>
      <c r="Z110" s="111"/>
      <c r="AA110" s="66"/>
      <c r="AB110" s="181"/>
      <c r="AC110" s="181"/>
      <c r="AD110" s="181"/>
      <c r="AE110" s="111"/>
      <c r="AF110" s="241"/>
      <c r="AG110" s="242"/>
      <c r="AH110" s="354"/>
      <c r="AI110" s="354"/>
      <c r="AJ110" s="354"/>
      <c r="AK110" s="354"/>
      <c r="AL110" s="260"/>
      <c r="AM110" s="260"/>
      <c r="AN110" s="260"/>
      <c r="AO110" s="260"/>
      <c r="AP110" s="260"/>
      <c r="AQ110" s="111"/>
      <c r="AS110" s="141"/>
      <c r="AT110" s="141"/>
      <c r="AU110" s="141"/>
      <c r="AV110" s="141"/>
      <c r="AW110" s="141"/>
      <c r="AX110" s="141"/>
      <c r="AY110" s="141"/>
      <c r="AZ110" s="141"/>
      <c r="BA110" s="141"/>
      <c r="BB110" s="141"/>
      <c r="BC110" s="141"/>
    </row>
    <row r="111" spans="1:55" s="39" customFormat="1" ht="97.5" customHeight="1" x14ac:dyDescent="0.2">
      <c r="A111" s="283">
        <v>46</v>
      </c>
      <c r="B111" s="219"/>
      <c r="C111" s="120"/>
      <c r="D111" s="291"/>
      <c r="E111" s="120"/>
      <c r="F111" s="120"/>
      <c r="G111" s="287"/>
      <c r="H111" s="301"/>
      <c r="I111" s="392"/>
      <c r="J111" s="304"/>
      <c r="K111" s="285"/>
      <c r="L111" s="120"/>
      <c r="M111" s="241"/>
      <c r="N111" s="242"/>
      <c r="O111" s="242"/>
      <c r="P111" s="111"/>
      <c r="Q111" s="66"/>
      <c r="R111" s="260"/>
      <c r="S111" s="260"/>
      <c r="T111" s="66"/>
      <c r="U111" s="111"/>
      <c r="V111" s="120"/>
      <c r="W111" s="120"/>
      <c r="X111" s="120"/>
      <c r="Y111" s="120"/>
      <c r="Z111" s="111"/>
      <c r="AA111" s="66"/>
      <c r="AB111" s="181"/>
      <c r="AC111" s="181"/>
      <c r="AD111" s="181"/>
      <c r="AE111" s="111"/>
      <c r="AF111" s="241"/>
      <c r="AG111" s="242"/>
      <c r="AH111" s="354"/>
      <c r="AI111" s="354"/>
      <c r="AJ111" s="354"/>
      <c r="AK111" s="354"/>
      <c r="AL111" s="260"/>
      <c r="AM111" s="260"/>
      <c r="AN111" s="260"/>
      <c r="AO111" s="260"/>
      <c r="AP111" s="260"/>
      <c r="AQ111" s="111"/>
      <c r="AS111" s="141"/>
      <c r="AT111" s="141"/>
      <c r="AU111" s="141"/>
      <c r="AV111" s="141"/>
      <c r="AW111" s="141"/>
      <c r="AX111" s="141"/>
      <c r="AY111" s="141"/>
      <c r="AZ111" s="141"/>
      <c r="BA111" s="141"/>
      <c r="BB111" s="141"/>
      <c r="BC111" s="141"/>
    </row>
    <row r="112" spans="1:55" s="39" customFormat="1" ht="97.5" customHeight="1" x14ac:dyDescent="0.2">
      <c r="A112" s="283">
        <v>46</v>
      </c>
      <c r="B112" s="219"/>
      <c r="C112" s="120"/>
      <c r="D112" s="291"/>
      <c r="E112" s="120"/>
      <c r="F112" s="120"/>
      <c r="G112" s="287"/>
      <c r="H112" s="301"/>
      <c r="I112" s="392"/>
      <c r="J112" s="304"/>
      <c r="K112" s="285"/>
      <c r="L112" s="120"/>
      <c r="M112" s="241"/>
      <c r="N112" s="242"/>
      <c r="O112" s="242"/>
      <c r="P112" s="111"/>
      <c r="Q112" s="66"/>
      <c r="R112" s="260"/>
      <c r="S112" s="260"/>
      <c r="T112" s="66"/>
      <c r="U112" s="111"/>
      <c r="V112" s="120"/>
      <c r="W112" s="120"/>
      <c r="X112" s="120"/>
      <c r="Y112" s="120"/>
      <c r="Z112" s="111"/>
      <c r="AA112" s="66"/>
      <c r="AB112" s="181"/>
      <c r="AC112" s="181"/>
      <c r="AD112" s="181"/>
      <c r="AE112" s="111"/>
      <c r="AF112" s="241"/>
      <c r="AG112" s="242"/>
      <c r="AH112" s="354"/>
      <c r="AI112" s="354"/>
      <c r="AJ112" s="354"/>
      <c r="AK112" s="354"/>
      <c r="AL112" s="260"/>
      <c r="AM112" s="260"/>
      <c r="AN112" s="260"/>
      <c r="AO112" s="260"/>
      <c r="AP112" s="260"/>
      <c r="AQ112" s="111"/>
      <c r="AS112" s="141"/>
      <c r="AT112" s="141"/>
      <c r="AU112" s="141"/>
      <c r="AV112" s="141"/>
      <c r="AW112" s="141"/>
      <c r="AX112" s="141"/>
      <c r="AY112" s="141"/>
      <c r="AZ112" s="141"/>
      <c r="BA112" s="141"/>
      <c r="BB112" s="141"/>
      <c r="BC112" s="141"/>
    </row>
    <row r="113" spans="1:55" s="39" customFormat="1" ht="97.5" customHeight="1" x14ac:dyDescent="0.2">
      <c r="A113" s="283">
        <v>46</v>
      </c>
      <c r="B113" s="219"/>
      <c r="C113" s="120"/>
      <c r="D113" s="291"/>
      <c r="E113" s="120"/>
      <c r="F113" s="120"/>
      <c r="G113" s="287"/>
      <c r="H113" s="301"/>
      <c r="I113" s="392"/>
      <c r="J113" s="304"/>
      <c r="K113" s="285"/>
      <c r="L113" s="120"/>
      <c r="M113" s="241"/>
      <c r="N113" s="242"/>
      <c r="O113" s="242"/>
      <c r="P113" s="111"/>
      <c r="Q113" s="66"/>
      <c r="R113" s="260"/>
      <c r="S113" s="260"/>
      <c r="T113" s="66"/>
      <c r="U113" s="111"/>
      <c r="V113" s="120"/>
      <c r="W113" s="120"/>
      <c r="X113" s="120"/>
      <c r="Y113" s="120"/>
      <c r="Z113" s="111"/>
      <c r="AA113" s="66"/>
      <c r="AB113" s="181"/>
      <c r="AC113" s="181"/>
      <c r="AD113" s="181"/>
      <c r="AE113" s="111"/>
      <c r="AF113" s="241"/>
      <c r="AG113" s="242"/>
      <c r="AH113" s="354"/>
      <c r="AI113" s="354"/>
      <c r="AJ113" s="354"/>
      <c r="AK113" s="354"/>
      <c r="AL113" s="260"/>
      <c r="AM113" s="260"/>
      <c r="AN113" s="260"/>
      <c r="AO113" s="260"/>
      <c r="AP113" s="260"/>
      <c r="AQ113" s="111"/>
      <c r="AS113" s="141"/>
      <c r="AT113" s="141"/>
      <c r="AU113" s="141"/>
      <c r="AV113" s="141"/>
      <c r="AW113" s="141"/>
      <c r="AX113" s="141"/>
      <c r="AY113" s="141"/>
      <c r="AZ113" s="141"/>
      <c r="BA113" s="141"/>
      <c r="BB113" s="141"/>
      <c r="BC113" s="141"/>
    </row>
    <row r="114" spans="1:55" s="39" customFormat="1" ht="97.5" customHeight="1" x14ac:dyDescent="0.2">
      <c r="A114" s="283">
        <v>46</v>
      </c>
      <c r="B114" s="219"/>
      <c r="C114" s="120"/>
      <c r="D114" s="291"/>
      <c r="E114" s="120"/>
      <c r="F114" s="120"/>
      <c r="G114" s="287"/>
      <c r="H114" s="301"/>
      <c r="I114" s="392"/>
      <c r="J114" s="304"/>
      <c r="K114" s="285"/>
      <c r="L114" s="120"/>
      <c r="M114" s="241"/>
      <c r="N114" s="242"/>
      <c r="O114" s="242"/>
      <c r="P114" s="111"/>
      <c r="Q114" s="66"/>
      <c r="R114" s="260"/>
      <c r="S114" s="260"/>
      <c r="T114" s="66"/>
      <c r="U114" s="111"/>
      <c r="V114" s="120"/>
      <c r="W114" s="120"/>
      <c r="X114" s="120"/>
      <c r="Y114" s="120"/>
      <c r="Z114" s="111"/>
      <c r="AA114" s="66"/>
      <c r="AB114" s="181"/>
      <c r="AC114" s="181"/>
      <c r="AD114" s="181"/>
      <c r="AE114" s="111"/>
      <c r="AF114" s="241"/>
      <c r="AG114" s="242"/>
      <c r="AH114" s="354"/>
      <c r="AI114" s="354"/>
      <c r="AJ114" s="354"/>
      <c r="AK114" s="354"/>
      <c r="AL114" s="260"/>
      <c r="AM114" s="260"/>
      <c r="AN114" s="260"/>
      <c r="AO114" s="260"/>
      <c r="AP114" s="260"/>
      <c r="AQ114" s="111"/>
      <c r="AS114" s="141"/>
      <c r="AT114" s="141"/>
      <c r="AU114" s="141"/>
      <c r="AV114" s="141"/>
      <c r="AW114" s="141"/>
      <c r="AX114" s="141"/>
      <c r="AY114" s="141"/>
      <c r="AZ114" s="141"/>
      <c r="BA114" s="141"/>
      <c r="BB114" s="141"/>
      <c r="BC114" s="141"/>
    </row>
    <row r="115" spans="1:55" s="39" customFormat="1" ht="97.5" customHeight="1" x14ac:dyDescent="0.2">
      <c r="A115" s="283">
        <v>46</v>
      </c>
      <c r="B115" s="219"/>
      <c r="C115" s="120"/>
      <c r="D115" s="291"/>
      <c r="E115" s="120"/>
      <c r="F115" s="120"/>
      <c r="G115" s="287"/>
      <c r="H115" s="301"/>
      <c r="I115" s="392"/>
      <c r="J115" s="304"/>
      <c r="K115" s="285"/>
      <c r="L115" s="120"/>
      <c r="M115" s="241"/>
      <c r="N115" s="242"/>
      <c r="O115" s="242"/>
      <c r="P115" s="111"/>
      <c r="Q115" s="66"/>
      <c r="R115" s="260"/>
      <c r="S115" s="260"/>
      <c r="T115" s="66"/>
      <c r="U115" s="111"/>
      <c r="V115" s="120"/>
      <c r="W115" s="120"/>
      <c r="X115" s="120"/>
      <c r="Y115" s="120"/>
      <c r="Z115" s="111"/>
      <c r="AA115" s="66"/>
      <c r="AB115" s="181"/>
      <c r="AC115" s="181"/>
      <c r="AD115" s="181"/>
      <c r="AE115" s="111"/>
      <c r="AF115" s="241"/>
      <c r="AG115" s="242"/>
      <c r="AH115" s="354"/>
      <c r="AI115" s="354"/>
      <c r="AJ115" s="354"/>
      <c r="AK115" s="354"/>
      <c r="AL115" s="260"/>
      <c r="AM115" s="260"/>
      <c r="AN115" s="260"/>
      <c r="AO115" s="260"/>
      <c r="AP115" s="260"/>
      <c r="AQ115" s="111"/>
      <c r="AS115" s="141"/>
      <c r="AT115" s="141"/>
      <c r="AU115" s="141"/>
      <c r="AV115" s="141"/>
      <c r="AW115" s="141"/>
      <c r="AX115" s="141"/>
      <c r="AY115" s="141"/>
      <c r="AZ115" s="141"/>
      <c r="BA115" s="141"/>
      <c r="BB115" s="141"/>
      <c r="BC115" s="141"/>
    </row>
    <row r="116" spans="1:55" s="39" customFormat="1" ht="97.5" customHeight="1" x14ac:dyDescent="0.2">
      <c r="A116" s="283">
        <v>46</v>
      </c>
      <c r="B116" s="219"/>
      <c r="C116" s="120"/>
      <c r="D116" s="291"/>
      <c r="E116" s="120"/>
      <c r="F116" s="120"/>
      <c r="G116" s="287"/>
      <c r="H116" s="301"/>
      <c r="I116" s="392"/>
      <c r="J116" s="304"/>
      <c r="K116" s="285"/>
      <c r="L116" s="120"/>
      <c r="M116" s="241"/>
      <c r="N116" s="242"/>
      <c r="O116" s="242"/>
      <c r="P116" s="111"/>
      <c r="Q116" s="66"/>
      <c r="R116" s="260"/>
      <c r="S116" s="260"/>
      <c r="T116" s="66"/>
      <c r="U116" s="111"/>
      <c r="V116" s="120"/>
      <c r="W116" s="120"/>
      <c r="X116" s="120"/>
      <c r="Y116" s="120"/>
      <c r="Z116" s="111"/>
      <c r="AA116" s="66"/>
      <c r="AB116" s="181"/>
      <c r="AC116" s="181"/>
      <c r="AD116" s="181"/>
      <c r="AE116" s="111"/>
      <c r="AF116" s="241"/>
      <c r="AG116" s="242"/>
      <c r="AH116" s="354"/>
      <c r="AI116" s="354"/>
      <c r="AJ116" s="354"/>
      <c r="AK116" s="354"/>
      <c r="AL116" s="260"/>
      <c r="AM116" s="260"/>
      <c r="AN116" s="260"/>
      <c r="AO116" s="260"/>
      <c r="AP116" s="260"/>
      <c r="AQ116" s="111"/>
      <c r="AS116" s="141"/>
      <c r="AT116" s="141"/>
      <c r="AU116" s="141"/>
      <c r="AV116" s="141"/>
      <c r="AW116" s="141"/>
      <c r="AX116" s="141"/>
      <c r="AY116" s="141"/>
      <c r="AZ116" s="141"/>
      <c r="BA116" s="141"/>
      <c r="BB116" s="141"/>
      <c r="BC116" s="141"/>
    </row>
    <row r="117" spans="1:55" s="39" customFormat="1" ht="97.5" customHeight="1" x14ac:dyDescent="0.2">
      <c r="A117" s="283">
        <v>46</v>
      </c>
      <c r="B117" s="219"/>
      <c r="C117" s="120"/>
      <c r="D117" s="291"/>
      <c r="E117" s="120"/>
      <c r="F117" s="120"/>
      <c r="G117" s="287"/>
      <c r="H117" s="301"/>
      <c r="I117" s="392"/>
      <c r="J117" s="304"/>
      <c r="K117" s="285"/>
      <c r="L117" s="120"/>
      <c r="M117" s="241"/>
      <c r="N117" s="242"/>
      <c r="O117" s="242"/>
      <c r="P117" s="111"/>
      <c r="Q117" s="66"/>
      <c r="R117" s="260"/>
      <c r="S117" s="260"/>
      <c r="T117" s="66"/>
      <c r="U117" s="111"/>
      <c r="V117" s="120"/>
      <c r="W117" s="120"/>
      <c r="X117" s="120"/>
      <c r="Y117" s="120"/>
      <c r="Z117" s="111"/>
      <c r="AA117" s="66"/>
      <c r="AB117" s="181"/>
      <c r="AC117" s="181"/>
      <c r="AD117" s="181"/>
      <c r="AE117" s="111"/>
      <c r="AF117" s="241"/>
      <c r="AG117" s="242"/>
      <c r="AH117" s="354"/>
      <c r="AI117" s="354"/>
      <c r="AJ117" s="354"/>
      <c r="AK117" s="354"/>
      <c r="AL117" s="260"/>
      <c r="AM117" s="260"/>
      <c r="AN117" s="260"/>
      <c r="AO117" s="260"/>
      <c r="AP117" s="260"/>
      <c r="AQ117" s="111"/>
      <c r="AS117" s="141"/>
      <c r="AT117" s="141"/>
      <c r="AU117" s="141"/>
      <c r="AV117" s="141"/>
      <c r="AW117" s="141"/>
      <c r="AX117" s="141"/>
      <c r="AY117" s="141"/>
      <c r="AZ117" s="141"/>
      <c r="BA117" s="141"/>
      <c r="BB117" s="141"/>
      <c r="BC117" s="141"/>
    </row>
    <row r="118" spans="1:55" s="39" customFormat="1" ht="97.5" customHeight="1" x14ac:dyDescent="0.2">
      <c r="A118" s="283">
        <v>46</v>
      </c>
      <c r="B118" s="219"/>
      <c r="C118" s="120"/>
      <c r="D118" s="291"/>
      <c r="E118" s="120"/>
      <c r="F118" s="120"/>
      <c r="G118" s="287"/>
      <c r="H118" s="301"/>
      <c r="I118" s="392"/>
      <c r="J118" s="304"/>
      <c r="K118" s="285"/>
      <c r="L118" s="120"/>
      <c r="M118" s="241"/>
      <c r="N118" s="242"/>
      <c r="O118" s="242"/>
      <c r="P118" s="111"/>
      <c r="Q118" s="66"/>
      <c r="R118" s="260"/>
      <c r="S118" s="260"/>
      <c r="T118" s="66"/>
      <c r="U118" s="111"/>
      <c r="V118" s="120"/>
      <c r="W118" s="120"/>
      <c r="X118" s="120"/>
      <c r="Y118" s="120"/>
      <c r="Z118" s="111"/>
      <c r="AA118" s="66"/>
      <c r="AB118" s="181"/>
      <c r="AC118" s="181"/>
      <c r="AD118" s="181"/>
      <c r="AE118" s="111"/>
      <c r="AF118" s="241"/>
      <c r="AG118" s="242"/>
      <c r="AH118" s="354"/>
      <c r="AI118" s="354"/>
      <c r="AJ118" s="354"/>
      <c r="AK118" s="354"/>
      <c r="AL118" s="260"/>
      <c r="AM118" s="260"/>
      <c r="AN118" s="260"/>
      <c r="AO118" s="260"/>
      <c r="AP118" s="260"/>
      <c r="AQ118" s="111"/>
      <c r="AS118" s="141"/>
      <c r="AT118" s="141"/>
      <c r="AU118" s="141"/>
      <c r="AV118" s="141"/>
      <c r="AW118" s="141"/>
      <c r="AX118" s="141"/>
      <c r="AY118" s="141"/>
      <c r="AZ118" s="141"/>
      <c r="BA118" s="141"/>
      <c r="BB118" s="141"/>
      <c r="BC118" s="141"/>
    </row>
    <row r="119" spans="1:55" s="39" customFormat="1" ht="97.5" customHeight="1" x14ac:dyDescent="0.2">
      <c r="A119" s="283">
        <v>46</v>
      </c>
      <c r="B119" s="219"/>
      <c r="C119" s="120"/>
      <c r="D119" s="291"/>
      <c r="E119" s="120"/>
      <c r="F119" s="120"/>
      <c r="G119" s="287"/>
      <c r="H119" s="301"/>
      <c r="I119" s="392"/>
      <c r="J119" s="304"/>
      <c r="K119" s="285"/>
      <c r="L119" s="120"/>
      <c r="M119" s="241"/>
      <c r="N119" s="242"/>
      <c r="O119" s="242"/>
      <c r="P119" s="111"/>
      <c r="Q119" s="66"/>
      <c r="R119" s="260"/>
      <c r="S119" s="260"/>
      <c r="T119" s="66"/>
      <c r="U119" s="111"/>
      <c r="V119" s="120"/>
      <c r="W119" s="120"/>
      <c r="X119" s="120"/>
      <c r="Y119" s="120"/>
      <c r="Z119" s="111"/>
      <c r="AA119" s="66"/>
      <c r="AB119" s="181"/>
      <c r="AC119" s="181"/>
      <c r="AD119" s="181"/>
      <c r="AE119" s="111"/>
      <c r="AF119" s="241"/>
      <c r="AG119" s="242"/>
      <c r="AH119" s="354"/>
      <c r="AI119" s="354"/>
      <c r="AJ119" s="354"/>
      <c r="AK119" s="354"/>
      <c r="AL119" s="260"/>
      <c r="AM119" s="260"/>
      <c r="AN119" s="260"/>
      <c r="AO119" s="260"/>
      <c r="AP119" s="260"/>
      <c r="AQ119" s="111"/>
      <c r="AS119" s="141"/>
      <c r="AT119" s="141"/>
      <c r="AU119" s="141"/>
      <c r="AV119" s="141"/>
      <c r="AW119" s="141"/>
      <c r="AX119" s="141"/>
      <c r="AY119" s="141"/>
      <c r="AZ119" s="141"/>
      <c r="BA119" s="141"/>
      <c r="BB119" s="141"/>
      <c r="BC119" s="141"/>
    </row>
    <row r="120" spans="1:55" s="39" customFormat="1" ht="97.5" customHeight="1" x14ac:dyDescent="0.2">
      <c r="A120" s="283"/>
      <c r="B120" s="219"/>
      <c r="C120" s="120"/>
      <c r="D120" s="291"/>
      <c r="E120" s="120"/>
      <c r="F120" s="120"/>
      <c r="G120" s="287"/>
      <c r="H120" s="301"/>
      <c r="I120" s="392"/>
      <c r="J120" s="304"/>
      <c r="K120" s="285"/>
      <c r="L120" s="120"/>
      <c r="M120" s="241"/>
      <c r="N120" s="242"/>
      <c r="O120" s="242"/>
      <c r="P120" s="111"/>
      <c r="Q120" s="66"/>
      <c r="R120" s="260"/>
      <c r="S120" s="260"/>
      <c r="T120" s="66"/>
      <c r="U120" s="111"/>
      <c r="V120" s="120"/>
      <c r="W120" s="120"/>
      <c r="X120" s="120"/>
      <c r="Y120" s="120"/>
      <c r="Z120" s="111"/>
      <c r="AA120" s="66"/>
      <c r="AB120" s="181"/>
      <c r="AC120" s="181"/>
      <c r="AD120" s="181"/>
      <c r="AE120" s="111"/>
      <c r="AF120" s="241"/>
      <c r="AG120" s="242"/>
      <c r="AH120" s="354"/>
      <c r="AI120" s="354"/>
      <c r="AJ120" s="354"/>
      <c r="AK120" s="354"/>
      <c r="AL120" s="260"/>
      <c r="AM120" s="260"/>
      <c r="AN120" s="260"/>
      <c r="AO120" s="260"/>
      <c r="AP120" s="260"/>
      <c r="AQ120" s="111"/>
      <c r="AS120" s="141"/>
      <c r="AT120" s="141"/>
      <c r="AU120" s="141"/>
      <c r="AV120" s="141"/>
      <c r="AW120" s="141"/>
      <c r="AX120" s="141"/>
      <c r="AY120" s="141"/>
      <c r="AZ120" s="141"/>
      <c r="BA120" s="141"/>
      <c r="BB120" s="141"/>
      <c r="BC120" s="141"/>
    </row>
    <row r="121" spans="1:55" s="39" customFormat="1" ht="97.5" customHeight="1" x14ac:dyDescent="0.2">
      <c r="A121" s="283">
        <v>47</v>
      </c>
      <c r="B121" s="219"/>
      <c r="C121" s="120"/>
      <c r="D121" s="291"/>
      <c r="E121" s="120"/>
      <c r="F121" s="120"/>
      <c r="G121" s="287"/>
      <c r="H121" s="301"/>
      <c r="I121" s="392"/>
      <c r="J121" s="304"/>
      <c r="K121" s="285"/>
      <c r="L121" s="120"/>
      <c r="M121" s="241"/>
      <c r="N121" s="242"/>
      <c r="O121" s="242"/>
      <c r="P121" s="111"/>
      <c r="Q121" s="66"/>
      <c r="R121" s="260"/>
      <c r="S121" s="260"/>
      <c r="T121" s="66"/>
      <c r="U121" s="111"/>
      <c r="V121" s="120"/>
      <c r="W121" s="120"/>
      <c r="X121" s="120"/>
      <c r="Y121" s="120"/>
      <c r="Z121" s="111"/>
      <c r="AA121" s="66"/>
      <c r="AB121" s="181"/>
      <c r="AC121" s="181"/>
      <c r="AD121" s="181"/>
      <c r="AE121" s="111"/>
      <c r="AF121" s="241"/>
      <c r="AG121" s="242"/>
      <c r="AH121" s="354"/>
      <c r="AI121" s="354"/>
      <c r="AJ121" s="354"/>
      <c r="AK121" s="354"/>
      <c r="AL121" s="260"/>
      <c r="AM121" s="260"/>
      <c r="AN121" s="260"/>
      <c r="AO121" s="260"/>
      <c r="AP121" s="260"/>
      <c r="AQ121" s="111"/>
      <c r="AS121" s="141"/>
      <c r="AT121" s="141"/>
      <c r="AU121" s="141"/>
      <c r="AV121" s="141"/>
      <c r="AW121" s="141"/>
      <c r="AX121" s="141"/>
      <c r="AY121" s="141"/>
      <c r="AZ121" s="141"/>
      <c r="BA121" s="141"/>
      <c r="BB121" s="141"/>
      <c r="BC121" s="141"/>
    </row>
    <row r="122" spans="1:55" s="39" customFormat="1" ht="97.5" customHeight="1" x14ac:dyDescent="0.2">
      <c r="A122" s="283">
        <v>47</v>
      </c>
      <c r="B122" s="219"/>
      <c r="C122" s="120"/>
      <c r="D122" s="291"/>
      <c r="E122" s="120"/>
      <c r="F122" s="120"/>
      <c r="G122" s="287"/>
      <c r="H122" s="301"/>
      <c r="I122" s="392"/>
      <c r="J122" s="304"/>
      <c r="K122" s="285"/>
      <c r="L122" s="120"/>
      <c r="M122" s="241"/>
      <c r="N122" s="242"/>
      <c r="O122" s="242"/>
      <c r="P122" s="111"/>
      <c r="Q122" s="66"/>
      <c r="R122" s="260"/>
      <c r="S122" s="260"/>
      <c r="T122" s="66"/>
      <c r="U122" s="111"/>
      <c r="V122" s="120"/>
      <c r="W122" s="120"/>
      <c r="X122" s="120"/>
      <c r="Y122" s="120"/>
      <c r="Z122" s="111"/>
      <c r="AA122" s="66"/>
      <c r="AB122" s="181"/>
      <c r="AC122" s="181"/>
      <c r="AD122" s="181"/>
      <c r="AE122" s="111"/>
      <c r="AF122" s="241"/>
      <c r="AG122" s="242"/>
      <c r="AH122" s="354"/>
      <c r="AI122" s="354"/>
      <c r="AJ122" s="354"/>
      <c r="AK122" s="354"/>
      <c r="AL122" s="260"/>
      <c r="AM122" s="260"/>
      <c r="AN122" s="260"/>
      <c r="AO122" s="260"/>
      <c r="AP122" s="260"/>
      <c r="AQ122" s="111"/>
      <c r="AS122" s="141"/>
      <c r="AT122" s="141"/>
      <c r="AU122" s="141"/>
      <c r="AV122" s="141"/>
      <c r="AW122" s="141"/>
      <c r="AX122" s="141"/>
      <c r="AY122" s="141"/>
      <c r="AZ122" s="141"/>
      <c r="BA122" s="141"/>
      <c r="BB122" s="141"/>
      <c r="BC122" s="141"/>
    </row>
    <row r="123" spans="1:55" s="39" customFormat="1" hidden="1" x14ac:dyDescent="0.2">
      <c r="A123" s="283">
        <v>48</v>
      </c>
      <c r="B123" s="219"/>
      <c r="C123" s="120"/>
      <c r="D123" s="242"/>
      <c r="E123" s="120"/>
      <c r="F123" s="120"/>
      <c r="G123" s="287"/>
      <c r="H123" s="301"/>
      <c r="I123" s="394"/>
      <c r="J123" s="284"/>
      <c r="K123" s="285"/>
      <c r="L123" s="120"/>
      <c r="M123" s="241"/>
      <c r="N123" s="242"/>
      <c r="O123" s="242"/>
      <c r="P123" s="111"/>
      <c r="Q123" s="263"/>
      <c r="R123" s="260"/>
      <c r="S123" s="260"/>
      <c r="T123" s="66"/>
      <c r="U123" s="66"/>
      <c r="V123" s="120"/>
      <c r="W123" s="120"/>
      <c r="X123" s="120"/>
      <c r="Y123" s="120"/>
      <c r="Z123" s="111"/>
      <c r="AA123" s="66"/>
      <c r="AB123" s="181"/>
      <c r="AC123" s="181"/>
      <c r="AD123" s="181"/>
      <c r="AE123" s="218"/>
      <c r="AF123" s="241"/>
      <c r="AG123" s="242"/>
      <c r="AH123" s="354"/>
      <c r="AI123" s="354"/>
      <c r="AJ123" s="354"/>
      <c r="AK123" s="354"/>
      <c r="AL123" s="66"/>
      <c r="AM123" s="260"/>
      <c r="AN123" s="66"/>
      <c r="AO123" s="138"/>
      <c r="AP123" s="138"/>
      <c r="AQ123" s="181"/>
      <c r="AS123" s="141"/>
      <c r="AT123" s="141"/>
      <c r="AU123" s="141"/>
      <c r="AV123" s="141"/>
      <c r="AW123" s="141"/>
      <c r="AX123" s="141"/>
      <c r="AY123" s="141"/>
      <c r="AZ123" s="141"/>
      <c r="BA123" s="141"/>
      <c r="BB123" s="141"/>
      <c r="BC123" s="141"/>
    </row>
    <row r="124" spans="1:55" s="39" customFormat="1" hidden="1" x14ac:dyDescent="0.2">
      <c r="A124" s="283">
        <v>49</v>
      </c>
      <c r="B124" s="219"/>
      <c r="C124" s="120"/>
      <c r="D124" s="242"/>
      <c r="E124" s="120"/>
      <c r="F124" s="120"/>
      <c r="G124" s="287"/>
      <c r="H124" s="301"/>
      <c r="I124" s="392"/>
      <c r="J124" s="284"/>
      <c r="K124" s="285"/>
      <c r="L124" s="120"/>
      <c r="M124" s="241"/>
      <c r="N124" s="242"/>
      <c r="O124" s="242"/>
      <c r="P124" s="111"/>
      <c r="Q124" s="263"/>
      <c r="R124" s="260"/>
      <c r="S124" s="260"/>
      <c r="T124" s="66"/>
      <c r="U124" s="66"/>
      <c r="V124" s="120"/>
      <c r="W124" s="120"/>
      <c r="X124" s="120"/>
      <c r="Y124" s="120"/>
      <c r="Z124" s="111"/>
      <c r="AA124" s="66"/>
      <c r="AB124" s="181"/>
      <c r="AC124" s="120"/>
      <c r="AD124" s="181"/>
      <c r="AE124" s="218"/>
      <c r="AF124" s="241"/>
      <c r="AG124" s="242"/>
      <c r="AH124" s="354"/>
      <c r="AI124" s="354"/>
      <c r="AJ124" s="354"/>
      <c r="AK124" s="354"/>
      <c r="AL124" s="66"/>
      <c r="AM124" s="260"/>
      <c r="AN124" s="66"/>
      <c r="AO124" s="163"/>
      <c r="AP124" s="138"/>
      <c r="AQ124" s="181"/>
      <c r="AS124" s="141"/>
      <c r="AT124" s="141"/>
      <c r="AU124" s="141"/>
      <c r="AV124" s="141"/>
      <c r="AW124" s="141"/>
      <c r="AX124" s="141"/>
      <c r="AY124" s="141"/>
      <c r="AZ124" s="141"/>
      <c r="BA124" s="141"/>
      <c r="BB124" s="141"/>
      <c r="BC124" s="141"/>
    </row>
    <row r="125" spans="1:55" s="39" customFormat="1" hidden="1" x14ac:dyDescent="0.2">
      <c r="A125" s="283">
        <v>50</v>
      </c>
      <c r="B125" s="219"/>
      <c r="C125" s="120"/>
      <c r="D125" s="241"/>
      <c r="E125" s="120"/>
      <c r="F125" s="120"/>
      <c r="G125" s="374"/>
      <c r="H125" s="301"/>
      <c r="I125" s="210"/>
      <c r="J125" s="284"/>
      <c r="K125" s="285"/>
      <c r="L125" s="120"/>
      <c r="M125" s="241"/>
      <c r="N125" s="242"/>
      <c r="O125" s="242"/>
      <c r="P125" s="111"/>
      <c r="Q125" s="263"/>
      <c r="R125" s="260"/>
      <c r="S125" s="260"/>
      <c r="T125" s="66"/>
      <c r="U125" s="111"/>
      <c r="V125" s="120"/>
      <c r="W125" s="120"/>
      <c r="X125" s="120"/>
      <c r="Y125" s="271"/>
      <c r="Z125" s="111"/>
      <c r="AA125" s="111"/>
      <c r="AB125" s="218"/>
      <c r="AC125" s="218"/>
      <c r="AD125" s="218"/>
      <c r="AE125" s="218"/>
      <c r="AF125" s="241"/>
      <c r="AG125" s="241"/>
      <c r="AH125" s="352"/>
      <c r="AI125" s="352"/>
      <c r="AJ125" s="352"/>
      <c r="AK125" s="352"/>
      <c r="AL125" s="111"/>
      <c r="AM125" s="260"/>
      <c r="AN125" s="66"/>
      <c r="AO125" s="138"/>
      <c r="AP125" s="138"/>
      <c r="AQ125" s="218"/>
      <c r="AS125" s="141"/>
      <c r="AT125" s="141"/>
      <c r="AU125" s="141"/>
      <c r="AV125" s="141"/>
      <c r="AW125" s="141"/>
      <c r="AX125" s="141"/>
      <c r="AY125" s="141"/>
      <c r="AZ125" s="141"/>
      <c r="BA125" s="141"/>
      <c r="BB125" s="141"/>
      <c r="BC125" s="141"/>
    </row>
    <row r="126" spans="1:55" s="39" customFormat="1" ht="39" hidden="1" customHeight="1" x14ac:dyDescent="0.2">
      <c r="A126" s="283">
        <v>51</v>
      </c>
      <c r="B126" s="219"/>
      <c r="C126" s="120"/>
      <c r="D126" s="241"/>
      <c r="E126" s="120"/>
      <c r="F126" s="120"/>
      <c r="G126" s="374"/>
      <c r="H126" s="469"/>
      <c r="I126" s="468"/>
      <c r="J126" s="339"/>
      <c r="K126" s="285"/>
      <c r="L126" s="120"/>
      <c r="M126" s="241"/>
      <c r="N126" s="242"/>
      <c r="O126" s="242"/>
      <c r="P126" s="111"/>
      <c r="Q126" s="263"/>
      <c r="R126" s="260"/>
      <c r="S126" s="260"/>
      <c r="T126" s="111"/>
      <c r="U126" s="111"/>
      <c r="V126" s="120"/>
      <c r="W126" s="120"/>
      <c r="X126" s="214"/>
      <c r="Y126" s="271"/>
      <c r="Z126" s="111"/>
      <c r="AA126" s="66"/>
      <c r="AB126" s="181"/>
      <c r="AC126" s="181"/>
      <c r="AD126" s="181"/>
      <c r="AE126" s="218"/>
      <c r="AF126" s="241"/>
      <c r="AG126" s="241"/>
      <c r="AH126" s="352"/>
      <c r="AI126" s="352"/>
      <c r="AJ126" s="352"/>
      <c r="AK126" s="352"/>
      <c r="AL126" s="66"/>
      <c r="AM126" s="260"/>
      <c r="AN126" s="66"/>
      <c r="AO126" s="138"/>
      <c r="AP126" s="138"/>
      <c r="AQ126" s="120"/>
      <c r="AS126" s="141"/>
      <c r="AT126" s="141"/>
      <c r="AU126" s="141"/>
      <c r="AV126" s="141"/>
      <c r="AW126" s="141"/>
      <c r="AX126" s="141"/>
      <c r="AY126" s="141"/>
      <c r="AZ126" s="141"/>
      <c r="BA126" s="141"/>
      <c r="BB126" s="141"/>
      <c r="BC126" s="141"/>
    </row>
    <row r="127" spans="1:55" s="39" customFormat="1" hidden="1" x14ac:dyDescent="0.2">
      <c r="A127" s="283">
        <v>52</v>
      </c>
      <c r="B127" s="219"/>
      <c r="C127" s="120"/>
      <c r="D127" s="242"/>
      <c r="E127" s="120"/>
      <c r="F127" s="120"/>
      <c r="G127" s="375"/>
      <c r="H127" s="469"/>
      <c r="I127" s="468"/>
      <c r="J127" s="339"/>
      <c r="K127" s="285"/>
      <c r="L127" s="120"/>
      <c r="M127" s="241"/>
      <c r="N127" s="242"/>
      <c r="O127" s="242"/>
      <c r="P127" s="111"/>
      <c r="Q127" s="263"/>
      <c r="R127" s="260"/>
      <c r="S127" s="260"/>
      <c r="T127" s="66"/>
      <c r="U127" s="66"/>
      <c r="V127" s="120"/>
      <c r="W127" s="120"/>
      <c r="X127" s="120"/>
      <c r="Y127" s="120"/>
      <c r="Z127" s="111"/>
      <c r="AA127" s="66"/>
      <c r="AB127" s="181"/>
      <c r="AC127" s="181"/>
      <c r="AD127" s="181"/>
      <c r="AE127" s="218"/>
      <c r="AF127" s="241"/>
      <c r="AG127" s="242"/>
      <c r="AH127" s="353"/>
      <c r="AI127" s="353"/>
      <c r="AJ127" s="353"/>
      <c r="AK127" s="353"/>
      <c r="AL127" s="66"/>
      <c r="AM127" s="260"/>
      <c r="AN127" s="66"/>
      <c r="AO127" s="138"/>
      <c r="AP127" s="138"/>
      <c r="AQ127" s="181"/>
      <c r="AS127" s="141"/>
      <c r="AT127" s="141"/>
      <c r="AU127" s="141"/>
      <c r="AV127" s="141"/>
      <c r="AW127" s="141"/>
      <c r="AX127" s="141"/>
      <c r="AY127" s="141"/>
      <c r="AZ127" s="141"/>
      <c r="BA127" s="141"/>
      <c r="BB127" s="141"/>
      <c r="BC127" s="141"/>
    </row>
    <row r="128" spans="1:55" s="39" customFormat="1" hidden="1" x14ac:dyDescent="0.2">
      <c r="A128" s="283">
        <v>53</v>
      </c>
      <c r="B128" s="219"/>
      <c r="C128" s="120"/>
      <c r="D128" s="120"/>
      <c r="E128" s="120"/>
      <c r="F128" s="120"/>
      <c r="G128" s="375"/>
      <c r="H128" s="469"/>
      <c r="I128" s="468"/>
      <c r="J128" s="339"/>
      <c r="K128" s="285"/>
      <c r="L128" s="120"/>
      <c r="M128" s="241"/>
      <c r="N128" s="242"/>
      <c r="O128" s="242"/>
      <c r="P128" s="111"/>
      <c r="Q128" s="263"/>
      <c r="R128" s="260"/>
      <c r="S128" s="260"/>
      <c r="T128" s="66"/>
      <c r="U128" s="66"/>
      <c r="V128" s="120"/>
      <c r="W128" s="120"/>
      <c r="X128" s="120"/>
      <c r="Y128" s="120"/>
      <c r="Z128" s="111"/>
      <c r="AA128" s="66"/>
      <c r="AB128" s="260"/>
      <c r="AC128" s="260"/>
      <c r="AD128" s="111"/>
      <c r="AE128" s="111"/>
      <c r="AF128" s="241"/>
      <c r="AG128" s="242"/>
      <c r="AH128" s="353"/>
      <c r="AI128" s="353"/>
      <c r="AJ128" s="353"/>
      <c r="AK128" s="353"/>
      <c r="AL128" s="66"/>
      <c r="AM128" s="260"/>
      <c r="AN128" s="66"/>
      <c r="AO128" s="233"/>
      <c r="AP128" s="233"/>
      <c r="AQ128" s="111"/>
      <c r="AS128" s="141"/>
      <c r="AT128" s="141"/>
      <c r="AU128" s="141"/>
      <c r="AV128" s="141"/>
      <c r="AW128" s="141"/>
      <c r="AX128" s="141"/>
      <c r="AY128" s="141"/>
      <c r="AZ128" s="141"/>
      <c r="BA128" s="141"/>
      <c r="BB128" s="141"/>
      <c r="BC128" s="141"/>
    </row>
    <row r="129" spans="1:55" s="39" customFormat="1" hidden="1" x14ac:dyDescent="0.2">
      <c r="A129" s="283">
        <v>54</v>
      </c>
      <c r="B129" s="219"/>
      <c r="C129" s="120"/>
      <c r="D129" s="215"/>
      <c r="E129" s="120"/>
      <c r="F129" s="120"/>
      <c r="G129" s="287"/>
      <c r="H129" s="469"/>
      <c r="I129" s="468"/>
      <c r="J129" s="339"/>
      <c r="K129" s="285"/>
      <c r="L129" s="120"/>
      <c r="M129" s="241"/>
      <c r="N129" s="242"/>
      <c r="O129" s="242"/>
      <c r="P129" s="111"/>
      <c r="Q129" s="263"/>
      <c r="R129" s="260"/>
      <c r="S129" s="260"/>
      <c r="T129" s="66"/>
      <c r="U129" s="66"/>
      <c r="V129" s="120"/>
      <c r="W129" s="120"/>
      <c r="X129" s="120"/>
      <c r="Y129" s="120"/>
      <c r="Z129" s="111"/>
      <c r="AA129" s="66"/>
      <c r="AB129" s="181"/>
      <c r="AC129" s="181"/>
      <c r="AD129" s="181"/>
      <c r="AE129" s="218"/>
      <c r="AF129" s="241"/>
      <c r="AG129" s="242"/>
      <c r="AH129" s="353"/>
      <c r="AI129" s="353"/>
      <c r="AJ129" s="353"/>
      <c r="AK129" s="353"/>
      <c r="AL129" s="66"/>
      <c r="AM129" s="260"/>
      <c r="AN129" s="66"/>
      <c r="AO129" s="138"/>
      <c r="AP129" s="138"/>
      <c r="AQ129" s="181"/>
      <c r="AS129" s="141"/>
      <c r="AT129" s="141"/>
      <c r="AU129" s="141"/>
      <c r="AV129" s="141"/>
      <c r="AW129" s="141"/>
      <c r="AX129" s="141"/>
      <c r="AY129" s="141"/>
      <c r="AZ129" s="141"/>
      <c r="BA129" s="141"/>
      <c r="BB129" s="141"/>
      <c r="BC129" s="141"/>
    </row>
    <row r="130" spans="1:55" s="39" customFormat="1" hidden="1" x14ac:dyDescent="0.2">
      <c r="A130" s="283">
        <v>55</v>
      </c>
      <c r="B130" s="219"/>
      <c r="C130" s="120"/>
      <c r="D130" s="215"/>
      <c r="E130" s="120"/>
      <c r="F130" s="120"/>
      <c r="G130" s="287"/>
      <c r="H130" s="469"/>
      <c r="I130" s="468"/>
      <c r="J130" s="339"/>
      <c r="K130" s="285"/>
      <c r="L130" s="120"/>
      <c r="M130" s="241"/>
      <c r="N130" s="242"/>
      <c r="O130" s="242"/>
      <c r="P130" s="111"/>
      <c r="Q130" s="263"/>
      <c r="R130" s="260"/>
      <c r="S130" s="260"/>
      <c r="T130" s="66"/>
      <c r="U130" s="66"/>
      <c r="V130" s="120"/>
      <c r="W130" s="120"/>
      <c r="X130" s="120"/>
      <c r="Y130" s="120"/>
      <c r="Z130" s="111"/>
      <c r="AA130" s="66"/>
      <c r="AB130" s="260"/>
      <c r="AC130" s="260"/>
      <c r="AD130" s="111"/>
      <c r="AE130" s="111"/>
      <c r="AF130" s="241"/>
      <c r="AG130" s="242"/>
      <c r="AH130" s="353"/>
      <c r="AI130" s="353"/>
      <c r="AJ130" s="353"/>
      <c r="AK130" s="353"/>
      <c r="AL130" s="66"/>
      <c r="AM130" s="260"/>
      <c r="AN130" s="66"/>
      <c r="AO130" s="233"/>
      <c r="AP130" s="233"/>
      <c r="AQ130" s="111"/>
      <c r="AS130" s="141"/>
      <c r="AT130" s="141"/>
      <c r="AU130" s="141"/>
      <c r="AV130" s="141"/>
      <c r="AW130" s="141"/>
      <c r="AX130" s="141"/>
      <c r="AY130" s="141"/>
      <c r="AZ130" s="141"/>
      <c r="BA130" s="141"/>
      <c r="BB130" s="141"/>
      <c r="BC130" s="141"/>
    </row>
    <row r="131" spans="1:55" s="39" customFormat="1" hidden="1" x14ac:dyDescent="0.2">
      <c r="A131" s="283">
        <v>56</v>
      </c>
      <c r="B131" s="219"/>
      <c r="C131" s="120"/>
      <c r="D131" s="120"/>
      <c r="E131" s="120"/>
      <c r="F131" s="120"/>
      <c r="G131" s="287"/>
      <c r="H131" s="469"/>
      <c r="I131" s="468"/>
      <c r="J131" s="339"/>
      <c r="K131" s="285"/>
      <c r="L131" s="120"/>
      <c r="M131" s="241"/>
      <c r="N131" s="242"/>
      <c r="O131" s="242"/>
      <c r="P131" s="111"/>
      <c r="Q131" s="263"/>
      <c r="R131" s="260"/>
      <c r="S131" s="260"/>
      <c r="T131" s="242"/>
      <c r="U131" s="66"/>
      <c r="V131" s="120"/>
      <c r="W131" s="120"/>
      <c r="X131" s="120"/>
      <c r="Y131" s="120"/>
      <c r="Z131" s="111"/>
      <c r="AA131" s="66"/>
      <c r="AB131" s="181"/>
      <c r="AC131" s="181"/>
      <c r="AD131" s="181"/>
      <c r="AE131" s="218"/>
      <c r="AF131" s="241"/>
      <c r="AG131" s="242"/>
      <c r="AH131" s="353"/>
      <c r="AI131" s="353"/>
      <c r="AJ131" s="353"/>
      <c r="AK131" s="353"/>
      <c r="AL131" s="260"/>
      <c r="AM131" s="260"/>
      <c r="AN131" s="66"/>
      <c r="AO131" s="138"/>
      <c r="AP131" s="138"/>
      <c r="AQ131" s="181"/>
      <c r="AS131" s="141"/>
      <c r="AT131" s="141"/>
      <c r="AU131" s="141"/>
      <c r="AV131" s="141"/>
      <c r="AW131" s="141"/>
      <c r="AX131" s="141"/>
      <c r="AY131" s="141"/>
      <c r="AZ131" s="141"/>
      <c r="BA131" s="141"/>
      <c r="BB131" s="141"/>
      <c r="BC131" s="141"/>
    </row>
    <row r="132" spans="1:55" s="39" customFormat="1" hidden="1" x14ac:dyDescent="0.2">
      <c r="A132" s="283">
        <v>57</v>
      </c>
      <c r="B132" s="219"/>
      <c r="C132" s="120"/>
      <c r="D132" s="215"/>
      <c r="E132" s="120"/>
      <c r="F132" s="120"/>
      <c r="G132" s="375"/>
      <c r="H132" s="469"/>
      <c r="I132" s="468"/>
      <c r="J132" s="339"/>
      <c r="K132" s="285"/>
      <c r="L132" s="120"/>
      <c r="M132" s="241"/>
      <c r="N132" s="242"/>
      <c r="O132" s="242"/>
      <c r="P132" s="111"/>
      <c r="Q132" s="263"/>
      <c r="R132" s="260"/>
      <c r="S132" s="260"/>
      <c r="T132" s="66"/>
      <c r="U132" s="66"/>
      <c r="V132" s="120"/>
      <c r="W132" s="120"/>
      <c r="X132" s="120"/>
      <c r="Y132" s="120"/>
      <c r="Z132" s="111"/>
      <c r="AA132" s="66"/>
      <c r="AB132" s="181"/>
      <c r="AC132" s="181"/>
      <c r="AD132" s="181"/>
      <c r="AE132" s="218"/>
      <c r="AF132" s="241"/>
      <c r="AG132" s="242"/>
      <c r="AH132" s="353"/>
      <c r="AI132" s="353"/>
      <c r="AJ132" s="353"/>
      <c r="AK132" s="353"/>
      <c r="AL132" s="66"/>
      <c r="AM132" s="260"/>
      <c r="AN132" s="66"/>
      <c r="AO132" s="138"/>
      <c r="AP132" s="138"/>
      <c r="AQ132" s="181"/>
      <c r="AS132" s="141"/>
      <c r="AT132" s="141"/>
      <c r="AU132" s="141"/>
      <c r="AV132" s="141"/>
      <c r="AW132" s="141"/>
      <c r="AX132" s="141"/>
      <c r="AY132" s="141"/>
      <c r="AZ132" s="141"/>
      <c r="BA132" s="141"/>
      <c r="BB132" s="141"/>
      <c r="BC132" s="141"/>
    </row>
    <row r="133" spans="1:55" s="39" customFormat="1" hidden="1" x14ac:dyDescent="0.2">
      <c r="A133" s="283">
        <v>58</v>
      </c>
      <c r="B133" s="219"/>
      <c r="C133" s="120"/>
      <c r="D133" s="181"/>
      <c r="E133" s="120"/>
      <c r="F133" s="120"/>
      <c r="G133" s="375"/>
      <c r="H133" s="469"/>
      <c r="I133" s="468"/>
      <c r="J133" s="339"/>
      <c r="K133" s="285"/>
      <c r="L133" s="120"/>
      <c r="M133" s="241"/>
      <c r="N133" s="241"/>
      <c r="O133" s="241"/>
      <c r="P133" s="241"/>
      <c r="Q133" s="265"/>
      <c r="R133" s="260"/>
      <c r="S133" s="260"/>
      <c r="T133" s="111"/>
      <c r="U133" s="111"/>
      <c r="V133" s="120"/>
      <c r="W133" s="120"/>
      <c r="X133" s="120"/>
      <c r="Y133" s="120"/>
      <c r="Z133" s="111"/>
      <c r="AA133" s="305"/>
      <c r="AB133" s="306"/>
      <c r="AC133" s="306"/>
      <c r="AD133" s="306"/>
      <c r="AE133" s="306"/>
      <c r="AF133" s="241"/>
      <c r="AG133" s="242"/>
      <c r="AH133" s="352"/>
      <c r="AI133" s="352"/>
      <c r="AJ133" s="352"/>
      <c r="AK133" s="352"/>
      <c r="AL133" s="66"/>
      <c r="AM133" s="260"/>
      <c r="AN133" s="66"/>
      <c r="AO133" s="138"/>
      <c r="AP133" s="138"/>
      <c r="AQ133" s="306"/>
      <c r="AS133" s="141"/>
      <c r="AT133" s="141"/>
      <c r="AU133" s="141"/>
      <c r="AV133" s="141"/>
      <c r="AW133" s="141"/>
      <c r="AX133" s="141"/>
      <c r="AY133" s="141"/>
      <c r="AZ133" s="141"/>
      <c r="BA133" s="141"/>
      <c r="BB133" s="141"/>
      <c r="BC133" s="141"/>
    </row>
    <row r="134" spans="1:55" s="39" customFormat="1" ht="72.5" hidden="1" customHeight="1" x14ac:dyDescent="0.2">
      <c r="A134" s="283">
        <v>59</v>
      </c>
      <c r="B134" s="219"/>
      <c r="C134" s="120"/>
      <c r="D134" s="42"/>
      <c r="E134" s="120"/>
      <c r="F134" s="120"/>
      <c r="G134" s="375"/>
      <c r="H134" s="469"/>
      <c r="I134" s="468"/>
      <c r="J134" s="339"/>
      <c r="K134" s="285"/>
      <c r="L134" s="120"/>
      <c r="M134" s="241"/>
      <c r="N134" s="241"/>
      <c r="O134" s="241"/>
      <c r="P134" s="111"/>
      <c r="Q134" s="265"/>
      <c r="R134" s="260"/>
      <c r="S134" s="260"/>
      <c r="T134" s="111"/>
      <c r="U134" s="111"/>
      <c r="V134" s="120"/>
      <c r="W134" s="120"/>
      <c r="X134" s="120"/>
      <c r="Y134" s="120"/>
      <c r="Z134" s="111"/>
      <c r="AA134" s="120"/>
      <c r="AB134" s="120"/>
      <c r="AC134" s="120"/>
      <c r="AD134" s="120"/>
      <c r="AE134" s="271"/>
      <c r="AF134" s="241"/>
      <c r="AG134" s="241"/>
      <c r="AH134" s="352"/>
      <c r="AI134" s="352"/>
      <c r="AJ134" s="352"/>
      <c r="AK134" s="352"/>
      <c r="AL134" s="120"/>
      <c r="AM134" s="120"/>
      <c r="AN134" s="120"/>
      <c r="AO134" s="120"/>
      <c r="AP134" s="120"/>
      <c r="AQ134" s="120"/>
      <c r="AS134" s="141"/>
      <c r="AT134" s="141"/>
      <c r="AU134" s="141"/>
      <c r="AV134" s="141"/>
      <c r="AW134" s="141"/>
      <c r="AX134" s="141"/>
      <c r="AY134" s="141"/>
      <c r="AZ134" s="141"/>
      <c r="BA134" s="141"/>
      <c r="BB134" s="141"/>
      <c r="BC134" s="141"/>
    </row>
    <row r="135" spans="1:55" s="39" customFormat="1" ht="42" hidden="1" customHeight="1" x14ac:dyDescent="0.2">
      <c r="A135" s="283">
        <v>60</v>
      </c>
      <c r="B135" s="219"/>
      <c r="C135" s="120"/>
      <c r="D135" s="291"/>
      <c r="E135" s="120"/>
      <c r="F135" s="120"/>
      <c r="G135" s="375"/>
      <c r="H135" s="301"/>
      <c r="I135" s="396"/>
      <c r="J135" s="284"/>
      <c r="K135" s="285"/>
      <c r="L135" s="120"/>
      <c r="M135" s="241"/>
      <c r="N135" s="241"/>
      <c r="O135" s="241"/>
      <c r="P135" s="111"/>
      <c r="Q135" s="265"/>
      <c r="R135" s="260"/>
      <c r="S135" s="260"/>
      <c r="T135" s="66"/>
      <c r="U135" s="111"/>
      <c r="V135" s="120"/>
      <c r="W135" s="120"/>
      <c r="X135" s="120"/>
      <c r="Y135" s="271"/>
      <c r="Z135" s="111"/>
      <c r="AA135" s="111"/>
      <c r="AB135" s="218"/>
      <c r="AC135" s="218"/>
      <c r="AD135" s="218"/>
      <c r="AE135" s="218"/>
      <c r="AF135" s="241"/>
      <c r="AG135" s="242"/>
      <c r="AH135" s="352"/>
      <c r="AI135" s="352"/>
      <c r="AJ135" s="352"/>
      <c r="AK135" s="352"/>
      <c r="AL135" s="111"/>
      <c r="AM135" s="260"/>
      <c r="AN135" s="66"/>
      <c r="AO135" s="202"/>
      <c r="AP135" s="202"/>
      <c r="AQ135" s="218"/>
      <c r="AS135" s="141"/>
      <c r="AT135" s="141"/>
      <c r="AU135" s="141"/>
      <c r="AV135" s="141"/>
      <c r="AW135" s="141"/>
      <c r="AX135" s="141"/>
      <c r="AY135" s="141"/>
      <c r="AZ135" s="141"/>
      <c r="BA135" s="141"/>
      <c r="BB135" s="141"/>
      <c r="BC135" s="141"/>
    </row>
    <row r="136" spans="1:55" s="39" customFormat="1" ht="42" hidden="1" customHeight="1" x14ac:dyDescent="0.2">
      <c r="A136" s="283">
        <v>61</v>
      </c>
      <c r="B136" s="219"/>
      <c r="C136" s="120"/>
      <c r="D136" s="181"/>
      <c r="E136" s="120"/>
      <c r="F136" s="120"/>
      <c r="G136" s="375"/>
      <c r="H136" s="301"/>
      <c r="I136" s="392"/>
      <c r="J136" s="284"/>
      <c r="K136" s="285"/>
      <c r="L136" s="120"/>
      <c r="M136" s="241"/>
      <c r="N136" s="241"/>
      <c r="O136" s="241"/>
      <c r="P136" s="111"/>
      <c r="Q136" s="265"/>
      <c r="R136" s="261"/>
      <c r="S136" s="261"/>
      <c r="T136" s="111"/>
      <c r="U136" s="111"/>
      <c r="V136" s="120"/>
      <c r="W136" s="120"/>
      <c r="X136" s="120"/>
      <c r="Y136" s="271"/>
      <c r="Z136" s="111"/>
      <c r="AA136" s="111"/>
      <c r="AB136" s="218"/>
      <c r="AC136" s="218"/>
      <c r="AD136" s="218"/>
      <c r="AE136" s="218"/>
      <c r="AF136" s="241"/>
      <c r="AG136" s="241"/>
      <c r="AH136" s="352"/>
      <c r="AI136" s="352"/>
      <c r="AJ136" s="352"/>
      <c r="AK136" s="352"/>
      <c r="AL136" s="111"/>
      <c r="AM136" s="260"/>
      <c r="AN136" s="66"/>
      <c r="AO136" s="139"/>
      <c r="AP136" s="163"/>
      <c r="AQ136" s="120"/>
      <c r="AS136" s="141"/>
      <c r="AT136" s="141"/>
      <c r="AU136" s="141"/>
      <c r="AV136" s="141"/>
      <c r="AW136" s="141"/>
      <c r="AX136" s="141"/>
      <c r="AY136" s="141"/>
      <c r="AZ136" s="141"/>
      <c r="BA136" s="141"/>
      <c r="BB136" s="141"/>
      <c r="BC136" s="141"/>
    </row>
    <row r="137" spans="1:55" s="39" customFormat="1" hidden="1" x14ac:dyDescent="0.2">
      <c r="A137" s="283">
        <v>62</v>
      </c>
      <c r="B137" s="219"/>
      <c r="C137" s="120"/>
      <c r="D137" s="120"/>
      <c r="E137" s="120"/>
      <c r="F137" s="120"/>
      <c r="G137" s="287"/>
      <c r="H137" s="301"/>
      <c r="I137" s="392"/>
      <c r="J137" s="284"/>
      <c r="K137" s="285"/>
      <c r="L137" s="120"/>
      <c r="M137" s="241"/>
      <c r="N137" s="241"/>
      <c r="O137" s="241"/>
      <c r="P137" s="111"/>
      <c r="Q137" s="265"/>
      <c r="R137" s="260"/>
      <c r="S137" s="260"/>
      <c r="T137" s="66"/>
      <c r="U137" s="111"/>
      <c r="V137" s="120"/>
      <c r="W137" s="120"/>
      <c r="X137" s="120"/>
      <c r="Y137" s="271"/>
      <c r="Z137" s="111"/>
      <c r="AA137" s="111"/>
      <c r="AB137" s="218"/>
      <c r="AC137" s="218"/>
      <c r="AD137" s="218"/>
      <c r="AE137" s="218"/>
      <c r="AF137" s="241"/>
      <c r="AG137" s="242"/>
      <c r="AH137" s="352"/>
      <c r="AI137" s="352"/>
      <c r="AJ137" s="352"/>
      <c r="AK137" s="352"/>
      <c r="AL137" s="111"/>
      <c r="AM137" s="260"/>
      <c r="AN137" s="66"/>
      <c r="AO137" s="138"/>
      <c r="AP137" s="138"/>
      <c r="AQ137" s="218"/>
      <c r="AS137" s="141"/>
      <c r="AT137" s="141"/>
      <c r="AU137" s="141"/>
      <c r="AV137" s="141"/>
      <c r="AW137" s="141"/>
      <c r="AX137" s="141"/>
      <c r="AY137" s="141"/>
      <c r="AZ137" s="141"/>
      <c r="BA137" s="141"/>
      <c r="BB137" s="141"/>
      <c r="BC137" s="141"/>
    </row>
    <row r="138" spans="1:55" s="39" customFormat="1" ht="58" hidden="1" customHeight="1" x14ac:dyDescent="0.2">
      <c r="A138" s="283">
        <v>63</v>
      </c>
      <c r="B138" s="219"/>
      <c r="C138" s="120"/>
      <c r="D138" s="120"/>
      <c r="E138" s="120"/>
      <c r="F138" s="120"/>
      <c r="G138" s="287"/>
      <c r="H138" s="301"/>
      <c r="I138" s="392"/>
      <c r="J138" s="284"/>
      <c r="K138" s="285"/>
      <c r="L138" s="120"/>
      <c r="M138" s="241"/>
      <c r="N138" s="241"/>
      <c r="O138" s="241"/>
      <c r="P138" s="111"/>
      <c r="Q138" s="265"/>
      <c r="R138" s="261"/>
      <c r="S138" s="261"/>
      <c r="T138" s="111"/>
      <c r="U138" s="111"/>
      <c r="V138" s="120"/>
      <c r="W138" s="120"/>
      <c r="X138" s="120"/>
      <c r="Y138" s="120"/>
      <c r="Z138" s="111"/>
      <c r="AA138" s="111"/>
      <c r="AB138" s="111"/>
      <c r="AC138" s="111"/>
      <c r="AD138" s="111"/>
      <c r="AE138" s="111"/>
      <c r="AF138" s="241"/>
      <c r="AG138" s="241"/>
      <c r="AH138" s="352"/>
      <c r="AI138" s="352"/>
      <c r="AJ138" s="352"/>
      <c r="AK138" s="352"/>
      <c r="AL138" s="260"/>
      <c r="AM138" s="260"/>
      <c r="AN138" s="260"/>
      <c r="AO138" s="260"/>
      <c r="AP138" s="260"/>
      <c r="AQ138" s="111"/>
      <c r="AS138" s="141"/>
      <c r="AT138" s="141"/>
      <c r="AU138" s="141"/>
      <c r="AV138" s="141"/>
      <c r="AW138" s="141"/>
      <c r="AX138" s="141"/>
      <c r="AY138" s="141"/>
      <c r="AZ138" s="141"/>
      <c r="BA138" s="141"/>
      <c r="BB138" s="141"/>
      <c r="BC138" s="141"/>
    </row>
    <row r="139" spans="1:55" s="39" customFormat="1" hidden="1" x14ac:dyDescent="0.2">
      <c r="A139" s="283">
        <v>64</v>
      </c>
      <c r="B139" s="219"/>
      <c r="C139" s="120"/>
      <c r="D139" s="120"/>
      <c r="E139" s="120"/>
      <c r="F139" s="120"/>
      <c r="G139" s="287"/>
      <c r="H139" s="301"/>
      <c r="I139" s="392"/>
      <c r="J139" s="284"/>
      <c r="K139" s="285"/>
      <c r="L139" s="120"/>
      <c r="M139" s="241"/>
      <c r="N139" s="241"/>
      <c r="O139" s="241"/>
      <c r="P139" s="111"/>
      <c r="Q139" s="265"/>
      <c r="R139" s="260"/>
      <c r="S139" s="260"/>
      <c r="T139" s="66"/>
      <c r="U139" s="111"/>
      <c r="V139" s="120"/>
      <c r="W139" s="120"/>
      <c r="X139" s="120"/>
      <c r="Y139" s="271"/>
      <c r="Z139" s="111"/>
      <c r="AA139" s="111"/>
      <c r="AB139" s="218"/>
      <c r="AC139" s="218"/>
      <c r="AD139" s="218"/>
      <c r="AE139" s="218"/>
      <c r="AF139" s="241"/>
      <c r="AG139" s="242"/>
      <c r="AH139" s="352"/>
      <c r="AI139" s="352"/>
      <c r="AJ139" s="352"/>
      <c r="AK139" s="352"/>
      <c r="AL139" s="111"/>
      <c r="AM139" s="260"/>
      <c r="AN139" s="66"/>
      <c r="AO139" s="138"/>
      <c r="AP139" s="138"/>
      <c r="AQ139" s="218"/>
      <c r="AS139" s="141"/>
      <c r="AT139" s="141"/>
      <c r="AU139" s="141"/>
      <c r="AV139" s="141"/>
      <c r="AW139" s="141"/>
      <c r="AX139" s="141"/>
      <c r="AY139" s="141"/>
      <c r="AZ139" s="141"/>
      <c r="BA139" s="141"/>
      <c r="BB139" s="141"/>
      <c r="BC139" s="141"/>
    </row>
    <row r="140" spans="1:55" s="39" customFormat="1" hidden="1" x14ac:dyDescent="0.2">
      <c r="A140" s="283">
        <v>65</v>
      </c>
      <c r="B140" s="219"/>
      <c r="C140" s="120"/>
      <c r="D140" s="120"/>
      <c r="E140" s="120"/>
      <c r="F140" s="120"/>
      <c r="G140" s="287"/>
      <c r="H140" s="301"/>
      <c r="I140" s="392"/>
      <c r="J140" s="284"/>
      <c r="K140" s="285"/>
      <c r="L140" s="120"/>
      <c r="M140" s="241"/>
      <c r="N140" s="241"/>
      <c r="O140" s="241"/>
      <c r="P140" s="111"/>
      <c r="Q140" s="265"/>
      <c r="R140" s="260"/>
      <c r="S140" s="260"/>
      <c r="T140" s="111"/>
      <c r="U140" s="111"/>
      <c r="V140" s="120"/>
      <c r="W140" s="120"/>
      <c r="X140" s="120"/>
      <c r="Y140" s="271"/>
      <c r="Z140" s="111"/>
      <c r="AA140" s="111"/>
      <c r="AB140" s="260"/>
      <c r="AC140" s="260"/>
      <c r="AD140" s="111"/>
      <c r="AE140" s="111"/>
      <c r="AF140" s="241"/>
      <c r="AG140" s="242"/>
      <c r="AH140" s="352"/>
      <c r="AI140" s="352"/>
      <c r="AJ140" s="352"/>
      <c r="AK140" s="352"/>
      <c r="AL140" s="111"/>
      <c r="AM140" s="260"/>
      <c r="AN140" s="66"/>
      <c r="AO140" s="233"/>
      <c r="AP140" s="233"/>
      <c r="AQ140" s="111"/>
      <c r="AS140" s="141"/>
      <c r="AT140" s="141"/>
      <c r="AU140" s="141"/>
      <c r="AV140" s="141"/>
      <c r="AW140" s="141"/>
      <c r="AX140" s="141"/>
      <c r="AY140" s="141"/>
      <c r="AZ140" s="141"/>
      <c r="BA140" s="141"/>
      <c r="BB140" s="141"/>
      <c r="BC140" s="141"/>
    </row>
    <row r="141" spans="1:55" s="39" customFormat="1" hidden="1" x14ac:dyDescent="0.2">
      <c r="A141" s="283">
        <v>66</v>
      </c>
      <c r="B141" s="219"/>
      <c r="C141" s="120"/>
      <c r="D141" s="120"/>
      <c r="E141" s="120"/>
      <c r="F141" s="120"/>
      <c r="G141" s="287"/>
      <c r="H141" s="301"/>
      <c r="I141" s="392"/>
      <c r="J141" s="284"/>
      <c r="K141" s="285"/>
      <c r="L141" s="120"/>
      <c r="M141" s="241"/>
      <c r="N141" s="241"/>
      <c r="O141" s="241"/>
      <c r="P141" s="111"/>
      <c r="Q141" s="265"/>
      <c r="R141" s="260"/>
      <c r="S141" s="260"/>
      <c r="T141" s="111"/>
      <c r="U141" s="111"/>
      <c r="V141" s="120"/>
      <c r="W141" s="120"/>
      <c r="X141" s="120"/>
      <c r="Y141" s="271"/>
      <c r="Z141" s="111"/>
      <c r="AA141" s="111"/>
      <c r="AB141" s="260"/>
      <c r="AC141" s="260"/>
      <c r="AD141" s="111"/>
      <c r="AE141" s="111"/>
      <c r="AF141" s="241"/>
      <c r="AG141" s="242"/>
      <c r="AH141" s="352"/>
      <c r="AI141" s="352"/>
      <c r="AJ141" s="352"/>
      <c r="AK141" s="352"/>
      <c r="AL141" s="138"/>
      <c r="AM141" s="138"/>
      <c r="AN141" s="138"/>
      <c r="AO141" s="233"/>
      <c r="AP141" s="233"/>
      <c r="AQ141" s="111"/>
      <c r="AS141" s="141"/>
      <c r="AT141" s="141"/>
      <c r="AU141" s="141"/>
      <c r="AV141" s="141"/>
      <c r="AW141" s="141"/>
      <c r="AX141" s="141"/>
      <c r="AY141" s="141"/>
      <c r="AZ141" s="141"/>
      <c r="BA141" s="141"/>
      <c r="BB141" s="141"/>
      <c r="BC141" s="141"/>
    </row>
    <row r="142" spans="1:55" s="39" customFormat="1" hidden="1" x14ac:dyDescent="0.2">
      <c r="A142" s="283">
        <v>67</v>
      </c>
      <c r="B142" s="219"/>
      <c r="C142" s="120"/>
      <c r="D142" s="120"/>
      <c r="E142" s="120"/>
      <c r="F142" s="120"/>
      <c r="G142" s="287"/>
      <c r="H142" s="301"/>
      <c r="I142" s="392"/>
      <c r="J142" s="284"/>
      <c r="K142" s="285"/>
      <c r="L142" s="120"/>
      <c r="M142" s="241"/>
      <c r="N142" s="241"/>
      <c r="O142" s="241"/>
      <c r="P142" s="111"/>
      <c r="Q142" s="265"/>
      <c r="R142" s="260"/>
      <c r="S142" s="261"/>
      <c r="T142" s="66"/>
      <c r="U142" s="111"/>
      <c r="V142" s="120"/>
      <c r="W142" s="120"/>
      <c r="X142" s="120"/>
      <c r="Y142" s="271"/>
      <c r="Z142" s="111"/>
      <c r="AA142" s="111"/>
      <c r="AB142" s="218"/>
      <c r="AC142" s="218"/>
      <c r="AD142" s="218"/>
      <c r="AE142" s="218"/>
      <c r="AF142" s="241"/>
      <c r="AG142" s="242"/>
      <c r="AH142" s="352"/>
      <c r="AI142" s="352"/>
      <c r="AJ142" s="352"/>
      <c r="AK142" s="352"/>
      <c r="AL142" s="111"/>
      <c r="AM142" s="260"/>
      <c r="AN142" s="66"/>
      <c r="AO142" s="138"/>
      <c r="AP142" s="138"/>
      <c r="AQ142" s="218"/>
      <c r="AS142" s="141"/>
      <c r="AT142" s="141"/>
      <c r="AU142" s="141"/>
      <c r="AV142" s="141"/>
      <c r="AW142" s="141"/>
      <c r="AX142" s="141"/>
      <c r="AY142" s="141"/>
      <c r="AZ142" s="141"/>
      <c r="BA142" s="141"/>
      <c r="BB142" s="141"/>
      <c r="BC142" s="141"/>
    </row>
    <row r="143" spans="1:55" s="39" customFormat="1" hidden="1" x14ac:dyDescent="0.2">
      <c r="A143" s="283">
        <v>68</v>
      </c>
      <c r="B143" s="219"/>
      <c r="C143" s="120"/>
      <c r="D143" s="120"/>
      <c r="E143" s="120"/>
      <c r="F143" s="120"/>
      <c r="G143" s="287"/>
      <c r="H143" s="301"/>
      <c r="I143" s="392"/>
      <c r="J143" s="284"/>
      <c r="K143" s="285"/>
      <c r="L143" s="120"/>
      <c r="M143" s="241"/>
      <c r="N143" s="241"/>
      <c r="O143" s="241"/>
      <c r="P143" s="111"/>
      <c r="Q143" s="265"/>
      <c r="R143" s="260"/>
      <c r="S143" s="261"/>
      <c r="T143" s="111"/>
      <c r="U143" s="111"/>
      <c r="V143" s="120"/>
      <c r="W143" s="120"/>
      <c r="X143" s="120"/>
      <c r="Y143" s="271"/>
      <c r="Z143" s="111"/>
      <c r="AA143" s="111"/>
      <c r="AB143" s="218"/>
      <c r="AC143" s="218"/>
      <c r="AD143" s="218"/>
      <c r="AE143" s="218"/>
      <c r="AF143" s="241"/>
      <c r="AG143" s="242"/>
      <c r="AH143" s="352"/>
      <c r="AI143" s="352"/>
      <c r="AJ143" s="352"/>
      <c r="AK143" s="352"/>
      <c r="AL143" s="111"/>
      <c r="AM143" s="260"/>
      <c r="AN143" s="66"/>
      <c r="AO143" s="138"/>
      <c r="AP143" s="138"/>
      <c r="AQ143" s="218"/>
      <c r="AS143" s="141"/>
      <c r="AT143" s="141"/>
      <c r="AU143" s="141"/>
      <c r="AV143" s="141"/>
      <c r="AW143" s="141"/>
      <c r="AX143" s="141"/>
      <c r="AY143" s="141"/>
      <c r="AZ143" s="141"/>
      <c r="BA143" s="141"/>
      <c r="BB143" s="141"/>
      <c r="BC143" s="141"/>
    </row>
    <row r="144" spans="1:55" s="39" customFormat="1" hidden="1" x14ac:dyDescent="0.2">
      <c r="A144" s="283">
        <v>69</v>
      </c>
      <c r="B144" s="219"/>
      <c r="C144" s="120"/>
      <c r="D144" s="120"/>
      <c r="E144" s="120"/>
      <c r="F144" s="120"/>
      <c r="G144" s="287"/>
      <c r="H144" s="301"/>
      <c r="I144" s="392"/>
      <c r="J144" s="284"/>
      <c r="K144" s="285"/>
      <c r="L144" s="120"/>
      <c r="M144" s="241"/>
      <c r="N144" s="241"/>
      <c r="O144" s="241"/>
      <c r="P144" s="111"/>
      <c r="Q144" s="265"/>
      <c r="R144" s="260"/>
      <c r="S144" s="261"/>
      <c r="T144" s="66"/>
      <c r="U144" s="111"/>
      <c r="V144" s="120"/>
      <c r="W144" s="120"/>
      <c r="X144" s="120"/>
      <c r="Y144" s="271"/>
      <c r="Z144" s="111"/>
      <c r="AA144" s="111"/>
      <c r="AB144" s="218"/>
      <c r="AC144" s="218"/>
      <c r="AD144" s="218"/>
      <c r="AE144" s="218"/>
      <c r="AF144" s="241"/>
      <c r="AG144" s="242"/>
      <c r="AH144" s="352"/>
      <c r="AI144" s="352"/>
      <c r="AJ144" s="352"/>
      <c r="AK144" s="352"/>
      <c r="AL144" s="111"/>
      <c r="AM144" s="260"/>
      <c r="AN144" s="66"/>
      <c r="AO144" s="138"/>
      <c r="AP144" s="138"/>
      <c r="AQ144" s="218"/>
      <c r="AS144" s="141"/>
      <c r="AT144" s="141"/>
      <c r="AU144" s="141"/>
      <c r="AV144" s="141"/>
      <c r="AW144" s="141"/>
      <c r="AX144" s="141"/>
      <c r="AY144" s="141"/>
      <c r="AZ144" s="141"/>
      <c r="BA144" s="141"/>
      <c r="BB144" s="141"/>
      <c r="BC144" s="141"/>
    </row>
    <row r="145" spans="1:55" s="39" customFormat="1" hidden="1" x14ac:dyDescent="0.2">
      <c r="A145" s="283">
        <v>70</v>
      </c>
      <c r="B145" s="219"/>
      <c r="C145" s="120"/>
      <c r="D145" s="120"/>
      <c r="E145" s="120"/>
      <c r="F145" s="120"/>
      <c r="G145" s="287"/>
      <c r="H145" s="301"/>
      <c r="I145" s="392"/>
      <c r="J145" s="284"/>
      <c r="K145" s="285"/>
      <c r="L145" s="120"/>
      <c r="M145" s="241"/>
      <c r="N145" s="241"/>
      <c r="O145" s="241"/>
      <c r="P145" s="111"/>
      <c r="Q145" s="265"/>
      <c r="R145" s="260"/>
      <c r="S145" s="261"/>
      <c r="T145" s="111"/>
      <c r="U145" s="111"/>
      <c r="V145" s="120"/>
      <c r="W145" s="120"/>
      <c r="X145" s="120"/>
      <c r="Y145" s="271"/>
      <c r="Z145" s="111"/>
      <c r="AA145" s="111"/>
      <c r="AB145" s="218"/>
      <c r="AC145" s="218"/>
      <c r="AD145" s="218"/>
      <c r="AE145" s="218"/>
      <c r="AF145" s="241"/>
      <c r="AG145" s="241"/>
      <c r="AH145" s="352"/>
      <c r="AI145" s="352"/>
      <c r="AJ145" s="352"/>
      <c r="AK145" s="352"/>
      <c r="AL145" s="111"/>
      <c r="AM145" s="260"/>
      <c r="AN145" s="66"/>
      <c r="AO145" s="138"/>
      <c r="AP145" s="138"/>
      <c r="AQ145" s="218"/>
      <c r="AS145" s="141"/>
      <c r="AT145" s="141"/>
      <c r="AU145" s="141"/>
      <c r="AV145" s="141"/>
      <c r="AW145" s="141"/>
      <c r="AX145" s="141"/>
      <c r="AY145" s="141"/>
      <c r="AZ145" s="141"/>
      <c r="BA145" s="141"/>
      <c r="BB145" s="141"/>
      <c r="BC145" s="141"/>
    </row>
    <row r="146" spans="1:55" s="39" customFormat="1" hidden="1" x14ac:dyDescent="0.2">
      <c r="A146" s="283">
        <v>71</v>
      </c>
      <c r="B146" s="120"/>
      <c r="C146" s="120"/>
      <c r="D146" s="120"/>
      <c r="E146" s="120"/>
      <c r="F146" s="120"/>
      <c r="G146" s="287"/>
      <c r="H146" s="301"/>
      <c r="I146" s="289"/>
      <c r="J146" s="284"/>
      <c r="K146" s="285"/>
      <c r="L146" s="120"/>
      <c r="M146" s="241"/>
      <c r="N146" s="241"/>
      <c r="O146" s="241"/>
      <c r="P146" s="111"/>
      <c r="Q146" s="265"/>
      <c r="R146" s="261"/>
      <c r="S146" s="261"/>
      <c r="T146" s="111"/>
      <c r="U146" s="111"/>
      <c r="V146" s="120"/>
      <c r="W146" s="111"/>
      <c r="X146" s="120"/>
      <c r="Y146" s="120"/>
      <c r="Z146" s="111"/>
      <c r="AA146" s="111"/>
      <c r="AB146" s="111"/>
      <c r="AC146" s="111"/>
      <c r="AD146" s="111"/>
      <c r="AE146" s="111"/>
      <c r="AF146" s="241"/>
      <c r="AG146" s="241"/>
      <c r="AH146" s="352"/>
      <c r="AI146" s="352"/>
      <c r="AJ146" s="352"/>
      <c r="AK146" s="352"/>
      <c r="AL146" s="260"/>
      <c r="AM146" s="260"/>
      <c r="AN146" s="260"/>
      <c r="AO146" s="260"/>
      <c r="AP146" s="260"/>
      <c r="AQ146" s="111"/>
      <c r="AS146" s="141"/>
      <c r="AT146" s="141"/>
      <c r="AU146" s="141"/>
      <c r="AV146" s="141"/>
      <c r="AW146" s="141"/>
      <c r="AX146" s="141"/>
      <c r="AY146" s="141"/>
      <c r="AZ146" s="141"/>
      <c r="BA146" s="141"/>
      <c r="BB146" s="141"/>
      <c r="BC146" s="141"/>
    </row>
    <row r="147" spans="1:55" s="39" customFormat="1" hidden="1" x14ac:dyDescent="0.2">
      <c r="A147" s="283">
        <v>72</v>
      </c>
      <c r="B147" s="219"/>
      <c r="C147" s="120"/>
      <c r="D147" s="120"/>
      <c r="E147" s="120"/>
      <c r="F147" s="120"/>
      <c r="G147" s="287"/>
      <c r="H147" s="301"/>
      <c r="I147" s="392"/>
      <c r="J147" s="284"/>
      <c r="K147" s="285"/>
      <c r="L147" s="120"/>
      <c r="M147" s="241"/>
      <c r="N147" s="241"/>
      <c r="O147" s="241"/>
      <c r="P147" s="111"/>
      <c r="Q147" s="265"/>
      <c r="R147" s="261"/>
      <c r="S147" s="261"/>
      <c r="T147" s="111"/>
      <c r="U147" s="111"/>
      <c r="V147" s="120"/>
      <c r="W147" s="120"/>
      <c r="X147" s="120"/>
      <c r="Y147" s="271"/>
      <c r="Z147" s="111"/>
      <c r="AA147" s="111"/>
      <c r="AB147" s="218"/>
      <c r="AC147" s="218"/>
      <c r="AD147" s="218"/>
      <c r="AE147" s="218"/>
      <c r="AF147" s="241"/>
      <c r="AG147" s="241"/>
      <c r="AH147" s="352"/>
      <c r="AI147" s="352"/>
      <c r="AJ147" s="352"/>
      <c r="AK147" s="352"/>
      <c r="AL147" s="111"/>
      <c r="AM147" s="260"/>
      <c r="AN147" s="66"/>
      <c r="AO147" s="138"/>
      <c r="AP147" s="163"/>
      <c r="AQ147" s="218"/>
      <c r="AS147" s="141"/>
      <c r="AT147" s="141"/>
      <c r="AU147" s="141"/>
      <c r="AV147" s="141"/>
      <c r="AW147" s="141"/>
      <c r="AX147" s="141"/>
      <c r="AY147" s="141"/>
      <c r="AZ147" s="141"/>
      <c r="BA147" s="141"/>
      <c r="BB147" s="141"/>
      <c r="BC147" s="141"/>
    </row>
    <row r="148" spans="1:55" s="39" customFormat="1" hidden="1" x14ac:dyDescent="0.2">
      <c r="A148" s="283">
        <v>73</v>
      </c>
      <c r="B148" s="219"/>
      <c r="C148" s="120"/>
      <c r="D148" s="120"/>
      <c r="E148" s="120"/>
      <c r="F148" s="120"/>
      <c r="G148" s="287"/>
      <c r="H148" s="301"/>
      <c r="I148" s="392"/>
      <c r="J148" s="284"/>
      <c r="K148" s="285"/>
      <c r="L148" s="120"/>
      <c r="M148" s="241"/>
      <c r="N148" s="241"/>
      <c r="O148" s="241"/>
      <c r="P148" s="111"/>
      <c r="Q148" s="265"/>
      <c r="R148" s="261"/>
      <c r="S148" s="261"/>
      <c r="T148" s="111"/>
      <c r="U148" s="111"/>
      <c r="V148" s="120"/>
      <c r="W148" s="120"/>
      <c r="X148" s="42"/>
      <c r="Y148" s="271"/>
      <c r="Z148" s="111"/>
      <c r="AA148" s="111"/>
      <c r="AB148" s="218"/>
      <c r="AC148" s="218"/>
      <c r="AD148" s="218"/>
      <c r="AE148" s="218"/>
      <c r="AF148" s="241"/>
      <c r="AG148" s="241"/>
      <c r="AH148" s="352"/>
      <c r="AI148" s="352"/>
      <c r="AJ148" s="352"/>
      <c r="AK148" s="352"/>
      <c r="AL148" s="111"/>
      <c r="AM148" s="260"/>
      <c r="AN148" s="66"/>
      <c r="AO148" s="163"/>
      <c r="AP148" s="163"/>
      <c r="AQ148" s="271"/>
      <c r="AS148" s="141"/>
      <c r="AT148" s="141"/>
      <c r="AU148" s="141"/>
      <c r="AV148" s="141"/>
      <c r="AW148" s="141"/>
      <c r="AX148" s="141"/>
      <c r="AY148" s="141"/>
      <c r="AZ148" s="141"/>
      <c r="BA148" s="141"/>
      <c r="BB148" s="141"/>
      <c r="BC148" s="141"/>
    </row>
    <row r="149" spans="1:55" s="39" customFormat="1" hidden="1" x14ac:dyDescent="0.2">
      <c r="A149" s="283">
        <v>74</v>
      </c>
      <c r="B149" s="219"/>
      <c r="C149" s="120"/>
      <c r="D149" s="120"/>
      <c r="E149" s="120"/>
      <c r="F149" s="120"/>
      <c r="G149" s="287"/>
      <c r="H149" s="301"/>
      <c r="I149" s="392"/>
      <c r="J149" s="284"/>
      <c r="K149" s="285"/>
      <c r="L149" s="120"/>
      <c r="M149" s="241"/>
      <c r="N149" s="241"/>
      <c r="O149" s="241"/>
      <c r="P149" s="111"/>
      <c r="Q149" s="265"/>
      <c r="R149" s="260"/>
      <c r="S149" s="261"/>
      <c r="T149" s="111"/>
      <c r="U149" s="111"/>
      <c r="V149" s="120"/>
      <c r="W149" s="120"/>
      <c r="X149" s="120"/>
      <c r="Y149" s="271"/>
      <c r="Z149" s="111"/>
      <c r="AA149" s="111"/>
      <c r="AB149" s="218"/>
      <c r="AC149" s="218"/>
      <c r="AD149" s="218"/>
      <c r="AE149" s="218"/>
      <c r="AF149" s="241"/>
      <c r="AG149" s="241"/>
      <c r="AH149" s="352"/>
      <c r="AI149" s="352"/>
      <c r="AJ149" s="352"/>
      <c r="AK149" s="352"/>
      <c r="AL149" s="111"/>
      <c r="AM149" s="260"/>
      <c r="AN149" s="66"/>
      <c r="AO149" s="138"/>
      <c r="AP149" s="138"/>
      <c r="AQ149" s="218"/>
      <c r="AS149" s="141"/>
      <c r="AT149" s="141"/>
      <c r="AU149" s="141"/>
      <c r="AV149" s="141"/>
      <c r="AW149" s="141"/>
      <c r="AX149" s="141"/>
      <c r="AY149" s="141"/>
      <c r="AZ149" s="141"/>
      <c r="BA149" s="141"/>
      <c r="BB149" s="141"/>
      <c r="BC149" s="141"/>
    </row>
    <row r="150" spans="1:55" s="39" customFormat="1" hidden="1" x14ac:dyDescent="0.2">
      <c r="A150" s="283">
        <v>75</v>
      </c>
      <c r="B150" s="219"/>
      <c r="C150" s="120"/>
      <c r="D150" s="120"/>
      <c r="E150" s="120"/>
      <c r="F150" s="120"/>
      <c r="G150" s="287"/>
      <c r="H150" s="301"/>
      <c r="I150" s="392"/>
      <c r="J150" s="284"/>
      <c r="K150" s="285"/>
      <c r="L150" s="120"/>
      <c r="M150" s="241"/>
      <c r="N150" s="241"/>
      <c r="O150" s="241"/>
      <c r="P150" s="111"/>
      <c r="Q150" s="265"/>
      <c r="R150" s="261"/>
      <c r="S150" s="261"/>
      <c r="T150" s="111"/>
      <c r="U150" s="111"/>
      <c r="V150" s="120"/>
      <c r="W150" s="181"/>
      <c r="X150" s="120"/>
      <c r="Y150" s="271"/>
      <c r="Z150" s="111"/>
      <c r="AA150" s="111"/>
      <c r="AB150" s="218"/>
      <c r="AC150" s="218"/>
      <c r="AD150" s="218"/>
      <c r="AE150" s="218"/>
      <c r="AF150" s="241"/>
      <c r="AG150" s="241"/>
      <c r="AH150" s="352"/>
      <c r="AI150" s="352"/>
      <c r="AJ150" s="352"/>
      <c r="AK150" s="352"/>
      <c r="AL150" s="111"/>
      <c r="AM150" s="260"/>
      <c r="AN150" s="66"/>
      <c r="AO150" s="138"/>
      <c r="AP150" s="138"/>
      <c r="AQ150" s="120"/>
      <c r="AS150" s="141"/>
      <c r="AT150" s="141"/>
      <c r="AU150" s="141"/>
      <c r="AV150" s="141"/>
      <c r="AW150" s="141"/>
      <c r="AX150" s="141"/>
      <c r="AY150" s="141"/>
      <c r="AZ150" s="141"/>
      <c r="BA150" s="141"/>
      <c r="BB150" s="141"/>
      <c r="BC150" s="141"/>
    </row>
    <row r="151" spans="1:55" s="39" customFormat="1" hidden="1" x14ac:dyDescent="0.2">
      <c r="A151" s="283">
        <v>76</v>
      </c>
      <c r="B151" s="219"/>
      <c r="C151" s="120"/>
      <c r="D151" s="120"/>
      <c r="E151" s="120"/>
      <c r="F151" s="120"/>
      <c r="G151" s="287"/>
      <c r="H151" s="301"/>
      <c r="I151" s="392"/>
      <c r="J151" s="284"/>
      <c r="K151" s="285"/>
      <c r="L151" s="120"/>
      <c r="M151" s="241"/>
      <c r="N151" s="241"/>
      <c r="O151" s="241"/>
      <c r="P151" s="111"/>
      <c r="Q151" s="265"/>
      <c r="R151" s="261"/>
      <c r="S151" s="261"/>
      <c r="T151" s="111"/>
      <c r="U151" s="111"/>
      <c r="V151" s="120"/>
      <c r="W151" s="218"/>
      <c r="X151" s="214"/>
      <c r="Y151" s="271"/>
      <c r="Z151" s="111"/>
      <c r="AA151" s="111"/>
      <c r="AB151" s="218"/>
      <c r="AC151" s="218"/>
      <c r="AD151" s="218"/>
      <c r="AE151" s="218"/>
      <c r="AF151" s="241"/>
      <c r="AG151" s="241"/>
      <c r="AH151" s="352"/>
      <c r="AI151" s="352"/>
      <c r="AJ151" s="352"/>
      <c r="AK151" s="352"/>
      <c r="AL151" s="111"/>
      <c r="AM151" s="260"/>
      <c r="AN151" s="66"/>
      <c r="AO151" s="138"/>
      <c r="AP151" s="138"/>
      <c r="AQ151" s="120"/>
      <c r="AS151" s="141"/>
      <c r="AT151" s="141"/>
      <c r="AU151" s="141"/>
      <c r="AV151" s="141"/>
      <c r="AW151" s="141"/>
      <c r="AX151" s="141"/>
      <c r="AY151" s="141"/>
      <c r="AZ151" s="141"/>
      <c r="BA151" s="141"/>
      <c r="BB151" s="141"/>
      <c r="BC151" s="141"/>
    </row>
    <row r="152" spans="1:55" s="39" customFormat="1" hidden="1" x14ac:dyDescent="0.2">
      <c r="A152" s="283">
        <v>77</v>
      </c>
      <c r="B152" s="219"/>
      <c r="C152" s="120"/>
      <c r="D152" s="120"/>
      <c r="E152" s="120"/>
      <c r="F152" s="120"/>
      <c r="G152" s="287"/>
      <c r="H152" s="301"/>
      <c r="I152" s="392"/>
      <c r="J152" s="284"/>
      <c r="K152" s="285"/>
      <c r="L152" s="120"/>
      <c r="M152" s="241"/>
      <c r="N152" s="241"/>
      <c r="O152" s="241"/>
      <c r="P152" s="111"/>
      <c r="Q152" s="265"/>
      <c r="R152" s="260"/>
      <c r="S152" s="261"/>
      <c r="T152" s="111"/>
      <c r="U152" s="111"/>
      <c r="V152" s="120"/>
      <c r="W152" s="120"/>
      <c r="X152" s="120"/>
      <c r="Y152" s="271"/>
      <c r="Z152" s="111"/>
      <c r="AA152" s="111"/>
      <c r="AB152" s="218"/>
      <c r="AC152" s="218"/>
      <c r="AD152" s="218"/>
      <c r="AE152" s="218"/>
      <c r="AF152" s="241"/>
      <c r="AG152" s="241"/>
      <c r="AH152" s="352"/>
      <c r="AI152" s="352"/>
      <c r="AJ152" s="352"/>
      <c r="AK152" s="352"/>
      <c r="AL152" s="111"/>
      <c r="AM152" s="260"/>
      <c r="AN152" s="66"/>
      <c r="AO152" s="138"/>
      <c r="AP152" s="138"/>
      <c r="AQ152" s="218"/>
      <c r="AS152" s="141"/>
      <c r="AT152" s="141"/>
      <c r="AU152" s="141"/>
      <c r="AV152" s="141"/>
      <c r="AW152" s="141"/>
      <c r="AX152" s="141"/>
      <c r="AY152" s="141"/>
      <c r="AZ152" s="141"/>
      <c r="BA152" s="141"/>
      <c r="BB152" s="141"/>
      <c r="BC152" s="141"/>
    </row>
    <row r="153" spans="1:55" s="39" customFormat="1" hidden="1" x14ac:dyDescent="0.2">
      <c r="A153" s="283">
        <v>78</v>
      </c>
      <c r="B153" s="219"/>
      <c r="C153" s="120"/>
      <c r="D153" s="120"/>
      <c r="E153" s="120"/>
      <c r="F153" s="120"/>
      <c r="G153" s="287"/>
      <c r="H153" s="301"/>
      <c r="I153" s="392"/>
      <c r="J153" s="284"/>
      <c r="K153" s="285"/>
      <c r="L153" s="120"/>
      <c r="M153" s="241"/>
      <c r="N153" s="241"/>
      <c r="O153" s="241"/>
      <c r="P153" s="111"/>
      <c r="Q153" s="265"/>
      <c r="R153" s="261"/>
      <c r="S153" s="261"/>
      <c r="T153" s="111"/>
      <c r="U153" s="111"/>
      <c r="V153" s="120"/>
      <c r="W153" s="111"/>
      <c r="X153" s="120"/>
      <c r="Y153" s="120"/>
      <c r="Z153" s="111"/>
      <c r="AA153" s="111"/>
      <c r="AB153" s="111"/>
      <c r="AC153" s="111"/>
      <c r="AD153" s="111"/>
      <c r="AE153" s="111"/>
      <c r="AF153" s="241"/>
      <c r="AG153" s="241"/>
      <c r="AH153" s="352"/>
      <c r="AI153" s="352"/>
      <c r="AJ153" s="352"/>
      <c r="AK153" s="352"/>
      <c r="AL153" s="260"/>
      <c r="AM153" s="260"/>
      <c r="AN153" s="260"/>
      <c r="AO153" s="260"/>
      <c r="AP153" s="260"/>
      <c r="AQ153" s="111"/>
      <c r="AS153" s="141"/>
      <c r="AT153" s="141"/>
      <c r="AU153" s="141"/>
      <c r="AV153" s="141"/>
      <c r="AW153" s="141"/>
      <c r="AX153" s="141"/>
      <c r="AY153" s="141"/>
      <c r="AZ153" s="141"/>
      <c r="BA153" s="141"/>
      <c r="BB153" s="141"/>
      <c r="BC153" s="141"/>
    </row>
    <row r="154" spans="1:55" s="39" customFormat="1" hidden="1" x14ac:dyDescent="0.2">
      <c r="A154" s="283">
        <v>79</v>
      </c>
      <c r="B154" s="219"/>
      <c r="C154" s="120"/>
      <c r="D154" s="120"/>
      <c r="E154" s="120"/>
      <c r="F154" s="120"/>
      <c r="G154" s="287"/>
      <c r="H154" s="301"/>
      <c r="I154" s="392"/>
      <c r="J154" s="284"/>
      <c r="K154" s="285"/>
      <c r="L154" s="120"/>
      <c r="M154" s="241"/>
      <c r="N154" s="241"/>
      <c r="O154" s="241"/>
      <c r="P154" s="111"/>
      <c r="Q154" s="265"/>
      <c r="R154" s="260"/>
      <c r="S154" s="261"/>
      <c r="T154" s="66"/>
      <c r="U154" s="111"/>
      <c r="V154" s="120"/>
      <c r="W154" s="120"/>
      <c r="X154" s="120"/>
      <c r="Y154" s="271"/>
      <c r="Z154" s="111"/>
      <c r="AA154" s="111"/>
      <c r="AB154" s="260"/>
      <c r="AC154" s="260"/>
      <c r="AD154" s="111"/>
      <c r="AE154" s="111"/>
      <c r="AF154" s="241"/>
      <c r="AG154" s="241"/>
      <c r="AH154" s="352"/>
      <c r="AI154" s="352"/>
      <c r="AJ154" s="352"/>
      <c r="AK154" s="352"/>
      <c r="AL154" s="111"/>
      <c r="AM154" s="260"/>
      <c r="AN154" s="66"/>
      <c r="AO154" s="233"/>
      <c r="AP154" s="233"/>
      <c r="AQ154" s="111"/>
      <c r="AS154" s="141"/>
      <c r="AT154" s="141"/>
      <c r="AU154" s="141"/>
      <c r="AV154" s="141"/>
      <c r="AW154" s="141"/>
      <c r="AX154" s="141"/>
      <c r="AY154" s="141"/>
      <c r="AZ154" s="141"/>
      <c r="BA154" s="141"/>
      <c r="BB154" s="141"/>
      <c r="BC154" s="141"/>
    </row>
    <row r="155" spans="1:55" s="39" customFormat="1" hidden="1" x14ac:dyDescent="0.2">
      <c r="A155" s="283">
        <v>80</v>
      </c>
      <c r="B155" s="290"/>
      <c r="C155" s="215"/>
      <c r="D155" s="215"/>
      <c r="E155" s="215"/>
      <c r="F155" s="120"/>
      <c r="G155" s="295"/>
      <c r="H155" s="301"/>
      <c r="I155" s="395"/>
      <c r="J155" s="307"/>
      <c r="K155" s="292"/>
      <c r="L155" s="120"/>
      <c r="M155" s="241"/>
      <c r="N155" s="66"/>
      <c r="O155" s="111"/>
      <c r="P155" s="120"/>
      <c r="Q155" s="263"/>
      <c r="R155" s="260"/>
      <c r="S155" s="260"/>
      <c r="T155" s="66"/>
      <c r="U155" s="120"/>
      <c r="V155" s="120"/>
      <c r="W155" s="120"/>
      <c r="X155" s="120"/>
      <c r="Y155" s="120"/>
      <c r="Z155" s="111"/>
      <c r="AA155" s="66"/>
      <c r="AB155" s="181"/>
      <c r="AC155" s="181"/>
      <c r="AD155" s="218"/>
      <c r="AE155" s="218"/>
      <c r="AF155" s="241"/>
      <c r="AG155" s="242"/>
      <c r="AH155" s="353"/>
      <c r="AI155" s="353"/>
      <c r="AJ155" s="353"/>
      <c r="AK155" s="353"/>
      <c r="AL155" s="183"/>
      <c r="AM155" s="260"/>
      <c r="AN155" s="66"/>
      <c r="AO155" s="138"/>
      <c r="AP155" s="138"/>
      <c r="AQ155" s="218"/>
      <c r="AS155" s="141"/>
      <c r="AT155" s="141"/>
      <c r="AU155" s="141"/>
      <c r="AV155" s="141"/>
      <c r="AW155" s="141"/>
      <c r="AX155" s="141"/>
      <c r="AY155" s="141"/>
      <c r="AZ155" s="141"/>
      <c r="BA155" s="141"/>
      <c r="BB155" s="141"/>
      <c r="BC155" s="141"/>
    </row>
    <row r="156" spans="1:55" hidden="1" x14ac:dyDescent="0.2">
      <c r="A156" s="283">
        <v>81</v>
      </c>
      <c r="B156" s="290"/>
      <c r="C156" s="215"/>
      <c r="D156" s="215"/>
      <c r="E156" s="215"/>
      <c r="F156" s="120"/>
      <c r="G156" s="295"/>
      <c r="H156" s="301"/>
      <c r="I156" s="395"/>
      <c r="J156" s="297"/>
      <c r="K156" s="302"/>
      <c r="L156" s="120"/>
      <c r="M156" s="241"/>
      <c r="N156" s="66"/>
      <c r="O156" s="111"/>
      <c r="P156" s="120"/>
      <c r="Q156" s="263"/>
      <c r="R156" s="260"/>
      <c r="S156" s="260"/>
      <c r="T156" s="66"/>
      <c r="U156" s="120"/>
      <c r="V156" s="120"/>
      <c r="W156" s="120"/>
      <c r="X156" s="120"/>
      <c r="Y156" s="120"/>
      <c r="Z156" s="111"/>
      <c r="AA156" s="66"/>
      <c r="AB156" s="181"/>
      <c r="AC156" s="181"/>
      <c r="AD156" s="218"/>
      <c r="AE156" s="218"/>
      <c r="AF156" s="241"/>
      <c r="AG156" s="242"/>
      <c r="AH156" s="353"/>
      <c r="AI156" s="353"/>
      <c r="AJ156" s="353"/>
      <c r="AK156" s="353"/>
      <c r="AL156" s="66"/>
      <c r="AM156" s="260"/>
      <c r="AN156" s="66"/>
      <c r="AO156" s="233"/>
      <c r="AP156" s="233"/>
      <c r="AQ156" s="218"/>
      <c r="AS156" s="364"/>
      <c r="AT156" s="364"/>
      <c r="AU156" s="364"/>
      <c r="AV156" s="364"/>
      <c r="AW156" s="364"/>
      <c r="AX156" s="364"/>
      <c r="AY156" s="364"/>
      <c r="AZ156" s="364"/>
      <c r="BA156" s="364"/>
      <c r="BB156" s="364"/>
      <c r="BC156" s="364"/>
    </row>
    <row r="157" spans="1:55" hidden="1" x14ac:dyDescent="0.2">
      <c r="A157" s="283">
        <v>82</v>
      </c>
      <c r="B157" s="290"/>
      <c r="C157" s="215"/>
      <c r="D157" s="215"/>
      <c r="E157" s="120"/>
      <c r="F157" s="120"/>
      <c r="G157" s="295"/>
      <c r="H157" s="301"/>
      <c r="I157" s="395"/>
      <c r="J157" s="284"/>
      <c r="K157" s="285"/>
      <c r="L157" s="120"/>
      <c r="M157" s="241"/>
      <c r="N157" s="111"/>
      <c r="O157" s="111"/>
      <c r="P157" s="111"/>
      <c r="Q157" s="265"/>
      <c r="R157" s="260"/>
      <c r="S157" s="261"/>
      <c r="T157" s="241"/>
      <c r="U157" s="66"/>
      <c r="V157" s="120"/>
      <c r="W157" s="214"/>
      <c r="X157" s="214"/>
      <c r="Y157" s="120"/>
      <c r="Z157" s="111"/>
      <c r="AA157" s="111"/>
      <c r="AB157" s="181"/>
      <c r="AC157" s="181"/>
      <c r="AD157" s="218"/>
      <c r="AE157" s="218"/>
      <c r="AF157" s="241"/>
      <c r="AG157" s="242"/>
      <c r="AH157" s="352"/>
      <c r="AI157" s="352"/>
      <c r="AJ157" s="352"/>
      <c r="AK157" s="352"/>
      <c r="AL157" s="111"/>
      <c r="AM157" s="260"/>
      <c r="AN157" s="66"/>
      <c r="AO157" s="233"/>
      <c r="AP157" s="233"/>
      <c r="AQ157" s="218"/>
      <c r="AS157" s="364"/>
      <c r="AT157" s="364"/>
      <c r="AU157" s="364"/>
      <c r="AV157" s="364"/>
      <c r="AW157" s="364"/>
      <c r="AX157" s="364"/>
      <c r="AY157" s="364"/>
      <c r="AZ157" s="364"/>
      <c r="BA157" s="364"/>
      <c r="BB157" s="364"/>
      <c r="BC157" s="364"/>
    </row>
    <row r="158" spans="1:55" hidden="1" x14ac:dyDescent="0.2">
      <c r="A158" s="283">
        <v>83</v>
      </c>
      <c r="B158" s="290"/>
      <c r="C158" s="215"/>
      <c r="D158" s="291"/>
      <c r="E158" s="215"/>
      <c r="F158" s="120"/>
      <c r="G158" s="295"/>
      <c r="H158" s="181"/>
      <c r="I158" s="395"/>
      <c r="J158" s="308"/>
      <c r="K158" s="309"/>
      <c r="L158" s="120"/>
      <c r="M158" s="241"/>
      <c r="N158" s="111"/>
      <c r="O158" s="111"/>
      <c r="P158" s="120"/>
      <c r="Q158" s="265"/>
      <c r="R158" s="260"/>
      <c r="S158" s="261"/>
      <c r="T158" s="66"/>
      <c r="U158" s="120"/>
      <c r="V158" s="120"/>
      <c r="W158" s="120"/>
      <c r="X158" s="120"/>
      <c r="Y158" s="120"/>
      <c r="Z158" s="111"/>
      <c r="AA158" s="111"/>
      <c r="AB158" s="181"/>
      <c r="AC158" s="181"/>
      <c r="AD158" s="218"/>
      <c r="AE158" s="218"/>
      <c r="AF158" s="241"/>
      <c r="AG158" s="242"/>
      <c r="AH158" s="352"/>
      <c r="AI158" s="352"/>
      <c r="AJ158" s="352"/>
      <c r="AK158" s="352"/>
      <c r="AL158" s="111"/>
      <c r="AM158" s="260"/>
      <c r="AN158" s="66"/>
      <c r="AO158" s="138"/>
      <c r="AP158" s="138"/>
      <c r="AQ158" s="218"/>
      <c r="AS158" s="364"/>
      <c r="AT158" s="364"/>
      <c r="AU158" s="364"/>
      <c r="AV158" s="364"/>
      <c r="AW158" s="364"/>
      <c r="AX158" s="364"/>
      <c r="AY158" s="364"/>
      <c r="AZ158" s="364"/>
      <c r="BA158" s="364"/>
      <c r="BB158" s="364"/>
      <c r="BC158" s="364"/>
    </row>
    <row r="159" spans="1:55" hidden="1" x14ac:dyDescent="0.2">
      <c r="A159" s="283">
        <v>85</v>
      </c>
      <c r="B159" s="290"/>
      <c r="C159" s="215"/>
      <c r="D159" s="215"/>
      <c r="E159" s="215"/>
      <c r="F159" s="120"/>
      <c r="G159" s="295"/>
      <c r="H159" s="181"/>
      <c r="I159" s="395"/>
      <c r="J159" s="297"/>
      <c r="K159" s="302"/>
      <c r="L159" s="120"/>
      <c r="M159" s="241"/>
      <c r="N159" s="66"/>
      <c r="O159" s="111"/>
      <c r="P159" s="120"/>
      <c r="Q159" s="263"/>
      <c r="R159" s="260"/>
      <c r="S159" s="260"/>
      <c r="T159" s="66"/>
      <c r="U159" s="120"/>
      <c r="V159" s="120"/>
      <c r="W159" s="120"/>
      <c r="X159" s="120"/>
      <c r="Y159" s="120"/>
      <c r="Z159" s="111"/>
      <c r="AA159" s="66"/>
      <c r="AB159" s="181"/>
      <c r="AC159" s="181"/>
      <c r="AD159" s="218"/>
      <c r="AE159" s="218"/>
      <c r="AF159" s="241"/>
      <c r="AG159" s="242"/>
      <c r="AH159" s="353"/>
      <c r="AI159" s="353"/>
      <c r="AJ159" s="353"/>
      <c r="AK159" s="353"/>
      <c r="AL159" s="66"/>
      <c r="AM159" s="260"/>
      <c r="AN159" s="66"/>
      <c r="AO159" s="138"/>
      <c r="AP159" s="138"/>
      <c r="AQ159" s="218"/>
      <c r="AS159" s="364"/>
      <c r="AT159" s="364"/>
      <c r="AU159" s="364"/>
      <c r="AV159" s="364"/>
      <c r="AW159" s="364"/>
      <c r="AX159" s="364"/>
      <c r="AY159" s="364"/>
      <c r="AZ159" s="364"/>
      <c r="BA159" s="364"/>
      <c r="BB159" s="364"/>
      <c r="BC159" s="364"/>
    </row>
    <row r="160" spans="1:55" hidden="1" x14ac:dyDescent="0.2">
      <c r="A160" s="283">
        <v>86</v>
      </c>
      <c r="B160" s="290"/>
      <c r="C160" s="215"/>
      <c r="D160" s="215"/>
      <c r="E160" s="215"/>
      <c r="F160" s="120"/>
      <c r="G160" s="295"/>
      <c r="H160" s="181"/>
      <c r="I160" s="395"/>
      <c r="J160" s="297"/>
      <c r="K160" s="302"/>
      <c r="L160" s="120"/>
      <c r="M160" s="241"/>
      <c r="N160" s="66"/>
      <c r="O160" s="111"/>
      <c r="P160" s="120"/>
      <c r="Q160" s="263"/>
      <c r="R160" s="260"/>
      <c r="S160" s="260"/>
      <c r="T160" s="242"/>
      <c r="U160" s="120"/>
      <c r="V160" s="120"/>
      <c r="W160" s="120"/>
      <c r="X160" s="120"/>
      <c r="Y160" s="120"/>
      <c r="Z160" s="111"/>
      <c r="AA160" s="66"/>
      <c r="AB160" s="181"/>
      <c r="AC160" s="181"/>
      <c r="AD160" s="218"/>
      <c r="AE160" s="218"/>
      <c r="AF160" s="241"/>
      <c r="AG160" s="242"/>
      <c r="AH160" s="353"/>
      <c r="AI160" s="353"/>
      <c r="AJ160" s="353"/>
      <c r="AK160" s="353"/>
      <c r="AL160" s="66"/>
      <c r="AM160" s="260"/>
      <c r="AN160" s="66"/>
      <c r="AO160" s="233"/>
      <c r="AP160" s="233"/>
      <c r="AQ160" s="218"/>
      <c r="AS160" s="364"/>
      <c r="AT160" s="364"/>
      <c r="AU160" s="364"/>
      <c r="AV160" s="364"/>
      <c r="AW160" s="364"/>
      <c r="AX160" s="364"/>
      <c r="AY160" s="364"/>
      <c r="AZ160" s="364"/>
      <c r="BA160" s="364"/>
      <c r="BB160" s="364"/>
      <c r="BC160" s="364"/>
    </row>
    <row r="161" spans="1:60" hidden="1" x14ac:dyDescent="0.2">
      <c r="A161" s="283">
        <v>87</v>
      </c>
      <c r="B161" s="290"/>
      <c r="C161" s="215"/>
      <c r="D161" s="291"/>
      <c r="E161" s="215"/>
      <c r="F161" s="120"/>
      <c r="G161" s="295"/>
      <c r="H161" s="181"/>
      <c r="I161" s="395"/>
      <c r="J161" s="308"/>
      <c r="K161" s="309"/>
      <c r="L161" s="120"/>
      <c r="M161" s="241"/>
      <c r="N161" s="111"/>
      <c r="O161" s="111"/>
      <c r="P161" s="120"/>
      <c r="Q161" s="265"/>
      <c r="R161" s="260"/>
      <c r="S161" s="261"/>
      <c r="T161" s="241"/>
      <c r="U161" s="120"/>
      <c r="V161" s="120"/>
      <c r="W161" s="120"/>
      <c r="X161" s="120"/>
      <c r="Y161" s="120"/>
      <c r="Z161" s="111"/>
      <c r="AA161" s="111"/>
      <c r="AB161" s="181"/>
      <c r="AC161" s="181"/>
      <c r="AD161" s="218"/>
      <c r="AE161" s="218"/>
      <c r="AF161" s="241"/>
      <c r="AG161" s="241"/>
      <c r="AH161" s="352"/>
      <c r="AI161" s="352"/>
      <c r="AJ161" s="352"/>
      <c r="AK161" s="352"/>
      <c r="AL161" s="66"/>
      <c r="AM161" s="260"/>
      <c r="AN161" s="66"/>
      <c r="AO161" s="137"/>
      <c r="AP161" s="137"/>
      <c r="AQ161" s="218"/>
      <c r="AS161" s="364"/>
      <c r="AT161" s="364"/>
      <c r="AU161" s="364"/>
      <c r="AV161" s="364"/>
      <c r="AW161" s="364"/>
      <c r="AX161" s="364"/>
      <c r="AY161" s="364"/>
      <c r="AZ161" s="364"/>
      <c r="BA161" s="364"/>
      <c r="BB161" s="364"/>
      <c r="BC161" s="364"/>
    </row>
    <row r="162" spans="1:60" hidden="1" x14ac:dyDescent="0.2">
      <c r="A162" s="283">
        <v>88</v>
      </c>
      <c r="B162" s="290"/>
      <c r="C162" s="215"/>
      <c r="D162" s="215"/>
      <c r="E162" s="215"/>
      <c r="F162" s="215"/>
      <c r="G162" s="295"/>
      <c r="H162" s="181"/>
      <c r="I162" s="395"/>
      <c r="J162" s="297"/>
      <c r="K162" s="302"/>
      <c r="L162" s="120"/>
      <c r="M162" s="241"/>
      <c r="N162" s="111"/>
      <c r="O162" s="111"/>
      <c r="P162" s="120"/>
      <c r="Q162" s="265"/>
      <c r="R162" s="260"/>
      <c r="S162" s="260"/>
      <c r="T162" s="66"/>
      <c r="U162" s="120"/>
      <c r="V162" s="120"/>
      <c r="W162" s="120"/>
      <c r="X162" s="120"/>
      <c r="Y162" s="120"/>
      <c r="Z162" s="111"/>
      <c r="AA162" s="66"/>
      <c r="AB162" s="181"/>
      <c r="AC162" s="181"/>
      <c r="AD162" s="218"/>
      <c r="AE162" s="218"/>
      <c r="AF162" s="241"/>
      <c r="AG162" s="242"/>
      <c r="AH162" s="353"/>
      <c r="AI162" s="352"/>
      <c r="AJ162" s="352"/>
      <c r="AK162" s="352"/>
      <c r="AL162" s="66"/>
      <c r="AM162" s="260"/>
      <c r="AN162" s="66"/>
      <c r="AO162" s="233"/>
      <c r="AP162" s="233"/>
      <c r="AQ162" s="218"/>
      <c r="AS162" s="364"/>
      <c r="AT162" s="364"/>
      <c r="AU162" s="364"/>
      <c r="AV162" s="364"/>
      <c r="AW162" s="364"/>
      <c r="AX162" s="364"/>
      <c r="AY162" s="364"/>
      <c r="AZ162" s="364"/>
      <c r="BA162" s="364"/>
      <c r="BB162" s="364"/>
      <c r="BC162" s="364"/>
    </row>
    <row r="163" spans="1:60" hidden="1" x14ac:dyDescent="0.2">
      <c r="A163" s="283">
        <v>89</v>
      </c>
      <c r="B163" s="216"/>
      <c r="C163" s="257"/>
      <c r="D163" s="257"/>
      <c r="E163" s="120"/>
      <c r="F163" s="120"/>
      <c r="G163" s="376"/>
      <c r="H163" s="181"/>
      <c r="I163" s="392"/>
      <c r="J163" s="284"/>
      <c r="K163" s="285"/>
      <c r="L163" s="271"/>
      <c r="M163" s="241"/>
      <c r="N163" s="111"/>
      <c r="O163" s="111"/>
      <c r="P163" s="111"/>
      <c r="Q163" s="265"/>
      <c r="R163" s="260"/>
      <c r="S163" s="260"/>
      <c r="T163" s="66"/>
      <c r="U163" s="271"/>
      <c r="V163" s="271"/>
      <c r="W163" s="120"/>
      <c r="X163" s="120"/>
      <c r="Y163" s="271"/>
      <c r="Z163" s="111"/>
      <c r="AA163" s="111"/>
      <c r="AB163" s="218"/>
      <c r="AC163" s="218"/>
      <c r="AD163" s="218"/>
      <c r="AE163" s="218"/>
      <c r="AF163" s="241"/>
      <c r="AG163" s="241"/>
      <c r="AH163" s="353"/>
      <c r="AI163" s="352"/>
      <c r="AJ163" s="352"/>
      <c r="AK163" s="352"/>
      <c r="AL163" s="111"/>
      <c r="AM163" s="260"/>
      <c r="AN163" s="111"/>
      <c r="AO163" s="202"/>
      <c r="AP163" s="202"/>
      <c r="AQ163" s="218"/>
      <c r="AS163" s="364"/>
      <c r="AT163" s="364"/>
      <c r="AU163" s="364"/>
      <c r="AV163" s="364"/>
      <c r="AW163" s="364"/>
      <c r="AX163" s="364"/>
      <c r="AY163" s="364"/>
      <c r="AZ163" s="364"/>
      <c r="BA163" s="364"/>
      <c r="BB163" s="364"/>
      <c r="BC163" s="364"/>
    </row>
    <row r="164" spans="1:60" hidden="1" x14ac:dyDescent="0.2">
      <c r="A164" s="283">
        <v>90</v>
      </c>
      <c r="B164" s="216"/>
      <c r="C164" s="257"/>
      <c r="D164" s="257"/>
      <c r="E164" s="120"/>
      <c r="F164" s="120"/>
      <c r="G164" s="376"/>
      <c r="H164" s="181"/>
      <c r="I164" s="396"/>
      <c r="J164" s="284"/>
      <c r="K164" s="285"/>
      <c r="L164" s="271"/>
      <c r="M164" s="241"/>
      <c r="N164" s="111"/>
      <c r="O164" s="111"/>
      <c r="P164" s="111"/>
      <c r="Q164" s="265"/>
      <c r="R164" s="260"/>
      <c r="S164" s="260"/>
      <c r="T164" s="66"/>
      <c r="U164" s="271"/>
      <c r="V164" s="271"/>
      <c r="W164" s="120"/>
      <c r="X164" s="221"/>
      <c r="Y164" s="271"/>
      <c r="Z164" s="111"/>
      <c r="AA164" s="111"/>
      <c r="AB164" s="218"/>
      <c r="AC164" s="218"/>
      <c r="AD164" s="218"/>
      <c r="AE164" s="218"/>
      <c r="AF164" s="241"/>
      <c r="AG164" s="241"/>
      <c r="AH164" s="353"/>
      <c r="AI164" s="352"/>
      <c r="AJ164" s="352"/>
      <c r="AK164" s="352"/>
      <c r="AL164" s="111"/>
      <c r="AM164" s="260"/>
      <c r="AN164" s="111"/>
      <c r="AO164" s="202"/>
      <c r="AP164" s="202"/>
      <c r="AQ164" s="218"/>
      <c r="AS164" s="364"/>
      <c r="AT164" s="364"/>
      <c r="AU164" s="364"/>
      <c r="AV164" s="364"/>
      <c r="AW164" s="364"/>
      <c r="AX164" s="364"/>
      <c r="AY164" s="364"/>
      <c r="AZ164" s="364"/>
      <c r="BA164" s="364"/>
      <c r="BB164" s="364"/>
      <c r="BC164" s="364"/>
    </row>
    <row r="165" spans="1:60" s="39" customFormat="1" ht="26" hidden="1" customHeight="1" x14ac:dyDescent="0.2">
      <c r="A165" s="283">
        <v>91</v>
      </c>
      <c r="B165" s="310"/>
      <c r="C165" s="218"/>
      <c r="D165" s="291"/>
      <c r="E165" s="120"/>
      <c r="F165" s="120"/>
      <c r="G165" s="377"/>
      <c r="H165" s="301"/>
      <c r="I165" s="396"/>
      <c r="J165" s="311"/>
      <c r="K165" s="312"/>
      <c r="L165" s="218"/>
      <c r="M165" s="241"/>
      <c r="N165" s="111"/>
      <c r="O165" s="111"/>
      <c r="P165" s="111"/>
      <c r="Q165" s="265"/>
      <c r="R165" s="260"/>
      <c r="S165" s="260"/>
      <c r="T165" s="66"/>
      <c r="U165" s="111"/>
      <c r="V165" s="218"/>
      <c r="W165" s="120"/>
      <c r="X165" s="181"/>
      <c r="Y165" s="218"/>
      <c r="Z165" s="111"/>
      <c r="AA165" s="111"/>
      <c r="AB165" s="218"/>
      <c r="AC165" s="218"/>
      <c r="AD165" s="218"/>
      <c r="AE165" s="218"/>
      <c r="AF165" s="241"/>
      <c r="AG165" s="241"/>
      <c r="AH165" s="353"/>
      <c r="AI165" s="352"/>
      <c r="AJ165" s="352"/>
      <c r="AK165" s="352"/>
      <c r="AL165" s="218"/>
      <c r="AM165" s="218"/>
      <c r="AN165" s="218"/>
      <c r="AO165" s="218"/>
      <c r="AP165" s="218"/>
      <c r="AQ165" s="218"/>
      <c r="AS165" s="141"/>
      <c r="AT165" s="141"/>
      <c r="AU165" s="141"/>
      <c r="AV165" s="141"/>
      <c r="AW165" s="141"/>
      <c r="AX165" s="141"/>
      <c r="AY165" s="141"/>
      <c r="AZ165" s="141"/>
      <c r="BA165" s="141"/>
      <c r="BB165" s="141"/>
      <c r="BC165" s="141"/>
    </row>
    <row r="166" spans="1:60" hidden="1" x14ac:dyDescent="0.2">
      <c r="A166" s="283">
        <v>92</v>
      </c>
      <c r="B166" s="290"/>
      <c r="C166" s="215"/>
      <c r="D166" s="215"/>
      <c r="E166" s="215"/>
      <c r="F166" s="120"/>
      <c r="G166" s="295"/>
      <c r="H166" s="181"/>
      <c r="I166" s="395"/>
      <c r="J166" s="297"/>
      <c r="K166" s="302"/>
      <c r="L166" s="120"/>
      <c r="M166" s="241"/>
      <c r="N166" s="111"/>
      <c r="O166" s="111"/>
      <c r="P166" s="120"/>
      <c r="Q166" s="265"/>
      <c r="R166" s="260"/>
      <c r="S166" s="260"/>
      <c r="T166" s="242"/>
      <c r="U166" s="120"/>
      <c r="V166" s="120"/>
      <c r="W166" s="120"/>
      <c r="X166" s="120"/>
      <c r="Y166" s="120"/>
      <c r="Z166" s="111"/>
      <c r="AA166" s="66"/>
      <c r="AB166" s="181"/>
      <c r="AC166" s="181"/>
      <c r="AD166" s="218"/>
      <c r="AE166" s="218"/>
      <c r="AF166" s="241"/>
      <c r="AG166" s="242"/>
      <c r="AH166" s="353"/>
      <c r="AI166" s="352"/>
      <c r="AJ166" s="352"/>
      <c r="AK166" s="352"/>
      <c r="AL166" s="66"/>
      <c r="AM166" s="260"/>
      <c r="AN166" s="66"/>
      <c r="AO166" s="137"/>
      <c r="AP166" s="137"/>
      <c r="AQ166" s="218"/>
      <c r="AS166" s="364"/>
      <c r="AT166" s="364"/>
      <c r="AU166" s="364"/>
      <c r="AV166" s="364"/>
      <c r="AW166" s="364"/>
      <c r="AX166" s="364"/>
      <c r="AY166" s="364"/>
      <c r="AZ166" s="364"/>
      <c r="BA166" s="364"/>
      <c r="BB166" s="364"/>
      <c r="BC166" s="364"/>
    </row>
    <row r="167" spans="1:60" hidden="1" x14ac:dyDescent="0.2">
      <c r="A167" s="283">
        <v>93</v>
      </c>
      <c r="B167" s="290"/>
      <c r="C167" s="215"/>
      <c r="D167" s="215"/>
      <c r="E167" s="215"/>
      <c r="F167" s="120"/>
      <c r="G167" s="295"/>
      <c r="H167" s="181"/>
      <c r="I167" s="395"/>
      <c r="J167" s="297"/>
      <c r="K167" s="302"/>
      <c r="L167" s="120"/>
      <c r="M167" s="241"/>
      <c r="N167" s="111"/>
      <c r="O167" s="111"/>
      <c r="P167" s="120"/>
      <c r="Q167" s="263"/>
      <c r="R167" s="260"/>
      <c r="S167" s="260"/>
      <c r="T167" s="242"/>
      <c r="U167" s="120"/>
      <c r="V167" s="120"/>
      <c r="W167" s="120"/>
      <c r="X167" s="120"/>
      <c r="Y167" s="120"/>
      <c r="Z167" s="111"/>
      <c r="AA167" s="66"/>
      <c r="AB167" s="181"/>
      <c r="AC167" s="181"/>
      <c r="AD167" s="218"/>
      <c r="AE167" s="218"/>
      <c r="AF167" s="241"/>
      <c r="AG167" s="242"/>
      <c r="AH167" s="353"/>
      <c r="AI167" s="352"/>
      <c r="AJ167" s="352"/>
      <c r="AK167" s="352"/>
      <c r="AL167" s="66"/>
      <c r="AM167" s="260"/>
      <c r="AN167" s="66"/>
      <c r="AO167" s="137"/>
      <c r="AP167" s="137"/>
      <c r="AQ167" s="218"/>
      <c r="AS167" s="364"/>
      <c r="AT167" s="364"/>
      <c r="AU167" s="364"/>
      <c r="AV167" s="364"/>
      <c r="AW167" s="364"/>
      <c r="AX167" s="364"/>
      <c r="AY167" s="364"/>
      <c r="AZ167" s="364"/>
      <c r="BA167" s="364"/>
      <c r="BB167" s="364"/>
      <c r="BC167" s="364"/>
    </row>
    <row r="168" spans="1:60" hidden="1" x14ac:dyDescent="0.2">
      <c r="A168" s="283">
        <v>94</v>
      </c>
      <c r="B168" s="290"/>
      <c r="C168" s="215"/>
      <c r="D168" s="215"/>
      <c r="E168" s="215"/>
      <c r="F168" s="120"/>
      <c r="G168" s="295"/>
      <c r="H168" s="301"/>
      <c r="I168" s="395"/>
      <c r="J168" s="308"/>
      <c r="K168" s="309"/>
      <c r="L168" s="120"/>
      <c r="M168" s="241"/>
      <c r="N168" s="111"/>
      <c r="O168" s="111"/>
      <c r="P168" s="120"/>
      <c r="Q168" s="265"/>
      <c r="R168" s="260"/>
      <c r="S168" s="261"/>
      <c r="T168" s="66"/>
      <c r="U168" s="120"/>
      <c r="V168" s="120"/>
      <c r="W168" s="120"/>
      <c r="X168" s="120"/>
      <c r="Y168" s="120"/>
      <c r="Z168" s="111"/>
      <c r="AA168" s="111"/>
      <c r="AB168" s="181"/>
      <c r="AC168" s="181"/>
      <c r="AD168" s="218"/>
      <c r="AE168" s="218"/>
      <c r="AF168" s="241"/>
      <c r="AG168" s="242"/>
      <c r="AH168" s="352"/>
      <c r="AI168" s="352"/>
      <c r="AJ168" s="352"/>
      <c r="AK168" s="352"/>
      <c r="AL168" s="66"/>
      <c r="AM168" s="260"/>
      <c r="AN168" s="66"/>
      <c r="AO168" s="137"/>
      <c r="AP168" s="137"/>
      <c r="AQ168" s="218"/>
      <c r="AS168" s="364"/>
      <c r="AT168" s="364"/>
      <c r="AU168" s="364"/>
      <c r="AV168" s="364"/>
      <c r="AW168" s="364"/>
      <c r="AX168" s="364"/>
      <c r="AY168" s="364"/>
      <c r="AZ168" s="364"/>
      <c r="BA168" s="364"/>
      <c r="BB168" s="364"/>
      <c r="BC168" s="364"/>
    </row>
    <row r="169" spans="1:60" hidden="1" x14ac:dyDescent="0.2">
      <c r="A169" s="283">
        <v>95</v>
      </c>
      <c r="B169" s="290"/>
      <c r="C169" s="215"/>
      <c r="D169" s="215"/>
      <c r="E169" s="215"/>
      <c r="F169" s="120"/>
      <c r="G169" s="295"/>
      <c r="H169" s="301"/>
      <c r="I169" s="395"/>
      <c r="J169" s="297"/>
      <c r="K169" s="302"/>
      <c r="L169" s="120"/>
      <c r="M169" s="241"/>
      <c r="N169" s="66"/>
      <c r="O169" s="111"/>
      <c r="P169" s="120"/>
      <c r="Q169" s="242"/>
      <c r="R169" s="260"/>
      <c r="S169" s="260"/>
      <c r="T169" s="242"/>
      <c r="U169" s="120"/>
      <c r="V169" s="120"/>
      <c r="W169" s="120"/>
      <c r="X169" s="120"/>
      <c r="Y169" s="120"/>
      <c r="Z169" s="111"/>
      <c r="AA169" s="66"/>
      <c r="AB169" s="181"/>
      <c r="AC169" s="181"/>
      <c r="AD169" s="218"/>
      <c r="AE169" s="218"/>
      <c r="AF169" s="241"/>
      <c r="AG169" s="242"/>
      <c r="AH169" s="353"/>
      <c r="AI169" s="353"/>
      <c r="AJ169" s="353"/>
      <c r="AK169" s="353"/>
      <c r="AL169" s="66"/>
      <c r="AM169" s="260"/>
      <c r="AN169" s="66"/>
      <c r="AO169" s="137"/>
      <c r="AP169" s="137"/>
      <c r="AQ169" s="218"/>
      <c r="AS169" s="364"/>
      <c r="AT169" s="364"/>
      <c r="AU169" s="364"/>
      <c r="AV169" s="364"/>
      <c r="AW169" s="364"/>
      <c r="AX169" s="364"/>
      <c r="AY169" s="364"/>
      <c r="AZ169" s="364"/>
      <c r="BA169" s="364"/>
      <c r="BB169" s="364"/>
      <c r="BC169" s="364"/>
    </row>
    <row r="170" spans="1:60" hidden="1" x14ac:dyDescent="0.2">
      <c r="A170" s="283">
        <v>96</v>
      </c>
      <c r="B170" s="290"/>
      <c r="C170" s="215"/>
      <c r="D170" s="215"/>
      <c r="E170" s="215"/>
      <c r="F170" s="120"/>
      <c r="G170" s="295"/>
      <c r="H170" s="301"/>
      <c r="I170" s="395"/>
      <c r="J170" s="284"/>
      <c r="K170" s="285"/>
      <c r="L170" s="120"/>
      <c r="M170" s="241"/>
      <c r="N170" s="66"/>
      <c r="O170" s="111"/>
      <c r="P170" s="120"/>
      <c r="Q170" s="263"/>
      <c r="R170" s="260"/>
      <c r="S170" s="260"/>
      <c r="T170" s="66"/>
      <c r="U170" s="120"/>
      <c r="V170" s="120"/>
      <c r="W170" s="120"/>
      <c r="X170" s="120"/>
      <c r="Y170" s="120"/>
      <c r="Z170" s="111"/>
      <c r="AA170" s="66"/>
      <c r="AB170" s="181"/>
      <c r="AC170" s="181"/>
      <c r="AD170" s="218"/>
      <c r="AE170" s="218"/>
      <c r="AF170" s="241"/>
      <c r="AG170" s="242"/>
      <c r="AH170" s="353"/>
      <c r="AI170" s="353"/>
      <c r="AJ170" s="353"/>
      <c r="AK170" s="353"/>
      <c r="AL170" s="66"/>
      <c r="AM170" s="260"/>
      <c r="AN170" s="66"/>
      <c r="AO170" s="137"/>
      <c r="AP170" s="137"/>
      <c r="AQ170" s="218"/>
      <c r="AS170" s="364"/>
      <c r="AT170" s="364"/>
      <c r="AU170" s="364"/>
      <c r="AV170" s="364"/>
      <c r="AW170" s="364"/>
      <c r="AX170" s="364"/>
      <c r="AY170" s="364"/>
      <c r="AZ170" s="364"/>
      <c r="BA170" s="364"/>
      <c r="BB170" s="364"/>
      <c r="BC170" s="364"/>
    </row>
    <row r="171" spans="1:60" hidden="1" x14ac:dyDescent="0.2">
      <c r="A171" s="283">
        <v>97</v>
      </c>
      <c r="B171" s="290"/>
      <c r="C171" s="215"/>
      <c r="D171" s="215"/>
      <c r="E171" s="215"/>
      <c r="F171" s="120"/>
      <c r="G171" s="295"/>
      <c r="H171" s="181"/>
      <c r="I171" s="395"/>
      <c r="J171" s="284"/>
      <c r="K171" s="285"/>
      <c r="L171" s="120"/>
      <c r="M171" s="241"/>
      <c r="N171" s="66"/>
      <c r="O171" s="111"/>
      <c r="P171" s="120"/>
      <c r="Q171" s="263"/>
      <c r="R171" s="260"/>
      <c r="S171" s="260"/>
      <c r="T171" s="242"/>
      <c r="U171" s="120"/>
      <c r="V171" s="120"/>
      <c r="W171" s="120"/>
      <c r="X171" s="120"/>
      <c r="Y171" s="120"/>
      <c r="Z171" s="111"/>
      <c r="AA171" s="66"/>
      <c r="AB171" s="181"/>
      <c r="AC171" s="181"/>
      <c r="AD171" s="218"/>
      <c r="AE171" s="218"/>
      <c r="AF171" s="241"/>
      <c r="AG171" s="242"/>
      <c r="AH171" s="353"/>
      <c r="AI171" s="353"/>
      <c r="AJ171" s="353"/>
      <c r="AK171" s="353"/>
      <c r="AL171" s="66"/>
      <c r="AM171" s="260"/>
      <c r="AN171" s="66"/>
      <c r="AO171" s="233"/>
      <c r="AP171" s="233"/>
      <c r="AQ171" s="218"/>
      <c r="AS171" s="364"/>
      <c r="AT171" s="364"/>
      <c r="AU171" s="364"/>
      <c r="AV171" s="364"/>
      <c r="AW171" s="364"/>
      <c r="AX171" s="364"/>
      <c r="AY171" s="364"/>
      <c r="AZ171" s="364"/>
      <c r="BA171" s="364"/>
      <c r="BB171" s="364"/>
      <c r="BC171" s="364"/>
    </row>
    <row r="172" spans="1:60" hidden="1" x14ac:dyDescent="0.2">
      <c r="A172" s="283">
        <v>98</v>
      </c>
      <c r="B172" s="290"/>
      <c r="C172" s="120"/>
      <c r="D172" s="215"/>
      <c r="E172" s="120"/>
      <c r="F172" s="120"/>
      <c r="G172" s="295"/>
      <c r="H172" s="181"/>
      <c r="I172" s="395"/>
      <c r="J172" s="284"/>
      <c r="K172" s="285"/>
      <c r="L172" s="120"/>
      <c r="M172" s="241"/>
      <c r="N172" s="66"/>
      <c r="O172" s="111"/>
      <c r="P172" s="111"/>
      <c r="Q172" s="263"/>
      <c r="R172" s="260"/>
      <c r="S172" s="260"/>
      <c r="T172" s="242"/>
      <c r="U172" s="120"/>
      <c r="V172" s="120"/>
      <c r="W172" s="120"/>
      <c r="X172" s="181"/>
      <c r="Y172" s="120"/>
      <c r="Z172" s="111"/>
      <c r="AA172" s="66"/>
      <c r="AB172" s="181"/>
      <c r="AC172" s="181"/>
      <c r="AD172" s="218"/>
      <c r="AE172" s="218"/>
      <c r="AF172" s="241"/>
      <c r="AG172" s="242"/>
      <c r="AH172" s="353"/>
      <c r="AI172" s="353"/>
      <c r="AJ172" s="353"/>
      <c r="AK172" s="353"/>
      <c r="AL172" s="66"/>
      <c r="AM172" s="260"/>
      <c r="AN172" s="66"/>
      <c r="AO172" s="138"/>
      <c r="AP172" s="138"/>
      <c r="AQ172" s="218"/>
      <c r="AS172" s="364"/>
      <c r="AT172" s="364"/>
      <c r="AU172" s="364"/>
      <c r="AV172" s="364"/>
      <c r="AW172" s="364"/>
      <c r="AX172" s="364"/>
      <c r="AY172" s="364"/>
      <c r="AZ172" s="364"/>
      <c r="BA172" s="364"/>
      <c r="BB172" s="364"/>
      <c r="BC172" s="364"/>
    </row>
    <row r="173" spans="1:60" hidden="1" x14ac:dyDescent="0.2">
      <c r="A173" s="283">
        <v>99</v>
      </c>
      <c r="B173" s="290"/>
      <c r="C173" s="120"/>
      <c r="D173" s="215"/>
      <c r="E173" s="120"/>
      <c r="F173" s="120"/>
      <c r="G173" s="295"/>
      <c r="H173" s="181"/>
      <c r="I173" s="392"/>
      <c r="J173" s="284"/>
      <c r="K173" s="285"/>
      <c r="L173" s="120"/>
      <c r="M173" s="241"/>
      <c r="N173" s="66"/>
      <c r="O173" s="111"/>
      <c r="P173" s="111"/>
      <c r="Q173" s="263"/>
      <c r="R173" s="260"/>
      <c r="S173" s="260"/>
      <c r="T173" s="242"/>
      <c r="U173" s="120"/>
      <c r="V173" s="120"/>
      <c r="W173" s="41"/>
      <c r="X173" s="120"/>
      <c r="Y173" s="120"/>
      <c r="Z173" s="111"/>
      <c r="AA173" s="66"/>
      <c r="AB173" s="181"/>
      <c r="AC173" s="181"/>
      <c r="AD173" s="218"/>
      <c r="AE173" s="218"/>
      <c r="AF173" s="241"/>
      <c r="AG173" s="242"/>
      <c r="AH173" s="353"/>
      <c r="AI173" s="353"/>
      <c r="AJ173" s="353"/>
      <c r="AK173" s="353"/>
      <c r="AL173" s="66"/>
      <c r="AM173" s="260"/>
      <c r="AN173" s="66"/>
      <c r="AO173" s="138"/>
      <c r="AP173" s="138"/>
      <c r="AQ173" s="218"/>
      <c r="AS173" s="364"/>
      <c r="AT173" s="364"/>
      <c r="AU173" s="364"/>
      <c r="AV173" s="364"/>
      <c r="AW173" s="364"/>
      <c r="AX173" s="364"/>
      <c r="AY173" s="364"/>
      <c r="AZ173" s="364"/>
      <c r="BA173" s="364"/>
      <c r="BB173" s="364"/>
      <c r="BC173" s="364"/>
    </row>
    <row r="174" spans="1:60" hidden="1" x14ac:dyDescent="0.2">
      <c r="A174" s="283">
        <v>100</v>
      </c>
      <c r="B174" s="290"/>
      <c r="C174" s="215"/>
      <c r="D174" s="215"/>
      <c r="E174" s="215"/>
      <c r="F174" s="120"/>
      <c r="G174" s="295"/>
      <c r="H174" s="181"/>
      <c r="I174" s="395"/>
      <c r="J174" s="284"/>
      <c r="K174" s="285"/>
      <c r="L174" s="120"/>
      <c r="M174" s="241"/>
      <c r="N174" s="66"/>
      <c r="O174" s="111"/>
      <c r="P174" s="120"/>
      <c r="Q174" s="263"/>
      <c r="R174" s="260"/>
      <c r="S174" s="260"/>
      <c r="T174" s="66"/>
      <c r="U174" s="120"/>
      <c r="V174" s="120"/>
      <c r="W174" s="120"/>
      <c r="X174" s="120"/>
      <c r="Y174" s="120"/>
      <c r="Z174" s="111"/>
      <c r="AA174" s="66"/>
      <c r="AB174" s="181"/>
      <c r="AC174" s="181"/>
      <c r="AD174" s="218"/>
      <c r="AE174" s="218"/>
      <c r="AF174" s="241"/>
      <c r="AG174" s="242"/>
      <c r="AH174" s="353"/>
      <c r="AI174" s="353"/>
      <c r="AJ174" s="353"/>
      <c r="AK174" s="353"/>
      <c r="AL174" s="66"/>
      <c r="AM174" s="260"/>
      <c r="AN174" s="66"/>
      <c r="AO174" s="137"/>
      <c r="AP174" s="137"/>
      <c r="AQ174" s="218"/>
      <c r="AS174" s="364"/>
      <c r="AT174" s="364"/>
      <c r="AU174" s="364"/>
      <c r="AV174" s="364"/>
      <c r="AW174" s="364"/>
      <c r="AX174" s="364"/>
      <c r="AY174" s="364"/>
      <c r="AZ174" s="364"/>
      <c r="BA174" s="364"/>
      <c r="BB174" s="364"/>
      <c r="BC174" s="364"/>
    </row>
    <row r="175" spans="1:60" hidden="1" x14ac:dyDescent="0.2">
      <c r="A175" s="283">
        <v>101</v>
      </c>
      <c r="B175" s="290"/>
      <c r="C175" s="215"/>
      <c r="D175" s="215"/>
      <c r="E175" s="215"/>
      <c r="F175" s="120"/>
      <c r="G175" s="295"/>
      <c r="H175" s="181"/>
      <c r="I175" s="395"/>
      <c r="J175" s="284"/>
      <c r="K175" s="285"/>
      <c r="L175" s="120"/>
      <c r="M175" s="241"/>
      <c r="N175" s="66"/>
      <c r="O175" s="111"/>
      <c r="P175" s="120"/>
      <c r="Q175" s="263"/>
      <c r="R175" s="260"/>
      <c r="S175" s="260"/>
      <c r="T175" s="66"/>
      <c r="U175" s="120"/>
      <c r="V175" s="120"/>
      <c r="W175" s="120"/>
      <c r="X175" s="120"/>
      <c r="Y175" s="120"/>
      <c r="Z175" s="111"/>
      <c r="AA175" s="66"/>
      <c r="AB175" s="181"/>
      <c r="AC175" s="181"/>
      <c r="AD175" s="218"/>
      <c r="AE175" s="218"/>
      <c r="AF175" s="241"/>
      <c r="AG175" s="242"/>
      <c r="AH175" s="353"/>
      <c r="AI175" s="353"/>
      <c r="AJ175" s="353"/>
      <c r="AK175" s="353"/>
      <c r="AL175" s="66"/>
      <c r="AM175" s="260"/>
      <c r="AN175" s="66"/>
      <c r="AO175" s="137"/>
      <c r="AP175" s="137"/>
      <c r="AQ175" s="218"/>
      <c r="AS175" s="364"/>
      <c r="AT175" s="364"/>
      <c r="AU175" s="364"/>
      <c r="AV175" s="364"/>
      <c r="AW175" s="364"/>
      <c r="AX175" s="364"/>
      <c r="AY175" s="364"/>
      <c r="AZ175" s="364"/>
      <c r="BA175" s="364"/>
      <c r="BB175" s="364"/>
      <c r="BC175" s="364"/>
    </row>
    <row r="176" spans="1:60" s="82" customFormat="1" hidden="1" x14ac:dyDescent="0.2">
      <c r="A176" s="283">
        <v>102</v>
      </c>
      <c r="B176" s="290"/>
      <c r="C176" s="215"/>
      <c r="D176" s="215"/>
      <c r="E176" s="215"/>
      <c r="F176" s="120"/>
      <c r="G176" s="295"/>
      <c r="H176" s="181"/>
      <c r="I176" s="395"/>
      <c r="J176" s="284"/>
      <c r="K176" s="313"/>
      <c r="L176" s="120"/>
      <c r="M176" s="241"/>
      <c r="N176" s="66"/>
      <c r="O176" s="111"/>
      <c r="P176" s="120"/>
      <c r="Q176" s="263"/>
      <c r="R176" s="260"/>
      <c r="S176" s="260"/>
      <c r="T176" s="66"/>
      <c r="U176" s="120"/>
      <c r="V176" s="120"/>
      <c r="W176" s="120"/>
      <c r="X176" s="120"/>
      <c r="Y176" s="120"/>
      <c r="Z176" s="111"/>
      <c r="AA176" s="66"/>
      <c r="AB176" s="181"/>
      <c r="AC176" s="181"/>
      <c r="AD176" s="218"/>
      <c r="AE176" s="218"/>
      <c r="AF176" s="241"/>
      <c r="AG176" s="242"/>
      <c r="AH176" s="353"/>
      <c r="AI176" s="353"/>
      <c r="AJ176" s="353"/>
      <c r="AK176" s="353"/>
      <c r="AL176" s="66"/>
      <c r="AM176" s="260"/>
      <c r="AN176" s="66"/>
      <c r="AO176" s="233"/>
      <c r="AP176" s="233"/>
      <c r="AQ176" s="218"/>
      <c r="AS176" s="364"/>
      <c r="AT176" s="364"/>
      <c r="AU176" s="364"/>
      <c r="AV176" s="364"/>
      <c r="AW176" s="364"/>
      <c r="AX176" s="364"/>
      <c r="AY176" s="364"/>
      <c r="AZ176" s="364"/>
      <c r="BA176" s="364"/>
      <c r="BB176" s="364"/>
      <c r="BC176" s="364"/>
      <c r="BH176" s="98"/>
    </row>
    <row r="177" spans="1:60" s="82" customFormat="1" hidden="1" x14ac:dyDescent="0.2">
      <c r="A177" s="283">
        <v>103</v>
      </c>
      <c r="B177" s="290"/>
      <c r="C177" s="215"/>
      <c r="D177" s="215"/>
      <c r="E177" s="215"/>
      <c r="F177" s="120"/>
      <c r="G177" s="295"/>
      <c r="H177" s="181"/>
      <c r="I177" s="395"/>
      <c r="J177" s="284"/>
      <c r="K177" s="313"/>
      <c r="L177" s="120"/>
      <c r="M177" s="241"/>
      <c r="N177" s="66"/>
      <c r="O177" s="111"/>
      <c r="P177" s="111"/>
      <c r="Q177" s="263"/>
      <c r="R177" s="260"/>
      <c r="S177" s="260"/>
      <c r="T177" s="242"/>
      <c r="U177" s="120"/>
      <c r="V177" s="120"/>
      <c r="W177" s="120"/>
      <c r="X177" s="120"/>
      <c r="Y177" s="120"/>
      <c r="Z177" s="111"/>
      <c r="AA177" s="66"/>
      <c r="AB177" s="181"/>
      <c r="AC177" s="181"/>
      <c r="AD177" s="218"/>
      <c r="AE177" s="218"/>
      <c r="AF177" s="241"/>
      <c r="AG177" s="242"/>
      <c r="AH177" s="353"/>
      <c r="AI177" s="353"/>
      <c r="AJ177" s="353"/>
      <c r="AK177" s="353"/>
      <c r="AL177" s="66"/>
      <c r="AM177" s="260"/>
      <c r="AN177" s="66"/>
      <c r="AO177" s="138"/>
      <c r="AP177" s="138"/>
      <c r="AQ177" s="218"/>
      <c r="AS177" s="364"/>
      <c r="AT177" s="364"/>
      <c r="AU177" s="364"/>
      <c r="AV177" s="364"/>
      <c r="AW177" s="364"/>
      <c r="AX177" s="364"/>
      <c r="AY177" s="364"/>
      <c r="AZ177" s="364"/>
      <c r="BA177" s="364"/>
      <c r="BB177" s="364"/>
      <c r="BC177" s="364"/>
      <c r="BH177" s="98"/>
    </row>
    <row r="178" spans="1:60" hidden="1" x14ac:dyDescent="0.2">
      <c r="A178" s="283">
        <v>104</v>
      </c>
      <c r="B178" s="314"/>
      <c r="C178" s="183"/>
      <c r="D178" s="183"/>
      <c r="E178" s="183"/>
      <c r="F178" s="120"/>
      <c r="G178" s="378"/>
      <c r="H178" s="181"/>
      <c r="I178" s="395"/>
      <c r="J178" s="284"/>
      <c r="K178" s="313"/>
      <c r="L178" s="303"/>
      <c r="M178" s="241"/>
      <c r="N178" s="66"/>
      <c r="O178" s="111"/>
      <c r="P178" s="111"/>
      <c r="Q178" s="263"/>
      <c r="R178" s="260"/>
      <c r="S178" s="260"/>
      <c r="T178" s="242"/>
      <c r="U178" s="120"/>
      <c r="V178" s="120"/>
      <c r="W178" s="215"/>
      <c r="X178" s="215"/>
      <c r="Y178" s="215"/>
      <c r="Z178" s="111"/>
      <c r="AA178" s="66"/>
      <c r="AB178" s="181"/>
      <c r="AC178" s="181"/>
      <c r="AD178" s="181"/>
      <c r="AE178" s="218"/>
      <c r="AF178" s="241"/>
      <c r="AG178" s="242"/>
      <c r="AH178" s="353"/>
      <c r="AI178" s="353"/>
      <c r="AJ178" s="353"/>
      <c r="AK178" s="353"/>
      <c r="AL178" s="66"/>
      <c r="AM178" s="260"/>
      <c r="AN178" s="66"/>
      <c r="AO178" s="138"/>
      <c r="AP178" s="138"/>
      <c r="AQ178" s="181"/>
      <c r="AS178" s="364"/>
      <c r="AT178" s="364"/>
      <c r="AU178" s="364"/>
      <c r="AV178" s="364"/>
      <c r="AW178" s="364"/>
      <c r="AX178" s="364"/>
      <c r="AY178" s="364"/>
      <c r="AZ178" s="364"/>
      <c r="BA178" s="364"/>
      <c r="BB178" s="364"/>
      <c r="BC178" s="364"/>
    </row>
    <row r="179" spans="1:60" hidden="1" x14ac:dyDescent="0.2">
      <c r="A179" s="283">
        <v>105</v>
      </c>
      <c r="B179" s="290"/>
      <c r="C179" s="183"/>
      <c r="D179" s="183"/>
      <c r="E179" s="183"/>
      <c r="F179" s="120"/>
      <c r="G179" s="378"/>
      <c r="H179" s="181"/>
      <c r="I179" s="395"/>
      <c r="J179" s="284"/>
      <c r="K179" s="313"/>
      <c r="L179" s="303"/>
      <c r="M179" s="241"/>
      <c r="N179" s="66"/>
      <c r="O179" s="111"/>
      <c r="P179" s="111"/>
      <c r="Q179" s="263"/>
      <c r="R179" s="260"/>
      <c r="S179" s="260"/>
      <c r="T179" s="66"/>
      <c r="U179" s="120"/>
      <c r="V179" s="120"/>
      <c r="W179" s="120"/>
      <c r="X179" s="215"/>
      <c r="Y179" s="215"/>
      <c r="Z179" s="111"/>
      <c r="AA179" s="66"/>
      <c r="AB179" s="181"/>
      <c r="AC179" s="181"/>
      <c r="AD179" s="181"/>
      <c r="AE179" s="218"/>
      <c r="AF179" s="241"/>
      <c r="AG179" s="242"/>
      <c r="AH179" s="353"/>
      <c r="AI179" s="353"/>
      <c r="AJ179" s="353"/>
      <c r="AK179" s="353"/>
      <c r="AL179" s="66"/>
      <c r="AM179" s="260"/>
      <c r="AN179" s="66"/>
      <c r="AO179" s="233"/>
      <c r="AP179" s="233"/>
      <c r="AQ179" s="181"/>
      <c r="AS179" s="364"/>
      <c r="AT179" s="364"/>
      <c r="AU179" s="364"/>
      <c r="AV179" s="364"/>
      <c r="AW179" s="364"/>
      <c r="AX179" s="364"/>
      <c r="AY179" s="364"/>
      <c r="AZ179" s="364"/>
      <c r="BA179" s="364"/>
      <c r="BB179" s="364"/>
      <c r="BC179" s="364"/>
    </row>
    <row r="180" spans="1:60" hidden="1" x14ac:dyDescent="0.2">
      <c r="A180" s="283">
        <v>106</v>
      </c>
      <c r="B180" s="290"/>
      <c r="C180" s="183"/>
      <c r="D180" s="183"/>
      <c r="E180" s="183"/>
      <c r="F180" s="120"/>
      <c r="G180" s="378"/>
      <c r="H180" s="181"/>
      <c r="I180" s="395"/>
      <c r="J180" s="284"/>
      <c r="K180" s="313"/>
      <c r="L180" s="303"/>
      <c r="M180" s="241"/>
      <c r="N180" s="66"/>
      <c r="O180" s="111"/>
      <c r="P180" s="111"/>
      <c r="Q180" s="263"/>
      <c r="R180" s="260"/>
      <c r="S180" s="260"/>
      <c r="T180" s="242"/>
      <c r="U180" s="120"/>
      <c r="V180" s="120"/>
      <c r="W180" s="120"/>
      <c r="X180" s="215"/>
      <c r="Y180" s="215"/>
      <c r="Z180" s="111"/>
      <c r="AA180" s="66"/>
      <c r="AB180" s="181"/>
      <c r="AC180" s="181"/>
      <c r="AD180" s="181"/>
      <c r="AE180" s="218"/>
      <c r="AF180" s="241"/>
      <c r="AG180" s="242"/>
      <c r="AH180" s="353"/>
      <c r="AI180" s="353"/>
      <c r="AJ180" s="353"/>
      <c r="AK180" s="353"/>
      <c r="AL180" s="66"/>
      <c r="AM180" s="260"/>
      <c r="AN180" s="66"/>
      <c r="AO180" s="138"/>
      <c r="AP180" s="138"/>
      <c r="AQ180" s="181"/>
      <c r="AS180" s="364"/>
      <c r="AT180" s="364"/>
      <c r="AU180" s="364"/>
      <c r="AV180" s="364"/>
      <c r="AW180" s="364"/>
      <c r="AX180" s="364"/>
      <c r="AY180" s="364"/>
      <c r="AZ180" s="364"/>
      <c r="BA180" s="364"/>
      <c r="BB180" s="364"/>
      <c r="BC180" s="364"/>
    </row>
    <row r="181" spans="1:60" hidden="1" x14ac:dyDescent="0.2">
      <c r="A181" s="283">
        <v>107</v>
      </c>
      <c r="B181" s="290"/>
      <c r="C181" s="183"/>
      <c r="D181" s="183"/>
      <c r="E181" s="215"/>
      <c r="F181" s="120"/>
      <c r="G181" s="378"/>
      <c r="H181" s="181"/>
      <c r="I181" s="395"/>
      <c r="J181" s="284"/>
      <c r="K181" s="313"/>
      <c r="L181" s="303"/>
      <c r="M181" s="241"/>
      <c r="N181" s="66"/>
      <c r="O181" s="111"/>
      <c r="P181" s="111"/>
      <c r="Q181" s="263"/>
      <c r="R181" s="260"/>
      <c r="S181" s="260"/>
      <c r="T181" s="242"/>
      <c r="U181" s="242"/>
      <c r="V181" s="181"/>
      <c r="W181" s="111"/>
      <c r="X181" s="120"/>
      <c r="Y181" s="120"/>
      <c r="Z181" s="111"/>
      <c r="AA181" s="215"/>
      <c r="AB181" s="111"/>
      <c r="AC181" s="111"/>
      <c r="AD181" s="111"/>
      <c r="AE181" s="111"/>
      <c r="AF181" s="241"/>
      <c r="AG181" s="242"/>
      <c r="AH181" s="353"/>
      <c r="AI181" s="353"/>
      <c r="AJ181" s="353"/>
      <c r="AK181" s="353"/>
      <c r="AL181" s="260"/>
      <c r="AM181" s="260"/>
      <c r="AN181" s="260"/>
      <c r="AO181" s="260"/>
      <c r="AP181" s="260"/>
      <c r="AQ181" s="111"/>
      <c r="AS181" s="364"/>
      <c r="AT181" s="364"/>
      <c r="AU181" s="364"/>
      <c r="AV181" s="364"/>
      <c r="AW181" s="364"/>
      <c r="AX181" s="364"/>
      <c r="AY181" s="364"/>
      <c r="AZ181" s="364"/>
      <c r="BA181" s="364"/>
      <c r="BB181" s="364"/>
      <c r="BC181" s="364"/>
    </row>
    <row r="182" spans="1:60" ht="41.25" hidden="1" customHeight="1" x14ac:dyDescent="0.2">
      <c r="A182" s="283">
        <v>108</v>
      </c>
      <c r="B182" s="290"/>
      <c r="C182" s="183"/>
      <c r="D182" s="183"/>
      <c r="E182" s="183"/>
      <c r="F182" s="120"/>
      <c r="G182" s="378"/>
      <c r="H182" s="181"/>
      <c r="I182" s="395"/>
      <c r="J182" s="284"/>
      <c r="K182" s="313"/>
      <c r="L182" s="303"/>
      <c r="M182" s="241"/>
      <c r="N182" s="66"/>
      <c r="O182" s="111"/>
      <c r="P182" s="66"/>
      <c r="Q182" s="263"/>
      <c r="R182" s="260"/>
      <c r="S182" s="260"/>
      <c r="T182" s="242"/>
      <c r="U182" s="242"/>
      <c r="V182" s="215"/>
      <c r="W182" s="120"/>
      <c r="X182" s="215"/>
      <c r="Y182" s="120"/>
      <c r="Z182" s="111"/>
      <c r="AA182" s="66"/>
      <c r="AB182" s="181"/>
      <c r="AC182" s="181"/>
      <c r="AD182" s="181"/>
      <c r="AE182" s="218"/>
      <c r="AF182" s="241"/>
      <c r="AG182" s="242"/>
      <c r="AH182" s="353"/>
      <c r="AI182" s="353"/>
      <c r="AJ182" s="353"/>
      <c r="AK182" s="353"/>
      <c r="AL182" s="66"/>
      <c r="AM182" s="260"/>
      <c r="AN182" s="66"/>
      <c r="AO182" s="138"/>
      <c r="AP182" s="138"/>
      <c r="AQ182" s="181"/>
      <c r="AS182" s="364"/>
      <c r="AT182" s="364"/>
      <c r="AU182" s="364"/>
      <c r="AV182" s="364"/>
      <c r="AW182" s="364"/>
      <c r="AX182" s="364"/>
      <c r="AY182" s="364"/>
      <c r="AZ182" s="364"/>
      <c r="BA182" s="364"/>
      <c r="BB182" s="364"/>
      <c r="BC182" s="364"/>
    </row>
    <row r="183" spans="1:60" ht="47.25" hidden="1" customHeight="1" x14ac:dyDescent="0.2">
      <c r="A183" s="283">
        <v>109</v>
      </c>
      <c r="B183" s="219"/>
      <c r="C183" s="120"/>
      <c r="D183" s="120"/>
      <c r="E183" s="120"/>
      <c r="F183" s="120"/>
      <c r="G183" s="287"/>
      <c r="H183" s="120"/>
      <c r="I183" s="392"/>
      <c r="J183" s="284"/>
      <c r="K183" s="285"/>
      <c r="L183" s="298"/>
      <c r="M183" s="241"/>
      <c r="N183" s="66"/>
      <c r="O183" s="111"/>
      <c r="P183" s="66"/>
      <c r="Q183" s="263"/>
      <c r="R183" s="260"/>
      <c r="S183" s="260"/>
      <c r="T183" s="242"/>
      <c r="U183" s="242"/>
      <c r="V183" s="120"/>
      <c r="W183" s="337"/>
      <c r="X183" s="215"/>
      <c r="Y183" s="120"/>
      <c r="Z183" s="111"/>
      <c r="AA183" s="66"/>
      <c r="AB183" s="181"/>
      <c r="AC183" s="181"/>
      <c r="AD183" s="181"/>
      <c r="AE183" s="218"/>
      <c r="AF183" s="241"/>
      <c r="AG183" s="242"/>
      <c r="AH183" s="353"/>
      <c r="AI183" s="353"/>
      <c r="AJ183" s="353"/>
      <c r="AK183" s="353"/>
      <c r="AL183" s="66"/>
      <c r="AM183" s="260"/>
      <c r="AN183" s="66"/>
      <c r="AO183" s="138"/>
      <c r="AP183" s="138"/>
      <c r="AQ183" s="181"/>
      <c r="AS183" s="364"/>
      <c r="AT183" s="364"/>
      <c r="AU183" s="364"/>
      <c r="AV183" s="364"/>
      <c r="AW183" s="364"/>
      <c r="AX183" s="364"/>
      <c r="AY183" s="364"/>
      <c r="AZ183" s="364"/>
      <c r="BA183" s="364"/>
      <c r="BB183" s="364"/>
      <c r="BC183" s="364"/>
    </row>
    <row r="184" spans="1:60" ht="80.25" hidden="1" customHeight="1" x14ac:dyDescent="0.2">
      <c r="A184" s="283">
        <v>110</v>
      </c>
      <c r="B184" s="219"/>
      <c r="C184" s="181"/>
      <c r="D184" s="181"/>
      <c r="E184" s="120"/>
      <c r="F184" s="120"/>
      <c r="G184" s="375"/>
      <c r="H184" s="120"/>
      <c r="I184" s="289"/>
      <c r="J184" s="284"/>
      <c r="K184" s="213"/>
      <c r="L184" s="315"/>
      <c r="M184" s="241"/>
      <c r="N184" s="111"/>
      <c r="O184" s="111"/>
      <c r="P184" s="120"/>
      <c r="Q184" s="265"/>
      <c r="R184" s="261"/>
      <c r="S184" s="261"/>
      <c r="T184" s="66"/>
      <c r="U184" s="120"/>
      <c r="V184" s="120"/>
      <c r="W184" s="120"/>
      <c r="X184" s="120"/>
      <c r="Y184" s="271"/>
      <c r="Z184" s="111"/>
      <c r="AA184" s="111"/>
      <c r="AB184" s="218"/>
      <c r="AC184" s="181"/>
      <c r="AD184" s="181"/>
      <c r="AE184" s="218"/>
      <c r="AF184" s="241"/>
      <c r="AG184" s="241"/>
      <c r="AH184" s="352"/>
      <c r="AI184" s="352"/>
      <c r="AJ184" s="352"/>
      <c r="AK184" s="352"/>
      <c r="AL184" s="138"/>
      <c r="AM184" s="138"/>
      <c r="AN184" s="138"/>
      <c r="AO184" s="233"/>
      <c r="AP184" s="233"/>
      <c r="AQ184" s="181"/>
      <c r="AS184" s="364"/>
      <c r="AT184" s="364"/>
      <c r="AU184" s="364"/>
      <c r="AV184" s="364"/>
      <c r="AW184" s="364"/>
      <c r="AX184" s="364"/>
      <c r="AY184" s="364"/>
      <c r="AZ184" s="364"/>
      <c r="BA184" s="364"/>
      <c r="BB184" s="364"/>
      <c r="BC184" s="364"/>
    </row>
    <row r="185" spans="1:60" hidden="1" x14ac:dyDescent="0.2">
      <c r="A185" s="283">
        <v>111</v>
      </c>
      <c r="B185" s="219"/>
      <c r="C185" s="120"/>
      <c r="D185" s="120"/>
      <c r="E185" s="120"/>
      <c r="F185" s="120"/>
      <c r="G185" s="287"/>
      <c r="H185" s="120"/>
      <c r="I185" s="392"/>
      <c r="J185" s="284"/>
      <c r="K185" s="285"/>
      <c r="L185" s="298"/>
      <c r="M185" s="241"/>
      <c r="N185" s="66"/>
      <c r="O185" s="111"/>
      <c r="P185" s="120"/>
      <c r="Q185" s="263"/>
      <c r="R185" s="260"/>
      <c r="S185" s="260"/>
      <c r="T185" s="66"/>
      <c r="U185" s="120"/>
      <c r="V185" s="120"/>
      <c r="W185" s="120"/>
      <c r="X185" s="120"/>
      <c r="Y185" s="120"/>
      <c r="Z185" s="111"/>
      <c r="AA185" s="66"/>
      <c r="AB185" s="181"/>
      <c r="AC185" s="181"/>
      <c r="AD185" s="181"/>
      <c r="AE185" s="218"/>
      <c r="AF185" s="241"/>
      <c r="AG185" s="242"/>
      <c r="AH185" s="353"/>
      <c r="AI185" s="353"/>
      <c r="AJ185" s="353"/>
      <c r="AK185" s="353"/>
      <c r="AL185" s="66"/>
      <c r="AM185" s="260"/>
      <c r="AN185" s="66"/>
      <c r="AO185" s="138"/>
      <c r="AP185" s="138"/>
      <c r="AQ185" s="181"/>
      <c r="AS185" s="364"/>
      <c r="AT185" s="364"/>
      <c r="AU185" s="364"/>
      <c r="AV185" s="364"/>
      <c r="AW185" s="364"/>
      <c r="AX185" s="364"/>
      <c r="AY185" s="364"/>
      <c r="AZ185" s="364"/>
      <c r="BA185" s="364"/>
      <c r="BB185" s="364"/>
      <c r="BC185" s="364"/>
    </row>
    <row r="186" spans="1:60" hidden="1" x14ac:dyDescent="0.2">
      <c r="A186" s="283">
        <v>112</v>
      </c>
      <c r="B186" s="219"/>
      <c r="C186" s="120"/>
      <c r="D186" s="291"/>
      <c r="E186" s="120"/>
      <c r="F186" s="120"/>
      <c r="G186" s="287"/>
      <c r="H186" s="120"/>
      <c r="I186" s="392"/>
      <c r="J186" s="284"/>
      <c r="K186" s="285"/>
      <c r="L186" s="120"/>
      <c r="M186" s="241"/>
      <c r="N186" s="66"/>
      <c r="O186" s="111"/>
      <c r="P186" s="120"/>
      <c r="Q186" s="263"/>
      <c r="R186" s="260"/>
      <c r="S186" s="260"/>
      <c r="T186" s="242"/>
      <c r="U186" s="242"/>
      <c r="V186" s="120"/>
      <c r="W186" s="120"/>
      <c r="X186" s="120"/>
      <c r="Y186" s="120"/>
      <c r="Z186" s="111"/>
      <c r="AA186" s="66"/>
      <c r="AB186" s="181"/>
      <c r="AC186" s="181"/>
      <c r="AD186" s="181"/>
      <c r="AE186" s="218"/>
      <c r="AF186" s="241"/>
      <c r="AG186" s="242"/>
      <c r="AH186" s="353"/>
      <c r="AI186" s="353"/>
      <c r="AJ186" s="353"/>
      <c r="AK186" s="353"/>
      <c r="AL186" s="66"/>
      <c r="AM186" s="260"/>
      <c r="AN186" s="66"/>
      <c r="AO186" s="138"/>
      <c r="AP186" s="138"/>
      <c r="AQ186" s="181"/>
      <c r="AS186" s="364"/>
      <c r="AT186" s="364"/>
      <c r="AU186" s="364"/>
      <c r="AV186" s="364"/>
      <c r="AW186" s="364"/>
      <c r="AX186" s="364"/>
      <c r="AY186" s="364"/>
      <c r="AZ186" s="364"/>
      <c r="BA186" s="364"/>
      <c r="BB186" s="364"/>
      <c r="BC186" s="364"/>
    </row>
    <row r="187" spans="1:60" hidden="1" x14ac:dyDescent="0.2">
      <c r="A187" s="283">
        <v>113</v>
      </c>
      <c r="B187" s="219"/>
      <c r="C187" s="120"/>
      <c r="D187" s="120"/>
      <c r="E187" s="120"/>
      <c r="F187" s="120"/>
      <c r="G187" s="287"/>
      <c r="H187" s="120"/>
      <c r="I187" s="392"/>
      <c r="J187" s="284"/>
      <c r="K187" s="285"/>
      <c r="L187" s="120"/>
      <c r="M187" s="241"/>
      <c r="N187" s="66"/>
      <c r="O187" s="111"/>
      <c r="P187" s="120"/>
      <c r="Q187" s="263"/>
      <c r="R187" s="260"/>
      <c r="S187" s="260"/>
      <c r="T187" s="66"/>
      <c r="U187" s="120"/>
      <c r="V187" s="120"/>
      <c r="W187" s="120"/>
      <c r="X187" s="120"/>
      <c r="Y187" s="120"/>
      <c r="Z187" s="111"/>
      <c r="AA187" s="66"/>
      <c r="AB187" s="181"/>
      <c r="AC187" s="181"/>
      <c r="AD187" s="181"/>
      <c r="AE187" s="218"/>
      <c r="AF187" s="241"/>
      <c r="AG187" s="242"/>
      <c r="AH187" s="353"/>
      <c r="AI187" s="353"/>
      <c r="AJ187" s="353"/>
      <c r="AK187" s="353"/>
      <c r="AL187" s="66"/>
      <c r="AM187" s="260"/>
      <c r="AN187" s="66"/>
      <c r="AO187" s="138"/>
      <c r="AP187" s="138"/>
      <c r="AQ187" s="181"/>
      <c r="AS187" s="364"/>
      <c r="AT187" s="364"/>
      <c r="AU187" s="364"/>
      <c r="AV187" s="364"/>
      <c r="AW187" s="364"/>
      <c r="AX187" s="364"/>
      <c r="AY187" s="364"/>
      <c r="AZ187" s="364"/>
      <c r="BA187" s="364"/>
      <c r="BB187" s="364"/>
      <c r="BC187" s="364"/>
    </row>
    <row r="188" spans="1:60" hidden="1" x14ac:dyDescent="0.2">
      <c r="A188" s="283">
        <v>114</v>
      </c>
      <c r="B188" s="219"/>
      <c r="C188" s="219"/>
      <c r="D188" s="120"/>
      <c r="E188" s="120"/>
      <c r="F188" s="120"/>
      <c r="G188" s="287"/>
      <c r="H188" s="120"/>
      <c r="I188" s="392"/>
      <c r="J188" s="284"/>
      <c r="K188" s="285"/>
      <c r="L188" s="120"/>
      <c r="M188" s="241"/>
      <c r="N188" s="66"/>
      <c r="O188" s="111"/>
      <c r="P188" s="111"/>
      <c r="Q188" s="263"/>
      <c r="R188" s="260"/>
      <c r="S188" s="260"/>
      <c r="T188" s="66"/>
      <c r="U188" s="120"/>
      <c r="V188" s="120"/>
      <c r="W188" s="120"/>
      <c r="X188" s="120"/>
      <c r="Y188" s="120"/>
      <c r="Z188" s="111"/>
      <c r="AA188" s="66"/>
      <c r="AB188" s="181"/>
      <c r="AC188" s="181"/>
      <c r="AD188" s="181"/>
      <c r="AE188" s="218"/>
      <c r="AF188" s="241"/>
      <c r="AG188" s="242"/>
      <c r="AH188" s="353"/>
      <c r="AI188" s="353"/>
      <c r="AJ188" s="353"/>
      <c r="AK188" s="353"/>
      <c r="AL188" s="66"/>
      <c r="AM188" s="260"/>
      <c r="AN188" s="66"/>
      <c r="AO188" s="138"/>
      <c r="AP188" s="138"/>
      <c r="AQ188" s="181"/>
      <c r="AS188" s="364"/>
      <c r="AT188" s="364"/>
      <c r="AU188" s="364"/>
      <c r="AV188" s="364"/>
      <c r="AW188" s="364"/>
      <c r="AX188" s="364"/>
      <c r="AY188" s="364"/>
      <c r="AZ188" s="364"/>
      <c r="BA188" s="364"/>
      <c r="BB188" s="364"/>
      <c r="BC188" s="364"/>
    </row>
    <row r="189" spans="1:60" ht="33.75" hidden="1" customHeight="1" x14ac:dyDescent="0.2">
      <c r="A189" s="283">
        <v>115</v>
      </c>
      <c r="B189" s="219"/>
      <c r="C189" s="120"/>
      <c r="D189" s="120"/>
      <c r="E189" s="120"/>
      <c r="F189" s="120"/>
      <c r="G189" s="287"/>
      <c r="H189" s="120"/>
      <c r="I189" s="392"/>
      <c r="J189" s="284"/>
      <c r="K189" s="285"/>
      <c r="L189" s="120"/>
      <c r="M189" s="241"/>
      <c r="N189" s="66"/>
      <c r="O189" s="111"/>
      <c r="P189" s="120"/>
      <c r="Q189" s="263"/>
      <c r="R189" s="260"/>
      <c r="S189" s="260"/>
      <c r="T189" s="242"/>
      <c r="U189" s="242"/>
      <c r="V189" s="120"/>
      <c r="W189" s="120"/>
      <c r="X189" s="120"/>
      <c r="Y189" s="120"/>
      <c r="Z189" s="111"/>
      <c r="AA189" s="66"/>
      <c r="AB189" s="181"/>
      <c r="AC189" s="181"/>
      <c r="AD189" s="181"/>
      <c r="AE189" s="218"/>
      <c r="AF189" s="241"/>
      <c r="AG189" s="242"/>
      <c r="AH189" s="353"/>
      <c r="AI189" s="353"/>
      <c r="AJ189" s="353"/>
      <c r="AK189" s="353"/>
      <c r="AL189" s="66"/>
      <c r="AM189" s="260"/>
      <c r="AN189" s="66"/>
      <c r="AO189" s="138"/>
      <c r="AP189" s="138"/>
      <c r="AQ189" s="181"/>
      <c r="AS189" s="364"/>
      <c r="AT189" s="364"/>
      <c r="AU189" s="364"/>
      <c r="AV189" s="364"/>
      <c r="AW189" s="364"/>
      <c r="AX189" s="364"/>
      <c r="AY189" s="364"/>
      <c r="AZ189" s="364"/>
      <c r="BA189" s="364"/>
      <c r="BB189" s="364"/>
      <c r="BC189" s="364"/>
    </row>
    <row r="190" spans="1:60" hidden="1" x14ac:dyDescent="0.2">
      <c r="A190" s="283">
        <v>116</v>
      </c>
      <c r="B190" s="219"/>
      <c r="C190" s="120"/>
      <c r="D190" s="291"/>
      <c r="E190" s="120"/>
      <c r="F190" s="120"/>
      <c r="G190" s="287"/>
      <c r="H190" s="120"/>
      <c r="I190" s="392"/>
      <c r="J190" s="284"/>
      <c r="K190" s="285"/>
      <c r="L190" s="120"/>
      <c r="M190" s="241"/>
      <c r="N190" s="66"/>
      <c r="O190" s="111"/>
      <c r="P190" s="120"/>
      <c r="Q190" s="263"/>
      <c r="R190" s="260"/>
      <c r="S190" s="260"/>
      <c r="T190" s="66"/>
      <c r="U190" s="120"/>
      <c r="V190" s="120"/>
      <c r="W190" s="120"/>
      <c r="X190" s="120"/>
      <c r="Y190" s="120"/>
      <c r="Z190" s="111"/>
      <c r="AA190" s="66"/>
      <c r="AB190" s="181"/>
      <c r="AC190" s="181"/>
      <c r="AD190" s="181"/>
      <c r="AE190" s="218"/>
      <c r="AF190" s="241"/>
      <c r="AG190" s="242"/>
      <c r="AH190" s="353"/>
      <c r="AI190" s="353"/>
      <c r="AJ190" s="353"/>
      <c r="AK190" s="353"/>
      <c r="AL190" s="66"/>
      <c r="AM190" s="260"/>
      <c r="AN190" s="66"/>
      <c r="AO190" s="233"/>
      <c r="AP190" s="233"/>
      <c r="AQ190" s="181"/>
      <c r="AS190" s="364"/>
      <c r="AT190" s="364"/>
      <c r="AU190" s="364"/>
      <c r="AV190" s="364"/>
      <c r="AW190" s="364"/>
      <c r="AX190" s="364"/>
      <c r="AY190" s="364"/>
      <c r="AZ190" s="364"/>
      <c r="BA190" s="364"/>
      <c r="BB190" s="364"/>
      <c r="BC190" s="364"/>
    </row>
    <row r="191" spans="1:60" ht="82" hidden="1" customHeight="1" x14ac:dyDescent="0.2">
      <c r="A191" s="283">
        <v>117</v>
      </c>
      <c r="B191" s="219"/>
      <c r="C191" s="120"/>
      <c r="D191" s="120"/>
      <c r="E191" s="120"/>
      <c r="F191" s="120"/>
      <c r="G191" s="287"/>
      <c r="H191" s="120"/>
      <c r="I191" s="392"/>
      <c r="J191" s="284"/>
      <c r="K191" s="285"/>
      <c r="L191" s="120"/>
      <c r="M191" s="241"/>
      <c r="N191" s="66"/>
      <c r="O191" s="111"/>
      <c r="P191" s="120"/>
      <c r="Q191" s="263"/>
      <c r="R191" s="260"/>
      <c r="S191" s="261"/>
      <c r="T191" s="66"/>
      <c r="U191" s="120"/>
      <c r="V191" s="120"/>
      <c r="W191" s="120"/>
      <c r="X191" s="120"/>
      <c r="Y191" s="120"/>
      <c r="Z191" s="111"/>
      <c r="AA191" s="111"/>
      <c r="AB191" s="181"/>
      <c r="AC191" s="181"/>
      <c r="AD191" s="181"/>
      <c r="AE191" s="218"/>
      <c r="AF191" s="241"/>
      <c r="AG191" s="242"/>
      <c r="AH191" s="353"/>
      <c r="AI191" s="353"/>
      <c r="AJ191" s="353"/>
      <c r="AK191" s="353"/>
      <c r="AL191" s="111"/>
      <c r="AM191" s="260"/>
      <c r="AN191" s="66"/>
      <c r="AO191" s="233"/>
      <c r="AP191" s="233"/>
      <c r="AQ191" s="181"/>
      <c r="AS191" s="364"/>
      <c r="AT191" s="364"/>
      <c r="AU191" s="364"/>
      <c r="AV191" s="364"/>
      <c r="AW191" s="364"/>
      <c r="AX191" s="364"/>
      <c r="AY191" s="364"/>
      <c r="AZ191" s="364"/>
      <c r="BA191" s="364"/>
      <c r="BB191" s="364"/>
      <c r="BC191" s="364"/>
    </row>
    <row r="192" spans="1:60" ht="82" hidden="1" customHeight="1" x14ac:dyDescent="0.2">
      <c r="A192" s="283">
        <v>118</v>
      </c>
      <c r="B192" s="219"/>
      <c r="C192" s="120"/>
      <c r="D192" s="120"/>
      <c r="E192" s="120"/>
      <c r="F192" s="120"/>
      <c r="G192" s="287"/>
      <c r="H192" s="120"/>
      <c r="I192" s="392"/>
      <c r="J192" s="284"/>
      <c r="K192" s="285"/>
      <c r="L192" s="120"/>
      <c r="M192" s="241"/>
      <c r="N192" s="66"/>
      <c r="O192" s="111"/>
      <c r="P192" s="111"/>
      <c r="Q192" s="263"/>
      <c r="R192" s="260"/>
      <c r="S192" s="261"/>
      <c r="T192" s="241"/>
      <c r="U192" s="120"/>
      <c r="V192" s="120"/>
      <c r="W192" s="120"/>
      <c r="X192" s="120"/>
      <c r="Y192" s="120"/>
      <c r="Z192" s="111"/>
      <c r="AA192" s="111"/>
      <c r="AB192" s="181"/>
      <c r="AC192" s="181"/>
      <c r="AD192" s="181"/>
      <c r="AE192" s="218"/>
      <c r="AF192" s="241"/>
      <c r="AG192" s="242"/>
      <c r="AH192" s="353"/>
      <c r="AI192" s="353"/>
      <c r="AJ192" s="353"/>
      <c r="AK192" s="353"/>
      <c r="AL192" s="111"/>
      <c r="AM192" s="260"/>
      <c r="AN192" s="66"/>
      <c r="AO192" s="138"/>
      <c r="AP192" s="138"/>
      <c r="AQ192" s="181"/>
      <c r="AS192" s="364"/>
      <c r="AT192" s="364"/>
      <c r="AU192" s="364"/>
      <c r="AV192" s="364"/>
      <c r="AW192" s="364"/>
      <c r="AX192" s="364"/>
      <c r="AY192" s="364"/>
      <c r="AZ192" s="364"/>
      <c r="BA192" s="364"/>
      <c r="BB192" s="364"/>
      <c r="BC192" s="364"/>
    </row>
    <row r="193" spans="1:60" ht="52.5" hidden="1" customHeight="1" x14ac:dyDescent="0.2">
      <c r="A193" s="283">
        <v>119</v>
      </c>
      <c r="B193" s="216"/>
      <c r="C193" s="257"/>
      <c r="D193" s="257"/>
      <c r="E193" s="257"/>
      <c r="F193" s="120"/>
      <c r="G193" s="376"/>
      <c r="H193" s="318"/>
      <c r="I193" s="321"/>
      <c r="J193" s="316"/>
      <c r="K193" s="317"/>
      <c r="L193" s="257"/>
      <c r="M193" s="241"/>
      <c r="N193" s="66"/>
      <c r="O193" s="111"/>
      <c r="P193" s="111"/>
      <c r="Q193" s="263"/>
      <c r="R193" s="261"/>
      <c r="S193" s="261"/>
      <c r="T193" s="241"/>
      <c r="U193" s="241"/>
      <c r="V193" s="120"/>
      <c r="W193" s="181"/>
      <c r="X193" s="183"/>
      <c r="Y193" s="271"/>
      <c r="Z193" s="111"/>
      <c r="AA193" s="111"/>
      <c r="AB193" s="218"/>
      <c r="AC193" s="218"/>
      <c r="AD193" s="218"/>
      <c r="AE193" s="218"/>
      <c r="AF193" s="241"/>
      <c r="AG193" s="242"/>
      <c r="AH193" s="353"/>
      <c r="AI193" s="353"/>
      <c r="AJ193" s="353"/>
      <c r="AK193" s="353"/>
      <c r="AL193" s="111"/>
      <c r="AM193" s="260"/>
      <c r="AN193" s="66"/>
      <c r="AO193" s="138"/>
      <c r="AP193" s="138"/>
      <c r="AQ193" s="218"/>
      <c r="AR193" s="86"/>
      <c r="AS193" s="367"/>
      <c r="AT193" s="364"/>
      <c r="AU193" s="364"/>
      <c r="AV193" s="364"/>
      <c r="AW193" s="364"/>
      <c r="AX193" s="364"/>
      <c r="AY193" s="364"/>
      <c r="AZ193" s="364"/>
      <c r="BA193" s="364"/>
      <c r="BB193" s="364"/>
      <c r="BC193" s="364"/>
    </row>
    <row r="194" spans="1:60" ht="51.75" hidden="1" customHeight="1" x14ac:dyDescent="0.2">
      <c r="A194" s="283">
        <v>120</v>
      </c>
      <c r="B194" s="290"/>
      <c r="C194" s="183"/>
      <c r="D194" s="183"/>
      <c r="E194" s="183"/>
      <c r="F194" s="120"/>
      <c r="G194" s="378"/>
      <c r="H194" s="318"/>
      <c r="I194" s="395"/>
      <c r="J194" s="316"/>
      <c r="K194" s="313"/>
      <c r="L194" s="303"/>
      <c r="M194" s="241"/>
      <c r="N194" s="66"/>
      <c r="O194" s="111"/>
      <c r="P194" s="111"/>
      <c r="Q194" s="263"/>
      <c r="R194" s="260"/>
      <c r="S194" s="260"/>
      <c r="T194" s="242"/>
      <c r="U194" s="298"/>
      <c r="V194" s="120"/>
      <c r="W194" s="181"/>
      <c r="X194" s="183"/>
      <c r="Y194" s="120"/>
      <c r="Z194" s="111"/>
      <c r="AA194" s="66"/>
      <c r="AB194" s="181"/>
      <c r="AC194" s="181"/>
      <c r="AD194" s="181"/>
      <c r="AE194" s="218"/>
      <c r="AF194" s="241"/>
      <c r="AG194" s="242"/>
      <c r="AH194" s="353"/>
      <c r="AI194" s="353"/>
      <c r="AJ194" s="353"/>
      <c r="AK194" s="353"/>
      <c r="AL194" s="66"/>
      <c r="AM194" s="260"/>
      <c r="AN194" s="66"/>
      <c r="AO194" s="138"/>
      <c r="AP194" s="138"/>
      <c r="AQ194" s="181"/>
      <c r="AR194" s="86"/>
      <c r="AS194" s="367"/>
      <c r="AT194" s="364"/>
      <c r="AU194" s="364"/>
      <c r="AV194" s="364"/>
      <c r="AW194" s="364"/>
      <c r="AX194" s="364"/>
      <c r="AY194" s="364"/>
      <c r="AZ194" s="364"/>
      <c r="BA194" s="364"/>
      <c r="BB194" s="364"/>
      <c r="BC194" s="364"/>
    </row>
    <row r="195" spans="1:60" ht="60" hidden="1" customHeight="1" x14ac:dyDescent="0.2">
      <c r="A195" s="283">
        <v>121</v>
      </c>
      <c r="B195" s="290"/>
      <c r="C195" s="183"/>
      <c r="D195" s="183"/>
      <c r="E195" s="183"/>
      <c r="F195" s="120"/>
      <c r="G195" s="287"/>
      <c r="H195" s="298"/>
      <c r="I195" s="395"/>
      <c r="J195" s="316"/>
      <c r="K195" s="313"/>
      <c r="L195" s="303"/>
      <c r="M195" s="241"/>
      <c r="N195" s="66"/>
      <c r="O195" s="111"/>
      <c r="P195" s="111"/>
      <c r="Q195" s="263"/>
      <c r="R195" s="260"/>
      <c r="S195" s="260"/>
      <c r="T195" s="66"/>
      <c r="U195" s="303"/>
      <c r="V195" s="120"/>
      <c r="W195" s="120"/>
      <c r="X195" s="183"/>
      <c r="Y195" s="120"/>
      <c r="Z195" s="111"/>
      <c r="AA195" s="66"/>
      <c r="AB195" s="120"/>
      <c r="AC195" s="181"/>
      <c r="AD195" s="181"/>
      <c r="AE195" s="218"/>
      <c r="AF195" s="241"/>
      <c r="AG195" s="242"/>
      <c r="AH195" s="353"/>
      <c r="AI195" s="353"/>
      <c r="AJ195" s="353"/>
      <c r="AK195" s="353"/>
      <c r="AL195" s="183"/>
      <c r="AM195" s="260"/>
      <c r="AN195" s="66"/>
      <c r="AO195" s="138"/>
      <c r="AP195" s="138"/>
      <c r="AQ195" s="181"/>
      <c r="AS195" s="364"/>
      <c r="AT195" s="364"/>
      <c r="AU195" s="364"/>
      <c r="AV195" s="364"/>
      <c r="AW195" s="364"/>
      <c r="AX195" s="364"/>
      <c r="AY195" s="364"/>
      <c r="AZ195" s="364"/>
      <c r="BA195" s="364"/>
      <c r="BB195" s="364"/>
      <c r="BC195" s="364"/>
    </row>
    <row r="196" spans="1:60" hidden="1" x14ac:dyDescent="0.2">
      <c r="A196" s="283">
        <v>122</v>
      </c>
      <c r="B196" s="314"/>
      <c r="C196" s="183"/>
      <c r="D196" s="183"/>
      <c r="E196" s="183"/>
      <c r="F196" s="120"/>
      <c r="G196" s="378"/>
      <c r="H196" s="298"/>
      <c r="I196" s="395"/>
      <c r="J196" s="316"/>
      <c r="K196" s="313"/>
      <c r="L196" s="298"/>
      <c r="M196" s="241"/>
      <c r="N196" s="66"/>
      <c r="O196" s="111"/>
      <c r="P196" s="303"/>
      <c r="Q196" s="263"/>
      <c r="R196" s="260"/>
      <c r="S196" s="260"/>
      <c r="T196" s="242"/>
      <c r="U196" s="242"/>
      <c r="V196" s="120"/>
      <c r="W196" s="66"/>
      <c r="X196" s="120"/>
      <c r="Y196" s="120"/>
      <c r="Z196" s="111"/>
      <c r="AA196" s="66"/>
      <c r="AB196" s="120"/>
      <c r="AC196" s="181"/>
      <c r="AD196" s="181"/>
      <c r="AE196" s="218"/>
      <c r="AF196" s="241"/>
      <c r="AG196" s="242"/>
      <c r="AH196" s="353"/>
      <c r="AI196" s="353"/>
      <c r="AJ196" s="353"/>
      <c r="AK196" s="353"/>
      <c r="AL196" s="66"/>
      <c r="AM196" s="260"/>
      <c r="AN196" s="66"/>
      <c r="AO196" s="138"/>
      <c r="AP196" s="138"/>
      <c r="AQ196" s="181"/>
      <c r="AS196" s="364"/>
      <c r="AT196" s="364"/>
      <c r="AU196" s="364"/>
      <c r="AV196" s="364"/>
      <c r="AW196" s="364"/>
      <c r="AX196" s="364"/>
      <c r="AY196" s="364"/>
      <c r="AZ196" s="364"/>
      <c r="BA196" s="364"/>
      <c r="BB196" s="364"/>
      <c r="BC196" s="364"/>
    </row>
    <row r="197" spans="1:60" hidden="1" x14ac:dyDescent="0.2">
      <c r="A197" s="283">
        <v>123</v>
      </c>
      <c r="B197" s="219"/>
      <c r="C197" s="183"/>
      <c r="D197" s="183"/>
      <c r="E197" s="183"/>
      <c r="F197" s="120"/>
      <c r="G197" s="287"/>
      <c r="H197" s="298"/>
      <c r="I197" s="395"/>
      <c r="J197" s="316"/>
      <c r="K197" s="313"/>
      <c r="L197" s="303"/>
      <c r="M197" s="241"/>
      <c r="N197" s="303"/>
      <c r="O197" s="111"/>
      <c r="P197" s="111"/>
      <c r="Q197" s="263"/>
      <c r="R197" s="260"/>
      <c r="S197" s="260"/>
      <c r="T197" s="242"/>
      <c r="U197" s="242"/>
      <c r="V197" s="181"/>
      <c r="W197" s="111"/>
      <c r="X197" s="120"/>
      <c r="Y197" s="120"/>
      <c r="Z197" s="111"/>
      <c r="AA197" s="66"/>
      <c r="AB197" s="111"/>
      <c r="AC197" s="111"/>
      <c r="AD197" s="111"/>
      <c r="AE197" s="111"/>
      <c r="AF197" s="241"/>
      <c r="AG197" s="242"/>
      <c r="AH197" s="353"/>
      <c r="AI197" s="353"/>
      <c r="AJ197" s="353"/>
      <c r="AK197" s="353"/>
      <c r="AL197" s="260"/>
      <c r="AM197" s="260"/>
      <c r="AN197" s="260"/>
      <c r="AO197" s="260"/>
      <c r="AP197" s="260"/>
      <c r="AQ197" s="111"/>
      <c r="AS197" s="364"/>
      <c r="AT197" s="364"/>
      <c r="AU197" s="364"/>
      <c r="AV197" s="364"/>
      <c r="AW197" s="364"/>
      <c r="AX197" s="364"/>
      <c r="AY197" s="364"/>
      <c r="AZ197" s="364"/>
      <c r="BA197" s="364"/>
      <c r="BB197" s="364"/>
      <c r="BC197" s="364"/>
    </row>
    <row r="198" spans="1:60" ht="47" hidden="1" customHeight="1" x14ac:dyDescent="0.2">
      <c r="A198" s="283">
        <v>124</v>
      </c>
      <c r="B198" s="338"/>
      <c r="C198" s="289"/>
      <c r="D198" s="289"/>
      <c r="E198" s="289"/>
      <c r="F198" s="120"/>
      <c r="G198" s="379"/>
      <c r="H198" s="120"/>
      <c r="I198" s="289"/>
      <c r="J198" s="339"/>
      <c r="K198" s="340"/>
      <c r="L198" s="341"/>
      <c r="M198" s="241"/>
      <c r="N198" s="303"/>
      <c r="O198" s="111"/>
      <c r="P198" s="111"/>
      <c r="Q198" s="263"/>
      <c r="R198" s="260"/>
      <c r="S198" s="260"/>
      <c r="T198" s="242"/>
      <c r="U198" s="242"/>
      <c r="V198" s="120"/>
      <c r="W198" s="120"/>
      <c r="X198" s="120"/>
      <c r="Y198" s="120"/>
      <c r="Z198" s="111"/>
      <c r="AA198" s="66"/>
      <c r="AB198" s="181"/>
      <c r="AC198" s="181"/>
      <c r="AD198" s="181"/>
      <c r="AE198" s="218"/>
      <c r="AF198" s="241"/>
      <c r="AG198" s="242"/>
      <c r="AH198" s="353"/>
      <c r="AI198" s="353"/>
      <c r="AJ198" s="353"/>
      <c r="AK198" s="353"/>
      <c r="AL198" s="120"/>
      <c r="AM198" s="181"/>
      <c r="AN198" s="66"/>
      <c r="AO198" s="138"/>
      <c r="AP198" s="138"/>
      <c r="AQ198" s="181"/>
      <c r="AS198" s="364"/>
      <c r="AT198" s="364"/>
      <c r="AU198" s="364"/>
      <c r="AV198" s="364"/>
      <c r="AW198" s="364"/>
      <c r="AX198" s="364"/>
      <c r="AY198" s="364"/>
      <c r="AZ198" s="364"/>
      <c r="BA198" s="364"/>
      <c r="BB198" s="364"/>
      <c r="BC198" s="364"/>
    </row>
    <row r="199" spans="1:60" hidden="1" x14ac:dyDescent="0.2">
      <c r="A199" s="283">
        <v>125</v>
      </c>
      <c r="B199" s="290"/>
      <c r="C199" s="183"/>
      <c r="D199" s="183"/>
      <c r="E199" s="183"/>
      <c r="F199" s="120"/>
      <c r="G199" s="378"/>
      <c r="H199" s="120"/>
      <c r="I199" s="395"/>
      <c r="J199" s="316"/>
      <c r="K199" s="313"/>
      <c r="L199" s="303"/>
      <c r="M199" s="241"/>
      <c r="N199" s="303"/>
      <c r="O199" s="111"/>
      <c r="P199" s="111"/>
      <c r="Q199" s="263"/>
      <c r="R199" s="181"/>
      <c r="S199" s="181"/>
      <c r="T199" s="318"/>
      <c r="U199" s="242"/>
      <c r="V199" s="120"/>
      <c r="W199" s="319"/>
      <c r="X199" s="120"/>
      <c r="Y199" s="120"/>
      <c r="Z199" s="111"/>
      <c r="AA199" s="66"/>
      <c r="AB199" s="181"/>
      <c r="AC199" s="181"/>
      <c r="AD199" s="181"/>
      <c r="AE199" s="218"/>
      <c r="AF199" s="241"/>
      <c r="AG199" s="242"/>
      <c r="AH199" s="356"/>
      <c r="AI199" s="356"/>
      <c r="AJ199" s="356"/>
      <c r="AK199" s="356"/>
      <c r="AL199" s="66"/>
      <c r="AM199" s="181"/>
      <c r="AN199" s="66"/>
      <c r="AO199" s="137"/>
      <c r="AP199" s="137"/>
      <c r="AQ199" s="181"/>
      <c r="AS199" s="364"/>
      <c r="AT199" s="364"/>
      <c r="AU199" s="364"/>
      <c r="AV199" s="364"/>
      <c r="AW199" s="364"/>
      <c r="AX199" s="364"/>
      <c r="AY199" s="364"/>
      <c r="AZ199" s="364"/>
      <c r="BA199" s="364"/>
      <c r="BB199" s="364"/>
      <c r="BC199" s="364"/>
    </row>
    <row r="200" spans="1:60" hidden="1" x14ac:dyDescent="0.2">
      <c r="A200" s="283">
        <v>126</v>
      </c>
      <c r="B200" s="290"/>
      <c r="C200" s="183"/>
      <c r="D200" s="183"/>
      <c r="E200" s="183"/>
      <c r="F200" s="120"/>
      <c r="G200" s="378"/>
      <c r="H200" s="120"/>
      <c r="I200" s="395"/>
      <c r="J200" s="316"/>
      <c r="K200" s="313"/>
      <c r="L200" s="303"/>
      <c r="M200" s="241"/>
      <c r="N200" s="303"/>
      <c r="O200" s="111"/>
      <c r="P200" s="111"/>
      <c r="Q200" s="263"/>
      <c r="R200" s="181"/>
      <c r="S200" s="181"/>
      <c r="T200" s="242"/>
      <c r="U200" s="318"/>
      <c r="V200" s="120"/>
      <c r="W200" s="120"/>
      <c r="X200" s="120"/>
      <c r="Y200" s="120"/>
      <c r="Z200" s="111"/>
      <c r="AA200" s="66"/>
      <c r="AB200" s="181"/>
      <c r="AC200" s="181"/>
      <c r="AD200" s="181"/>
      <c r="AE200" s="218"/>
      <c r="AF200" s="241"/>
      <c r="AG200" s="242"/>
      <c r="AH200" s="356"/>
      <c r="AI200" s="356"/>
      <c r="AJ200" s="356"/>
      <c r="AK200" s="356"/>
      <c r="AL200" s="66"/>
      <c r="AM200" s="181"/>
      <c r="AN200" s="66"/>
      <c r="AO200" s="137"/>
      <c r="AP200" s="137"/>
      <c r="AQ200" s="181"/>
      <c r="AS200" s="364"/>
      <c r="AT200" s="364"/>
      <c r="AU200" s="364"/>
      <c r="AV200" s="364"/>
      <c r="AW200" s="364"/>
      <c r="AX200" s="364"/>
      <c r="AY200" s="364"/>
      <c r="AZ200" s="364"/>
      <c r="BA200" s="364"/>
      <c r="BB200" s="364"/>
      <c r="BC200" s="364"/>
    </row>
    <row r="201" spans="1:60" ht="35.25" hidden="1" customHeight="1" x14ac:dyDescent="0.2">
      <c r="A201" s="283">
        <v>127</v>
      </c>
      <c r="B201" s="290"/>
      <c r="C201" s="183"/>
      <c r="D201" s="214"/>
      <c r="E201" s="183"/>
      <c r="F201" s="120"/>
      <c r="G201" s="378"/>
      <c r="H201" s="298"/>
      <c r="I201" s="395"/>
      <c r="J201" s="316"/>
      <c r="K201" s="313"/>
      <c r="L201" s="303"/>
      <c r="M201" s="241"/>
      <c r="N201" s="303"/>
      <c r="O201" s="111"/>
      <c r="P201" s="111"/>
      <c r="Q201" s="263"/>
      <c r="R201" s="260"/>
      <c r="S201" s="260"/>
      <c r="T201" s="242"/>
      <c r="U201" s="242"/>
      <c r="V201" s="120"/>
      <c r="W201" s="120"/>
      <c r="X201" s="120"/>
      <c r="Y201" s="120"/>
      <c r="Z201" s="111"/>
      <c r="AA201" s="66"/>
      <c r="AB201" s="181"/>
      <c r="AC201" s="181"/>
      <c r="AD201" s="181"/>
      <c r="AE201" s="218"/>
      <c r="AF201" s="241"/>
      <c r="AG201" s="242"/>
      <c r="AH201" s="353"/>
      <c r="AI201" s="353"/>
      <c r="AJ201" s="353"/>
      <c r="AK201" s="353"/>
      <c r="AL201" s="271"/>
      <c r="AM201" s="181"/>
      <c r="AN201" s="66"/>
      <c r="AO201" s="137"/>
      <c r="AP201" s="137"/>
      <c r="AQ201" s="181"/>
      <c r="AS201" s="364"/>
      <c r="AT201" s="364"/>
      <c r="AU201" s="364"/>
      <c r="AV201" s="364"/>
      <c r="AW201" s="364"/>
      <c r="AX201" s="364"/>
      <c r="AY201" s="364"/>
      <c r="AZ201" s="364"/>
      <c r="BA201" s="364"/>
      <c r="BB201" s="364"/>
      <c r="BC201" s="364"/>
    </row>
    <row r="202" spans="1:60" s="82" customFormat="1" hidden="1" x14ac:dyDescent="0.2">
      <c r="A202" s="283">
        <v>128</v>
      </c>
      <c r="B202" s="290"/>
      <c r="C202" s="215"/>
      <c r="D202" s="183"/>
      <c r="E202" s="183"/>
      <c r="F202" s="120"/>
      <c r="G202" s="378"/>
      <c r="H202" s="298"/>
      <c r="I202" s="395"/>
      <c r="J202" s="316"/>
      <c r="K202" s="313"/>
      <c r="L202" s="303"/>
      <c r="M202" s="241"/>
      <c r="N202" s="303"/>
      <c r="O202" s="111"/>
      <c r="P202" s="111"/>
      <c r="Q202" s="263"/>
      <c r="R202" s="260"/>
      <c r="S202" s="260"/>
      <c r="T202" s="242"/>
      <c r="U202" s="242"/>
      <c r="V202" s="120"/>
      <c r="W202" s="111"/>
      <c r="X202" s="120"/>
      <c r="Y202" s="120"/>
      <c r="Z202" s="111"/>
      <c r="AA202" s="66"/>
      <c r="AB202" s="111"/>
      <c r="AC202" s="111"/>
      <c r="AD202" s="111"/>
      <c r="AE202" s="111"/>
      <c r="AF202" s="241"/>
      <c r="AG202" s="242"/>
      <c r="AH202" s="353"/>
      <c r="AI202" s="353"/>
      <c r="AJ202" s="353"/>
      <c r="AK202" s="353"/>
      <c r="AL202" s="260"/>
      <c r="AM202" s="260"/>
      <c r="AN202" s="260"/>
      <c r="AO202" s="260"/>
      <c r="AP202" s="260"/>
      <c r="AQ202" s="111"/>
      <c r="AS202" s="364"/>
      <c r="AT202" s="364"/>
      <c r="AU202" s="364"/>
      <c r="AV202" s="364"/>
      <c r="AW202" s="364"/>
      <c r="AX202" s="364"/>
      <c r="AY202" s="364"/>
      <c r="AZ202" s="364"/>
      <c r="BA202" s="364"/>
      <c r="BB202" s="364"/>
      <c r="BC202" s="364"/>
      <c r="BH202" s="98"/>
    </row>
    <row r="203" spans="1:60" s="82" customFormat="1" hidden="1" x14ac:dyDescent="0.2">
      <c r="A203" s="283">
        <v>129</v>
      </c>
      <c r="B203" s="216"/>
      <c r="C203" s="217"/>
      <c r="D203" s="217"/>
      <c r="E203" s="320"/>
      <c r="F203" s="120"/>
      <c r="G203" s="296"/>
      <c r="H203" s="298"/>
      <c r="I203" s="321"/>
      <c r="J203" s="322"/>
      <c r="K203" s="323"/>
      <c r="L203" s="324"/>
      <c r="M203" s="241"/>
      <c r="N203" s="303"/>
      <c r="O203" s="111"/>
      <c r="P203" s="111"/>
      <c r="Q203" s="263"/>
      <c r="R203" s="261"/>
      <c r="S203" s="261"/>
      <c r="T203" s="241"/>
      <c r="U203" s="241"/>
      <c r="V203" s="120"/>
      <c r="W203" s="120"/>
      <c r="X203" s="271"/>
      <c r="Y203" s="271"/>
      <c r="Z203" s="111"/>
      <c r="AA203" s="111"/>
      <c r="AB203" s="218"/>
      <c r="AC203" s="218"/>
      <c r="AD203" s="218"/>
      <c r="AE203" s="218"/>
      <c r="AF203" s="241"/>
      <c r="AG203" s="241"/>
      <c r="AH203" s="352"/>
      <c r="AI203" s="352"/>
      <c r="AJ203" s="352"/>
      <c r="AK203" s="352"/>
      <c r="AL203" s="111"/>
      <c r="AM203" s="218"/>
      <c r="AN203" s="111"/>
      <c r="AO203" s="137"/>
      <c r="AP203" s="137"/>
      <c r="AQ203" s="181"/>
      <c r="AS203" s="364"/>
      <c r="AT203" s="364"/>
      <c r="AU203" s="364"/>
      <c r="AV203" s="364"/>
      <c r="AW203" s="364"/>
      <c r="AX203" s="364"/>
      <c r="AY203" s="364"/>
      <c r="AZ203" s="364"/>
      <c r="BA203" s="364"/>
      <c r="BB203" s="364"/>
      <c r="BC203" s="364"/>
      <c r="BH203" s="98"/>
    </row>
    <row r="204" spans="1:60" hidden="1" x14ac:dyDescent="0.2">
      <c r="A204" s="283">
        <v>130</v>
      </c>
      <c r="B204" s="219"/>
      <c r="C204" s="183"/>
      <c r="D204" s="183"/>
      <c r="E204" s="320"/>
      <c r="F204" s="120"/>
      <c r="G204" s="287"/>
      <c r="H204" s="298"/>
      <c r="I204" s="395"/>
      <c r="J204" s="322"/>
      <c r="K204" s="313"/>
      <c r="L204" s="303"/>
      <c r="M204" s="241"/>
      <c r="N204" s="303"/>
      <c r="O204" s="111"/>
      <c r="P204" s="111"/>
      <c r="Q204" s="263"/>
      <c r="R204" s="260"/>
      <c r="S204" s="260"/>
      <c r="T204" s="242"/>
      <c r="U204" s="242"/>
      <c r="V204" s="120"/>
      <c r="W204" s="120"/>
      <c r="X204" s="120"/>
      <c r="Y204" s="120"/>
      <c r="Z204" s="111"/>
      <c r="AA204" s="66"/>
      <c r="AB204" s="181"/>
      <c r="AC204" s="181"/>
      <c r="AD204" s="181"/>
      <c r="AE204" s="218"/>
      <c r="AF204" s="241"/>
      <c r="AG204" s="242"/>
      <c r="AH204" s="353"/>
      <c r="AI204" s="353"/>
      <c r="AJ204" s="353"/>
      <c r="AK204" s="353"/>
      <c r="AL204" s="66"/>
      <c r="AM204" s="181"/>
      <c r="AN204" s="66"/>
      <c r="AO204" s="137"/>
      <c r="AP204" s="137"/>
      <c r="AQ204" s="181"/>
      <c r="AS204" s="364"/>
      <c r="AT204" s="364"/>
      <c r="AU204" s="364"/>
      <c r="AV204" s="364"/>
      <c r="AW204" s="364"/>
      <c r="AX204" s="364"/>
      <c r="AY204" s="364"/>
      <c r="AZ204" s="364"/>
      <c r="BA204" s="364"/>
      <c r="BB204" s="364"/>
      <c r="BC204" s="364"/>
    </row>
    <row r="205" spans="1:60" hidden="1" x14ac:dyDescent="0.2">
      <c r="A205" s="283">
        <v>131</v>
      </c>
      <c r="B205" s="219"/>
      <c r="C205" s="120"/>
      <c r="D205" s="215"/>
      <c r="E205" s="183"/>
      <c r="F205" s="120"/>
      <c r="G205" s="378"/>
      <c r="H205" s="298"/>
      <c r="I205" s="395"/>
      <c r="J205" s="322"/>
      <c r="K205" s="313"/>
      <c r="L205" s="303"/>
      <c r="M205" s="241"/>
      <c r="N205" s="303"/>
      <c r="O205" s="111"/>
      <c r="P205" s="111"/>
      <c r="Q205" s="263"/>
      <c r="R205" s="260"/>
      <c r="S205" s="260"/>
      <c r="T205" s="242"/>
      <c r="U205" s="242"/>
      <c r="V205" s="183"/>
      <c r="W205" s="111"/>
      <c r="X205" s="120"/>
      <c r="Y205" s="120"/>
      <c r="Z205" s="111"/>
      <c r="AA205" s="66"/>
      <c r="AB205" s="111"/>
      <c r="AC205" s="111"/>
      <c r="AD205" s="111"/>
      <c r="AE205" s="111"/>
      <c r="AF205" s="241"/>
      <c r="AG205" s="242"/>
      <c r="AH205" s="353"/>
      <c r="AI205" s="353"/>
      <c r="AJ205" s="353"/>
      <c r="AK205" s="353"/>
      <c r="AL205" s="260"/>
      <c r="AM205" s="260"/>
      <c r="AN205" s="260"/>
      <c r="AO205" s="260"/>
      <c r="AP205" s="260"/>
      <c r="AQ205" s="111"/>
      <c r="AS205" s="364"/>
      <c r="AT205" s="364"/>
      <c r="AU205" s="364"/>
      <c r="AV205" s="364"/>
      <c r="AW205" s="364"/>
      <c r="AX205" s="364"/>
      <c r="AY205" s="364"/>
      <c r="AZ205" s="364"/>
      <c r="BA205" s="364"/>
      <c r="BB205" s="364"/>
      <c r="BC205" s="364"/>
    </row>
    <row r="206" spans="1:60" hidden="1" x14ac:dyDescent="0.2">
      <c r="A206" s="283">
        <v>132</v>
      </c>
      <c r="B206" s="290"/>
      <c r="C206" s="183"/>
      <c r="D206" s="183"/>
      <c r="E206" s="183"/>
      <c r="F206" s="120"/>
      <c r="G206" s="378"/>
      <c r="H206" s="298"/>
      <c r="I206" s="395"/>
      <c r="J206" s="322"/>
      <c r="K206" s="313"/>
      <c r="L206" s="303"/>
      <c r="M206" s="241"/>
      <c r="N206" s="303"/>
      <c r="O206" s="111"/>
      <c r="P206" s="111"/>
      <c r="Q206" s="263"/>
      <c r="R206" s="260"/>
      <c r="S206" s="260"/>
      <c r="T206" s="242"/>
      <c r="U206" s="242"/>
      <c r="V206" s="120"/>
      <c r="W206" s="120"/>
      <c r="X206" s="120"/>
      <c r="Y206" s="120"/>
      <c r="Z206" s="111"/>
      <c r="AA206" s="66"/>
      <c r="AB206" s="181"/>
      <c r="AC206" s="181"/>
      <c r="AD206" s="181"/>
      <c r="AE206" s="218"/>
      <c r="AF206" s="241"/>
      <c r="AG206" s="242"/>
      <c r="AH206" s="353"/>
      <c r="AI206" s="353"/>
      <c r="AJ206" s="353"/>
      <c r="AK206" s="353"/>
      <c r="AL206" s="66"/>
      <c r="AM206" s="181"/>
      <c r="AN206" s="66"/>
      <c r="AO206" s="137"/>
      <c r="AP206" s="137"/>
      <c r="AQ206" s="181"/>
      <c r="AS206" s="364"/>
      <c r="AT206" s="364"/>
      <c r="AU206" s="364"/>
      <c r="AV206" s="364"/>
      <c r="AW206" s="364"/>
      <c r="AX206" s="364"/>
      <c r="AY206" s="364"/>
      <c r="AZ206" s="364"/>
      <c r="BA206" s="364"/>
      <c r="BB206" s="364"/>
      <c r="BC206" s="364"/>
    </row>
    <row r="207" spans="1:60" hidden="1" x14ac:dyDescent="0.2">
      <c r="A207" s="283">
        <v>133</v>
      </c>
      <c r="B207" s="290"/>
      <c r="C207" s="183"/>
      <c r="D207" s="183"/>
      <c r="E207" s="183"/>
      <c r="F207" s="120"/>
      <c r="G207" s="378"/>
      <c r="H207" s="298"/>
      <c r="I207" s="395"/>
      <c r="J207" s="325"/>
      <c r="K207" s="313"/>
      <c r="L207" s="303"/>
      <c r="M207" s="241"/>
      <c r="N207" s="303"/>
      <c r="O207" s="111"/>
      <c r="P207" s="111"/>
      <c r="Q207" s="263"/>
      <c r="R207" s="260"/>
      <c r="S207" s="260"/>
      <c r="T207" s="242"/>
      <c r="U207" s="242"/>
      <c r="V207" s="181"/>
      <c r="W207" s="120"/>
      <c r="X207" s="120"/>
      <c r="Y207" s="120"/>
      <c r="Z207" s="111"/>
      <c r="AA207" s="66"/>
      <c r="AB207" s="181"/>
      <c r="AC207" s="120"/>
      <c r="AD207" s="181"/>
      <c r="AE207" s="218"/>
      <c r="AF207" s="241"/>
      <c r="AG207" s="242"/>
      <c r="AH207" s="353"/>
      <c r="AI207" s="353"/>
      <c r="AJ207" s="353"/>
      <c r="AK207" s="353"/>
      <c r="AL207" s="66"/>
      <c r="AM207" s="181"/>
      <c r="AN207" s="66"/>
      <c r="AO207" s="137"/>
      <c r="AP207" s="137"/>
      <c r="AQ207" s="181"/>
      <c r="AS207" s="364"/>
      <c r="AT207" s="364"/>
      <c r="AU207" s="364"/>
      <c r="AV207" s="364"/>
      <c r="AW207" s="364"/>
      <c r="AX207" s="364"/>
      <c r="AY207" s="364"/>
      <c r="AZ207" s="364"/>
      <c r="BA207" s="364"/>
      <c r="BB207" s="364"/>
      <c r="BC207" s="364"/>
    </row>
    <row r="208" spans="1:60" hidden="1" x14ac:dyDescent="0.2">
      <c r="A208" s="283">
        <v>134</v>
      </c>
      <c r="B208" s="219"/>
      <c r="C208" s="219"/>
      <c r="D208" s="219"/>
      <c r="E208" s="120"/>
      <c r="F208" s="120"/>
      <c r="G208" s="287"/>
      <c r="H208" s="298"/>
      <c r="I208" s="395"/>
      <c r="J208" s="284"/>
      <c r="K208" s="285"/>
      <c r="L208" s="120"/>
      <c r="M208" s="241"/>
      <c r="N208" s="303"/>
      <c r="O208" s="111"/>
      <c r="P208" s="111"/>
      <c r="Q208" s="263"/>
      <c r="R208" s="260"/>
      <c r="S208" s="260"/>
      <c r="T208" s="242"/>
      <c r="U208" s="242"/>
      <c r="V208" s="120"/>
      <c r="W208" s="41"/>
      <c r="X208" s="221"/>
      <c r="Y208" s="342"/>
      <c r="Z208" s="111"/>
      <c r="AA208" s="66"/>
      <c r="AB208" s="181"/>
      <c r="AC208" s="181"/>
      <c r="AD208" s="181"/>
      <c r="AE208" s="218"/>
      <c r="AF208" s="241"/>
      <c r="AG208" s="242"/>
      <c r="AH208" s="353"/>
      <c r="AI208" s="353"/>
      <c r="AJ208" s="353"/>
      <c r="AK208" s="353"/>
      <c r="AL208" s="66"/>
      <c r="AM208" s="181"/>
      <c r="AN208" s="66"/>
      <c r="AO208" s="137"/>
      <c r="AP208" s="137"/>
      <c r="AQ208" s="181"/>
      <c r="AS208" s="364"/>
      <c r="AT208" s="364"/>
      <c r="AU208" s="364"/>
      <c r="AV208" s="364"/>
      <c r="AW208" s="364"/>
      <c r="AX208" s="364"/>
      <c r="AY208" s="364"/>
      <c r="AZ208" s="364"/>
      <c r="BA208" s="364"/>
      <c r="BB208" s="364"/>
      <c r="BC208" s="364"/>
    </row>
    <row r="209" spans="1:55" hidden="1" x14ac:dyDescent="0.2">
      <c r="A209" s="283">
        <v>135</v>
      </c>
      <c r="B209" s="290"/>
      <c r="C209" s="183"/>
      <c r="D209" s="183"/>
      <c r="E209" s="183"/>
      <c r="F209" s="120"/>
      <c r="G209" s="378"/>
      <c r="H209" s="298"/>
      <c r="I209" s="395"/>
      <c r="J209" s="325"/>
      <c r="K209" s="313"/>
      <c r="L209" s="303"/>
      <c r="M209" s="241"/>
      <c r="N209" s="303"/>
      <c r="O209" s="111"/>
      <c r="P209" s="111"/>
      <c r="Q209" s="263"/>
      <c r="R209" s="260"/>
      <c r="S209" s="260"/>
      <c r="T209" s="242"/>
      <c r="U209" s="242"/>
      <c r="V209" s="120"/>
      <c r="W209" s="120"/>
      <c r="X209" s="120"/>
      <c r="Y209" s="120"/>
      <c r="Z209" s="111"/>
      <c r="AA209" s="66"/>
      <c r="AB209" s="181"/>
      <c r="AC209" s="181"/>
      <c r="AD209" s="181"/>
      <c r="AE209" s="218"/>
      <c r="AF209" s="241"/>
      <c r="AG209" s="242"/>
      <c r="AH209" s="353"/>
      <c r="AI209" s="353"/>
      <c r="AJ209" s="353"/>
      <c r="AK209" s="353"/>
      <c r="AL209" s="66"/>
      <c r="AM209" s="181"/>
      <c r="AN209" s="66"/>
      <c r="AO209" s="137"/>
      <c r="AP209" s="137"/>
      <c r="AQ209" s="181"/>
      <c r="AS209" s="364"/>
      <c r="AT209" s="364"/>
      <c r="AU209" s="364"/>
      <c r="AV209" s="364"/>
      <c r="AW209" s="364"/>
      <c r="AX209" s="364"/>
      <c r="AY209" s="364"/>
      <c r="AZ209" s="364"/>
      <c r="BA209" s="364"/>
      <c r="BB209" s="364"/>
      <c r="BC209" s="364"/>
    </row>
    <row r="210" spans="1:55" hidden="1" x14ac:dyDescent="0.2">
      <c r="A210" s="283">
        <v>136</v>
      </c>
      <c r="B210" s="216"/>
      <c r="C210" s="183"/>
      <c r="D210" s="215"/>
      <c r="E210" s="183"/>
      <c r="F210" s="120"/>
      <c r="G210" s="378"/>
      <c r="H210" s="298"/>
      <c r="I210" s="395"/>
      <c r="J210" s="325"/>
      <c r="K210" s="313"/>
      <c r="L210" s="303"/>
      <c r="M210" s="241"/>
      <c r="N210" s="303"/>
      <c r="O210" s="111"/>
      <c r="P210" s="111"/>
      <c r="Q210" s="263"/>
      <c r="R210" s="260"/>
      <c r="S210" s="260"/>
      <c r="T210" s="242"/>
      <c r="U210" s="242"/>
      <c r="V210" s="120"/>
      <c r="W210" s="41"/>
      <c r="X210" s="120"/>
      <c r="Y210" s="120"/>
      <c r="Z210" s="111"/>
      <c r="AA210" s="66"/>
      <c r="AB210" s="181"/>
      <c r="AC210" s="181"/>
      <c r="AD210" s="181"/>
      <c r="AE210" s="218"/>
      <c r="AF210" s="241"/>
      <c r="AG210" s="242"/>
      <c r="AH210" s="353"/>
      <c r="AI210" s="353"/>
      <c r="AJ210" s="353"/>
      <c r="AK210" s="353"/>
      <c r="AL210" s="66"/>
      <c r="AM210" s="181"/>
      <c r="AN210" s="66"/>
      <c r="AO210" s="137"/>
      <c r="AP210" s="137"/>
      <c r="AQ210" s="181"/>
      <c r="AS210" s="364"/>
      <c r="AT210" s="364"/>
      <c r="AU210" s="364"/>
      <c r="AV210" s="364"/>
      <c r="AW210" s="364"/>
      <c r="AX210" s="364"/>
      <c r="AY210" s="364"/>
      <c r="AZ210" s="364"/>
      <c r="BA210" s="364"/>
      <c r="BB210" s="364"/>
      <c r="BC210" s="364"/>
    </row>
    <row r="211" spans="1:55" hidden="1" x14ac:dyDescent="0.2">
      <c r="A211" s="283">
        <v>137</v>
      </c>
      <c r="B211" s="290"/>
      <c r="C211" s="183"/>
      <c r="D211" s="291"/>
      <c r="E211" s="183"/>
      <c r="F211" s="120"/>
      <c r="G211" s="378"/>
      <c r="H211" s="298"/>
      <c r="I211" s="395"/>
      <c r="J211" s="325"/>
      <c r="K211" s="313"/>
      <c r="L211" s="303"/>
      <c r="M211" s="241"/>
      <c r="N211" s="303"/>
      <c r="O211" s="111"/>
      <c r="P211" s="111"/>
      <c r="Q211" s="263"/>
      <c r="R211" s="260"/>
      <c r="S211" s="260"/>
      <c r="T211" s="242"/>
      <c r="U211" s="242"/>
      <c r="V211" s="120"/>
      <c r="W211" s="66"/>
      <c r="X211" s="120"/>
      <c r="Y211" s="120"/>
      <c r="Z211" s="111"/>
      <c r="AA211" s="66"/>
      <c r="AB211" s="181"/>
      <c r="AC211" s="181"/>
      <c r="AD211" s="181"/>
      <c r="AE211" s="218"/>
      <c r="AF211" s="241"/>
      <c r="AG211" s="242"/>
      <c r="AH211" s="353"/>
      <c r="AI211" s="353"/>
      <c r="AJ211" s="353"/>
      <c r="AK211" s="353"/>
      <c r="AL211" s="66"/>
      <c r="AM211" s="181"/>
      <c r="AN211" s="66"/>
      <c r="AO211" s="137"/>
      <c r="AP211" s="137"/>
      <c r="AQ211" s="181"/>
      <c r="AS211" s="364"/>
      <c r="AT211" s="364"/>
      <c r="AU211" s="364"/>
      <c r="AV211" s="364"/>
      <c r="AW211" s="364"/>
      <c r="AX211" s="364"/>
      <c r="AY211" s="364"/>
      <c r="AZ211" s="364"/>
      <c r="BA211" s="364"/>
      <c r="BB211" s="364"/>
      <c r="BC211" s="364"/>
    </row>
    <row r="212" spans="1:55" ht="40" hidden="1" customHeight="1" x14ac:dyDescent="0.2">
      <c r="A212" s="283">
        <v>138</v>
      </c>
      <c r="B212" s="215"/>
      <c r="C212" s="183"/>
      <c r="D212" s="215"/>
      <c r="E212" s="215"/>
      <c r="F212" s="120"/>
      <c r="G212" s="378"/>
      <c r="H212" s="298"/>
      <c r="I212" s="395"/>
      <c r="J212" s="316"/>
      <c r="K212" s="313"/>
      <c r="L212" s="181"/>
      <c r="M212" s="241"/>
      <c r="N212" s="303"/>
      <c r="O212" s="111"/>
      <c r="P212" s="111"/>
      <c r="Q212" s="263"/>
      <c r="R212" s="260"/>
      <c r="S212" s="260"/>
      <c r="T212" s="242"/>
      <c r="U212" s="242"/>
      <c r="V212" s="181"/>
      <c r="W212" s="111"/>
      <c r="X212" s="120"/>
      <c r="Y212" s="120"/>
      <c r="Z212" s="111"/>
      <c r="AA212" s="66"/>
      <c r="AB212" s="111"/>
      <c r="AC212" s="111"/>
      <c r="AD212" s="111"/>
      <c r="AE212" s="111"/>
      <c r="AF212" s="241"/>
      <c r="AG212" s="242"/>
      <c r="AH212" s="353"/>
      <c r="AI212" s="353"/>
      <c r="AJ212" s="353"/>
      <c r="AK212" s="353"/>
      <c r="AL212" s="260"/>
      <c r="AM212" s="260"/>
      <c r="AN212" s="260"/>
      <c r="AO212" s="260"/>
      <c r="AP212" s="260"/>
      <c r="AQ212" s="111"/>
      <c r="AS212" s="364"/>
      <c r="AT212" s="364"/>
      <c r="AU212" s="364"/>
      <c r="AV212" s="364"/>
      <c r="AW212" s="364"/>
      <c r="AX212" s="364"/>
      <c r="AY212" s="364"/>
      <c r="AZ212" s="364"/>
      <c r="BA212" s="364"/>
      <c r="BB212" s="364"/>
      <c r="BC212" s="364"/>
    </row>
    <row r="213" spans="1:55" hidden="1" x14ac:dyDescent="0.2">
      <c r="A213" s="283">
        <v>139</v>
      </c>
      <c r="B213" s="290"/>
      <c r="C213" s="183"/>
      <c r="D213" s="183"/>
      <c r="E213" s="183"/>
      <c r="F213" s="120"/>
      <c r="G213" s="378"/>
      <c r="H213" s="298"/>
      <c r="I213" s="395"/>
      <c r="J213" s="316"/>
      <c r="K213" s="313"/>
      <c r="L213" s="181"/>
      <c r="M213" s="241"/>
      <c r="N213" s="303"/>
      <c r="O213" s="111"/>
      <c r="P213" s="111"/>
      <c r="Q213" s="263"/>
      <c r="R213" s="260"/>
      <c r="S213" s="260"/>
      <c r="T213" s="242"/>
      <c r="U213" s="242"/>
      <c r="V213" s="181"/>
      <c r="W213" s="111"/>
      <c r="X213" s="120"/>
      <c r="Y213" s="120"/>
      <c r="Z213" s="111"/>
      <c r="AA213" s="66"/>
      <c r="AB213" s="111"/>
      <c r="AC213" s="111"/>
      <c r="AD213" s="111"/>
      <c r="AE213" s="111"/>
      <c r="AF213" s="241"/>
      <c r="AG213" s="242"/>
      <c r="AH213" s="353"/>
      <c r="AI213" s="353"/>
      <c r="AJ213" s="353"/>
      <c r="AK213" s="353"/>
      <c r="AL213" s="260"/>
      <c r="AM213" s="260"/>
      <c r="AN213" s="260"/>
      <c r="AO213" s="260"/>
      <c r="AP213" s="260"/>
      <c r="AQ213" s="111"/>
      <c r="AS213" s="364"/>
      <c r="AT213" s="364"/>
      <c r="AU213" s="364"/>
      <c r="AV213" s="364"/>
      <c r="AW213" s="364"/>
      <c r="AX213" s="364"/>
      <c r="AY213" s="364"/>
      <c r="AZ213" s="364"/>
      <c r="BA213" s="364"/>
      <c r="BB213" s="364"/>
      <c r="BC213" s="364"/>
    </row>
    <row r="214" spans="1:55" hidden="1" x14ac:dyDescent="0.2">
      <c r="A214" s="283">
        <v>140</v>
      </c>
      <c r="B214" s="219"/>
      <c r="C214" s="219"/>
      <c r="D214" s="291"/>
      <c r="E214" s="120"/>
      <c r="F214" s="120"/>
      <c r="G214" s="378"/>
      <c r="H214" s="298"/>
      <c r="I214" s="395"/>
      <c r="J214" s="284"/>
      <c r="K214" s="285"/>
      <c r="L214" s="120"/>
      <c r="M214" s="241"/>
      <c r="N214" s="303"/>
      <c r="O214" s="111"/>
      <c r="P214" s="111"/>
      <c r="Q214" s="263"/>
      <c r="R214" s="260"/>
      <c r="S214" s="260"/>
      <c r="T214" s="242"/>
      <c r="U214" s="242"/>
      <c r="V214" s="120"/>
      <c r="W214" s="41"/>
      <c r="X214" s="342"/>
      <c r="Y214" s="120"/>
      <c r="Z214" s="111"/>
      <c r="AA214" s="66"/>
      <c r="AB214" s="181"/>
      <c r="AC214" s="181"/>
      <c r="AD214" s="181"/>
      <c r="AE214" s="218"/>
      <c r="AF214" s="241"/>
      <c r="AG214" s="242"/>
      <c r="AH214" s="353"/>
      <c r="AI214" s="353"/>
      <c r="AJ214" s="353"/>
      <c r="AK214" s="353"/>
      <c r="AL214" s="66"/>
      <c r="AM214" s="181"/>
      <c r="AN214" s="66"/>
      <c r="AO214" s="138"/>
      <c r="AP214" s="138"/>
      <c r="AQ214" s="181"/>
      <c r="AS214" s="364"/>
      <c r="AT214" s="364"/>
      <c r="AU214" s="364"/>
      <c r="AV214" s="364"/>
      <c r="AW214" s="364"/>
      <c r="AX214" s="364"/>
      <c r="AY214" s="364"/>
      <c r="AZ214" s="364"/>
      <c r="BA214" s="364"/>
      <c r="BB214" s="364"/>
      <c r="BC214" s="364"/>
    </row>
    <row r="215" spans="1:55" hidden="1" x14ac:dyDescent="0.2">
      <c r="A215" s="283">
        <v>141</v>
      </c>
      <c r="B215" s="216"/>
      <c r="C215" s="219"/>
      <c r="D215" s="219"/>
      <c r="E215" s="120"/>
      <c r="F215" s="120"/>
      <c r="G215" s="378"/>
      <c r="H215" s="298"/>
      <c r="I215" s="395"/>
      <c r="J215" s="326"/>
      <c r="K215" s="327"/>
      <c r="L215" s="120"/>
      <c r="M215" s="241"/>
      <c r="N215" s="303"/>
      <c r="O215" s="111"/>
      <c r="P215" s="111"/>
      <c r="Q215" s="263"/>
      <c r="R215" s="260"/>
      <c r="S215" s="260"/>
      <c r="T215" s="242"/>
      <c r="U215" s="242"/>
      <c r="V215" s="120"/>
      <c r="W215" s="41"/>
      <c r="X215" s="342"/>
      <c r="Y215" s="120"/>
      <c r="Z215" s="111"/>
      <c r="AA215" s="66"/>
      <c r="AB215" s="181"/>
      <c r="AC215" s="181"/>
      <c r="AD215" s="181"/>
      <c r="AE215" s="218"/>
      <c r="AF215" s="241"/>
      <c r="AG215" s="242"/>
      <c r="AH215" s="353"/>
      <c r="AI215" s="353"/>
      <c r="AJ215" s="353"/>
      <c r="AK215" s="353"/>
      <c r="AL215" s="66"/>
      <c r="AM215" s="181"/>
      <c r="AN215" s="66"/>
      <c r="AO215" s="138"/>
      <c r="AP215" s="138"/>
      <c r="AQ215" s="181"/>
      <c r="AS215" s="364"/>
      <c r="AT215" s="364"/>
      <c r="AU215" s="364"/>
      <c r="AV215" s="364"/>
      <c r="AW215" s="364"/>
      <c r="AX215" s="364"/>
      <c r="AY215" s="364"/>
      <c r="AZ215" s="364"/>
      <c r="BA215" s="364"/>
      <c r="BB215" s="364"/>
      <c r="BC215" s="364"/>
    </row>
    <row r="216" spans="1:55" hidden="1" x14ac:dyDescent="0.2">
      <c r="A216" s="283">
        <v>142</v>
      </c>
      <c r="B216" s="290"/>
      <c r="C216" s="183"/>
      <c r="D216" s="183"/>
      <c r="E216" s="183"/>
      <c r="F216" s="120"/>
      <c r="G216" s="378"/>
      <c r="H216" s="298"/>
      <c r="I216" s="395"/>
      <c r="J216" s="316"/>
      <c r="K216" s="313"/>
      <c r="L216" s="298"/>
      <c r="M216" s="241"/>
      <c r="N216" s="303"/>
      <c r="O216" s="111"/>
      <c r="P216" s="111"/>
      <c r="Q216" s="263"/>
      <c r="R216" s="260"/>
      <c r="S216" s="260"/>
      <c r="T216" s="242"/>
      <c r="U216" s="242"/>
      <c r="V216" s="120"/>
      <c r="W216" s="120"/>
      <c r="X216" s="120"/>
      <c r="Y216" s="120"/>
      <c r="Z216" s="111"/>
      <c r="AA216" s="66"/>
      <c r="AB216" s="181"/>
      <c r="AC216" s="181"/>
      <c r="AD216" s="181"/>
      <c r="AE216" s="218"/>
      <c r="AF216" s="241"/>
      <c r="AG216" s="242"/>
      <c r="AH216" s="353"/>
      <c r="AI216" s="353"/>
      <c r="AJ216" s="353"/>
      <c r="AK216" s="353"/>
      <c r="AL216" s="66"/>
      <c r="AM216" s="181"/>
      <c r="AN216" s="66"/>
      <c r="AO216" s="137"/>
      <c r="AP216" s="137"/>
      <c r="AQ216" s="181"/>
      <c r="AS216" s="364"/>
      <c r="AT216" s="364"/>
      <c r="AU216" s="364"/>
      <c r="AV216" s="364"/>
      <c r="AW216" s="364"/>
      <c r="AX216" s="364"/>
      <c r="AY216" s="364"/>
      <c r="AZ216" s="364"/>
      <c r="BA216" s="364"/>
      <c r="BB216" s="364"/>
      <c r="BC216" s="364"/>
    </row>
    <row r="217" spans="1:55" hidden="1" x14ac:dyDescent="0.2">
      <c r="A217" s="283">
        <v>143</v>
      </c>
      <c r="B217" s="219"/>
      <c r="C217" s="214"/>
      <c r="D217" s="120"/>
      <c r="E217" s="120"/>
      <c r="F217" s="120"/>
      <c r="G217" s="378"/>
      <c r="H217" s="298"/>
      <c r="I217" s="392"/>
      <c r="J217" s="299"/>
      <c r="K217" s="285"/>
      <c r="L217" s="120"/>
      <c r="M217" s="241"/>
      <c r="N217" s="303"/>
      <c r="O217" s="111"/>
      <c r="P217" s="111"/>
      <c r="Q217" s="263"/>
      <c r="R217" s="262"/>
      <c r="S217" s="262"/>
      <c r="T217" s="243"/>
      <c r="U217" s="243"/>
      <c r="V217" s="120"/>
      <c r="W217" s="120"/>
      <c r="X217" s="120"/>
      <c r="Y217" s="120"/>
      <c r="Z217" s="111"/>
      <c r="AA217" s="66"/>
      <c r="AB217" s="220"/>
      <c r="AC217" s="220"/>
      <c r="AD217" s="220"/>
      <c r="AE217" s="361"/>
      <c r="AF217" s="241"/>
      <c r="AG217" s="242"/>
      <c r="AH217" s="353"/>
      <c r="AI217" s="353"/>
      <c r="AJ217" s="353"/>
      <c r="AK217" s="353"/>
      <c r="AL217" s="66"/>
      <c r="AM217" s="181"/>
      <c r="AN217" s="66"/>
      <c r="AO217" s="137"/>
      <c r="AP217" s="137"/>
      <c r="AQ217" s="181"/>
      <c r="AS217" s="364"/>
      <c r="AT217" s="364"/>
      <c r="AU217" s="364"/>
      <c r="AV217" s="364"/>
      <c r="AW217" s="364"/>
      <c r="AX217" s="364"/>
      <c r="AY217" s="364"/>
      <c r="AZ217" s="364"/>
      <c r="BA217" s="364"/>
      <c r="BB217" s="364"/>
      <c r="BC217" s="364"/>
    </row>
    <row r="218" spans="1:55" hidden="1" x14ac:dyDescent="0.2">
      <c r="A218" s="283">
        <v>144</v>
      </c>
      <c r="B218" s="290"/>
      <c r="C218" s="221"/>
      <c r="D218" s="183"/>
      <c r="E218" s="183"/>
      <c r="F218" s="120"/>
      <c r="G218" s="378"/>
      <c r="H218" s="298"/>
      <c r="I218" s="395"/>
      <c r="J218" s="316"/>
      <c r="K218" s="313"/>
      <c r="L218" s="303"/>
      <c r="M218" s="241"/>
      <c r="N218" s="303"/>
      <c r="O218" s="111"/>
      <c r="P218" s="111"/>
      <c r="Q218" s="263"/>
      <c r="R218" s="260"/>
      <c r="S218" s="260"/>
      <c r="T218" s="242"/>
      <c r="U218" s="242"/>
      <c r="V218" s="120"/>
      <c r="W218" s="120"/>
      <c r="X218" s="120"/>
      <c r="Y218" s="120"/>
      <c r="Z218" s="111"/>
      <c r="AA218" s="66"/>
      <c r="AB218" s="181"/>
      <c r="AC218" s="181"/>
      <c r="AD218" s="181"/>
      <c r="AE218" s="218"/>
      <c r="AF218" s="241"/>
      <c r="AG218" s="242"/>
      <c r="AH218" s="353"/>
      <c r="AI218" s="353"/>
      <c r="AJ218" s="353"/>
      <c r="AK218" s="353"/>
      <c r="AL218" s="66"/>
      <c r="AM218" s="181"/>
      <c r="AN218" s="66"/>
      <c r="AO218" s="137"/>
      <c r="AP218" s="137"/>
      <c r="AQ218" s="181"/>
      <c r="AS218" s="364"/>
      <c r="AT218" s="364"/>
      <c r="AU218" s="364"/>
      <c r="AV218" s="364"/>
      <c r="AW218" s="364"/>
      <c r="AX218" s="364"/>
      <c r="AY218" s="364"/>
      <c r="AZ218" s="364"/>
      <c r="BA218" s="364"/>
      <c r="BB218" s="364"/>
      <c r="BC218" s="364"/>
    </row>
    <row r="219" spans="1:55" hidden="1" x14ac:dyDescent="0.2">
      <c r="A219" s="283">
        <v>145</v>
      </c>
      <c r="B219" s="290"/>
      <c r="C219" s="183"/>
      <c r="D219" s="183"/>
      <c r="E219" s="183"/>
      <c r="F219" s="120"/>
      <c r="G219" s="378"/>
      <c r="H219" s="298"/>
      <c r="I219" s="395"/>
      <c r="J219" s="316"/>
      <c r="K219" s="313"/>
      <c r="L219" s="303"/>
      <c r="M219" s="241"/>
      <c r="N219" s="303"/>
      <c r="O219" s="111"/>
      <c r="P219" s="111"/>
      <c r="Q219" s="263"/>
      <c r="R219" s="260"/>
      <c r="S219" s="260"/>
      <c r="T219" s="242"/>
      <c r="U219" s="242"/>
      <c r="V219" s="181"/>
      <c r="W219" s="120"/>
      <c r="X219" s="120"/>
      <c r="Y219" s="120"/>
      <c r="Z219" s="111"/>
      <c r="AA219" s="66"/>
      <c r="AB219" s="181"/>
      <c r="AC219" s="181"/>
      <c r="AD219" s="181"/>
      <c r="AE219" s="218"/>
      <c r="AF219" s="241"/>
      <c r="AG219" s="242"/>
      <c r="AH219" s="353"/>
      <c r="AI219" s="353"/>
      <c r="AJ219" s="353"/>
      <c r="AK219" s="353"/>
      <c r="AL219" s="66"/>
      <c r="AM219" s="181"/>
      <c r="AN219" s="66"/>
      <c r="AO219" s="137"/>
      <c r="AP219" s="137"/>
      <c r="AQ219" s="181"/>
      <c r="AS219" s="364"/>
      <c r="AT219" s="364"/>
      <c r="AU219" s="364"/>
      <c r="AV219" s="364"/>
      <c r="AW219" s="364"/>
      <c r="AX219" s="364"/>
      <c r="AY219" s="364"/>
      <c r="AZ219" s="364"/>
      <c r="BA219" s="364"/>
      <c r="BB219" s="364"/>
      <c r="BC219" s="364"/>
    </row>
    <row r="220" spans="1:55" ht="37.5" hidden="1" customHeight="1" x14ac:dyDescent="0.2">
      <c r="A220" s="283">
        <v>146</v>
      </c>
      <c r="B220" s="120"/>
      <c r="C220" s="120"/>
      <c r="D220" s="183"/>
      <c r="E220" s="183"/>
      <c r="F220" s="120"/>
      <c r="G220" s="378"/>
      <c r="H220" s="298"/>
      <c r="I220" s="289"/>
      <c r="J220" s="316"/>
      <c r="K220" s="285"/>
      <c r="L220" s="303"/>
      <c r="M220" s="241"/>
      <c r="N220" s="303"/>
      <c r="O220" s="111"/>
      <c r="P220" s="111"/>
      <c r="Q220" s="263"/>
      <c r="R220" s="260"/>
      <c r="S220" s="260"/>
      <c r="T220" s="242"/>
      <c r="U220" s="242"/>
      <c r="V220" s="120"/>
      <c r="W220" s="120"/>
      <c r="X220" s="120"/>
      <c r="Y220" s="120"/>
      <c r="Z220" s="111"/>
      <c r="AA220" s="66"/>
      <c r="AB220" s="181"/>
      <c r="AC220" s="181"/>
      <c r="AD220" s="181"/>
      <c r="AE220" s="218"/>
      <c r="AF220" s="241"/>
      <c r="AG220" s="242"/>
      <c r="AH220" s="353"/>
      <c r="AI220" s="353"/>
      <c r="AJ220" s="353"/>
      <c r="AK220" s="353"/>
      <c r="AL220" s="66"/>
      <c r="AM220" s="181"/>
      <c r="AN220" s="66"/>
      <c r="AO220" s="137"/>
      <c r="AP220" s="137"/>
      <c r="AQ220" s="181"/>
      <c r="AS220" s="364"/>
      <c r="AT220" s="364"/>
      <c r="AU220" s="364"/>
      <c r="AV220" s="364"/>
      <c r="AW220" s="364"/>
      <c r="AX220" s="364"/>
      <c r="AY220" s="364"/>
      <c r="AZ220" s="364"/>
      <c r="BA220" s="364"/>
      <c r="BB220" s="364"/>
      <c r="BC220" s="364"/>
    </row>
    <row r="221" spans="1:55" ht="54" hidden="1" customHeight="1" x14ac:dyDescent="0.2">
      <c r="A221" s="283">
        <v>147</v>
      </c>
      <c r="B221" s="290"/>
      <c r="C221" s="183"/>
      <c r="D221" s="183"/>
      <c r="E221" s="183"/>
      <c r="F221" s="120"/>
      <c r="G221" s="378"/>
      <c r="H221" s="298"/>
      <c r="I221" s="395"/>
      <c r="J221" s="316"/>
      <c r="K221" s="313"/>
      <c r="L221" s="303"/>
      <c r="M221" s="241"/>
      <c r="N221" s="303"/>
      <c r="O221" s="111"/>
      <c r="P221" s="111"/>
      <c r="Q221" s="263"/>
      <c r="R221" s="260"/>
      <c r="S221" s="260"/>
      <c r="T221" s="242"/>
      <c r="U221" s="242"/>
      <c r="V221" s="120"/>
      <c r="W221" s="120"/>
      <c r="X221" s="120"/>
      <c r="Y221" s="120"/>
      <c r="Z221" s="111"/>
      <c r="AA221" s="66"/>
      <c r="AB221" s="181"/>
      <c r="AC221" s="181"/>
      <c r="AD221" s="181"/>
      <c r="AE221" s="218"/>
      <c r="AF221" s="241"/>
      <c r="AG221" s="242"/>
      <c r="AH221" s="353"/>
      <c r="AI221" s="353"/>
      <c r="AJ221" s="353"/>
      <c r="AK221" s="353"/>
      <c r="AL221" s="66"/>
      <c r="AM221" s="181"/>
      <c r="AN221" s="66"/>
      <c r="AO221" s="137"/>
      <c r="AP221" s="137"/>
      <c r="AQ221" s="181"/>
      <c r="AS221" s="364"/>
      <c r="AT221" s="364"/>
      <c r="AU221" s="364"/>
      <c r="AV221" s="364"/>
      <c r="AW221" s="364"/>
      <c r="AX221" s="364"/>
      <c r="AY221" s="364"/>
      <c r="AZ221" s="364"/>
      <c r="BA221" s="364"/>
      <c r="BB221" s="364"/>
      <c r="BC221" s="364"/>
    </row>
    <row r="222" spans="1:55" ht="54" hidden="1" customHeight="1" x14ac:dyDescent="0.2">
      <c r="A222" s="283">
        <v>148</v>
      </c>
      <c r="B222" s="290"/>
      <c r="C222" s="183"/>
      <c r="D222" s="183"/>
      <c r="E222" s="183"/>
      <c r="F222" s="120"/>
      <c r="G222" s="378"/>
      <c r="H222" s="298"/>
      <c r="I222" s="395"/>
      <c r="J222" s="316"/>
      <c r="K222" s="313"/>
      <c r="L222" s="303"/>
      <c r="M222" s="241"/>
      <c r="N222" s="303"/>
      <c r="O222" s="111"/>
      <c r="P222" s="111"/>
      <c r="Q222" s="263"/>
      <c r="R222" s="260"/>
      <c r="S222" s="260"/>
      <c r="T222" s="242"/>
      <c r="U222" s="242"/>
      <c r="V222" s="120"/>
      <c r="W222" s="41"/>
      <c r="X222" s="120"/>
      <c r="Y222" s="120"/>
      <c r="Z222" s="111"/>
      <c r="AA222" s="66"/>
      <c r="AB222" s="181"/>
      <c r="AC222" s="181"/>
      <c r="AD222" s="181"/>
      <c r="AE222" s="218"/>
      <c r="AF222" s="241"/>
      <c r="AG222" s="242"/>
      <c r="AH222" s="353"/>
      <c r="AI222" s="353"/>
      <c r="AJ222" s="353"/>
      <c r="AK222" s="353"/>
      <c r="AL222" s="66"/>
      <c r="AM222" s="181"/>
      <c r="AN222" s="66"/>
      <c r="AO222" s="137"/>
      <c r="AP222" s="137"/>
      <c r="AQ222" s="181"/>
      <c r="AS222" s="364"/>
      <c r="AT222" s="364"/>
      <c r="AU222" s="364"/>
      <c r="AV222" s="364"/>
      <c r="AW222" s="364"/>
      <c r="AX222" s="364"/>
      <c r="AY222" s="364"/>
      <c r="AZ222" s="364"/>
      <c r="BA222" s="364"/>
      <c r="BB222" s="364"/>
      <c r="BC222" s="364"/>
    </row>
    <row r="223" spans="1:55" ht="78" hidden="1" customHeight="1" x14ac:dyDescent="0.2">
      <c r="A223" s="283">
        <v>149</v>
      </c>
      <c r="B223" s="219"/>
      <c r="C223" s="183"/>
      <c r="D223" s="183"/>
      <c r="E223" s="183"/>
      <c r="F223" s="120"/>
      <c r="G223" s="378"/>
      <c r="H223" s="298"/>
      <c r="I223" s="395"/>
      <c r="J223" s="328"/>
      <c r="K223" s="313"/>
      <c r="L223" s="120"/>
      <c r="M223" s="241"/>
      <c r="N223" s="303"/>
      <c r="O223" s="111"/>
      <c r="P223" s="111"/>
      <c r="Q223" s="263"/>
      <c r="R223" s="262"/>
      <c r="S223" s="260"/>
      <c r="T223" s="264"/>
      <c r="U223" s="242"/>
      <c r="V223" s="120"/>
      <c r="W223" s="181"/>
      <c r="X223" s="221"/>
      <c r="Y223" s="120"/>
      <c r="Z223" s="111"/>
      <c r="AA223" s="66"/>
      <c r="AB223" s="181"/>
      <c r="AC223" s="181"/>
      <c r="AD223" s="181"/>
      <c r="AE223" s="218"/>
      <c r="AF223" s="241"/>
      <c r="AG223" s="242"/>
      <c r="AH223" s="353"/>
      <c r="AI223" s="353"/>
      <c r="AJ223" s="353"/>
      <c r="AK223" s="353"/>
      <c r="AL223" s="66"/>
      <c r="AM223" s="181"/>
      <c r="AN223" s="66"/>
      <c r="AO223" s="137"/>
      <c r="AP223" s="137"/>
      <c r="AQ223" s="181"/>
      <c r="AS223" s="364"/>
      <c r="AT223" s="364"/>
      <c r="AU223" s="364"/>
      <c r="AV223" s="364"/>
      <c r="AW223" s="364"/>
      <c r="AX223" s="364"/>
      <c r="AY223" s="364"/>
      <c r="AZ223" s="364"/>
      <c r="BA223" s="364"/>
      <c r="BB223" s="364"/>
      <c r="BC223" s="364"/>
    </row>
    <row r="224" spans="1:55" ht="26" hidden="1" customHeight="1" x14ac:dyDescent="0.2">
      <c r="A224" s="283">
        <v>150</v>
      </c>
      <c r="B224" s="219"/>
      <c r="C224" s="120"/>
      <c r="D224" s="120"/>
      <c r="E224" s="120"/>
      <c r="F224" s="120"/>
      <c r="G224" s="378"/>
      <c r="H224" s="298"/>
      <c r="I224" s="392"/>
      <c r="J224" s="284"/>
      <c r="K224" s="285"/>
      <c r="L224" s="298"/>
      <c r="M224" s="241"/>
      <c r="N224" s="243"/>
      <c r="O224" s="111"/>
      <c r="P224" s="120"/>
      <c r="Q224" s="263"/>
      <c r="R224" s="262"/>
      <c r="S224" s="260"/>
      <c r="T224" s="66"/>
      <c r="U224" s="242"/>
      <c r="V224" s="120"/>
      <c r="W224" s="120"/>
      <c r="X224" s="120"/>
      <c r="Y224" s="120"/>
      <c r="Z224" s="111"/>
      <c r="AA224" s="66"/>
      <c r="AB224" s="181"/>
      <c r="AC224" s="181"/>
      <c r="AD224" s="181"/>
      <c r="AE224" s="218"/>
      <c r="AF224" s="241"/>
      <c r="AG224" s="242"/>
      <c r="AH224" s="353"/>
      <c r="AI224" s="353"/>
      <c r="AJ224" s="353"/>
      <c r="AK224" s="353"/>
      <c r="AL224" s="66"/>
      <c r="AM224" s="181"/>
      <c r="AN224" s="66"/>
      <c r="AO224" s="137"/>
      <c r="AP224" s="137"/>
      <c r="AQ224" s="181"/>
      <c r="AS224" s="364"/>
      <c r="AT224" s="364"/>
      <c r="AU224" s="364"/>
      <c r="AV224" s="364"/>
      <c r="AW224" s="364"/>
      <c r="AX224" s="364"/>
      <c r="AY224" s="364"/>
      <c r="AZ224" s="364"/>
      <c r="BA224" s="364"/>
      <c r="BB224" s="364"/>
      <c r="BC224" s="364"/>
    </row>
    <row r="225" spans="1:60" hidden="1" x14ac:dyDescent="0.2">
      <c r="A225" s="283">
        <v>151</v>
      </c>
      <c r="B225" s="120"/>
      <c r="C225" s="120"/>
      <c r="D225" s="120"/>
      <c r="E225" s="120"/>
      <c r="F225" s="120"/>
      <c r="G225" s="378"/>
      <c r="H225" s="298"/>
      <c r="I225" s="289"/>
      <c r="J225" s="284"/>
      <c r="K225" s="285"/>
      <c r="L225" s="298"/>
      <c r="M225" s="241"/>
      <c r="N225" s="243"/>
      <c r="O225" s="111"/>
      <c r="P225" s="303"/>
      <c r="Q225" s="263"/>
      <c r="R225" s="262"/>
      <c r="S225" s="260"/>
      <c r="T225" s="242"/>
      <c r="U225" s="242"/>
      <c r="V225" s="120"/>
      <c r="W225" s="120"/>
      <c r="X225" s="120"/>
      <c r="Y225" s="120"/>
      <c r="Z225" s="111"/>
      <c r="AA225" s="66"/>
      <c r="AB225" s="181"/>
      <c r="AC225" s="181"/>
      <c r="AD225" s="181"/>
      <c r="AE225" s="218"/>
      <c r="AF225" s="241"/>
      <c r="AG225" s="242"/>
      <c r="AH225" s="353"/>
      <c r="AI225" s="353"/>
      <c r="AJ225" s="353"/>
      <c r="AK225" s="353"/>
      <c r="AL225" s="66"/>
      <c r="AM225" s="181"/>
      <c r="AN225" s="66"/>
      <c r="AO225" s="137"/>
      <c r="AP225" s="137"/>
      <c r="AQ225" s="181"/>
      <c r="AS225" s="364"/>
      <c r="AT225" s="364"/>
      <c r="AU225" s="364"/>
      <c r="AV225" s="364"/>
      <c r="AW225" s="364"/>
      <c r="AX225" s="364"/>
      <c r="AY225" s="364"/>
      <c r="AZ225" s="364"/>
      <c r="BA225" s="364"/>
      <c r="BB225" s="364"/>
      <c r="BC225" s="364"/>
    </row>
    <row r="226" spans="1:60" ht="38.5" hidden="1" customHeight="1" x14ac:dyDescent="0.2">
      <c r="A226" s="283">
        <v>152</v>
      </c>
      <c r="B226" s="219"/>
      <c r="C226" s="120"/>
      <c r="D226" s="120"/>
      <c r="E226" s="120"/>
      <c r="F226" s="120"/>
      <c r="G226" s="378"/>
      <c r="H226" s="298"/>
      <c r="I226" s="392"/>
      <c r="J226" s="284"/>
      <c r="K226" s="285"/>
      <c r="L226" s="120"/>
      <c r="M226" s="241"/>
      <c r="N226" s="303"/>
      <c r="O226" s="111"/>
      <c r="P226" s="111"/>
      <c r="Q226" s="263"/>
      <c r="R226" s="262"/>
      <c r="S226" s="260"/>
      <c r="T226" s="264"/>
      <c r="U226" s="242"/>
      <c r="V226" s="120"/>
      <c r="W226" s="181"/>
      <c r="X226" s="221"/>
      <c r="Y226" s="120"/>
      <c r="Z226" s="111"/>
      <c r="AA226" s="66"/>
      <c r="AB226" s="181"/>
      <c r="AC226" s="181"/>
      <c r="AD226" s="181"/>
      <c r="AE226" s="218"/>
      <c r="AF226" s="241"/>
      <c r="AG226" s="242"/>
      <c r="AH226" s="353"/>
      <c r="AI226" s="353"/>
      <c r="AJ226" s="353"/>
      <c r="AK226" s="353"/>
      <c r="AL226" s="66"/>
      <c r="AM226" s="181"/>
      <c r="AN226" s="66"/>
      <c r="AO226" s="137"/>
      <c r="AP226" s="137"/>
      <c r="AQ226" s="181"/>
      <c r="AS226" s="364"/>
      <c r="AT226" s="364"/>
      <c r="AU226" s="364"/>
      <c r="AV226" s="364"/>
      <c r="AW226" s="364"/>
      <c r="AX226" s="364"/>
      <c r="AY226" s="364"/>
      <c r="AZ226" s="364"/>
      <c r="BA226" s="364"/>
      <c r="BB226" s="364"/>
      <c r="BC226" s="364"/>
    </row>
    <row r="227" spans="1:60" ht="48" hidden="1" customHeight="1" x14ac:dyDescent="0.2">
      <c r="A227" s="283">
        <v>153</v>
      </c>
      <c r="B227" s="219"/>
      <c r="C227" s="120"/>
      <c r="D227" s="120"/>
      <c r="E227" s="120"/>
      <c r="F227" s="120"/>
      <c r="G227" s="378"/>
      <c r="H227" s="298"/>
      <c r="I227" s="392"/>
      <c r="J227" s="284"/>
      <c r="K227" s="285"/>
      <c r="L227" s="298"/>
      <c r="M227" s="241"/>
      <c r="N227" s="243"/>
      <c r="O227" s="111"/>
      <c r="P227" s="303"/>
      <c r="Q227" s="263"/>
      <c r="R227" s="262"/>
      <c r="S227" s="260"/>
      <c r="T227" s="241"/>
      <c r="U227" s="242"/>
      <c r="V227" s="120"/>
      <c r="W227" s="41"/>
      <c r="X227" s="120"/>
      <c r="Y227" s="120"/>
      <c r="Z227" s="111"/>
      <c r="AA227" s="66"/>
      <c r="AB227" s="181"/>
      <c r="AC227" s="181"/>
      <c r="AD227" s="181"/>
      <c r="AE227" s="218"/>
      <c r="AF227" s="241"/>
      <c r="AG227" s="242"/>
      <c r="AH227" s="353"/>
      <c r="AI227" s="353"/>
      <c r="AJ227" s="353"/>
      <c r="AK227" s="353"/>
      <c r="AL227" s="66"/>
      <c r="AM227" s="181"/>
      <c r="AN227" s="66"/>
      <c r="AO227" s="137"/>
      <c r="AP227" s="137"/>
      <c r="AQ227" s="181"/>
      <c r="AS227" s="364"/>
      <c r="AT227" s="364"/>
      <c r="AU227" s="364"/>
      <c r="AV227" s="364"/>
      <c r="AW227" s="364"/>
      <c r="AX227" s="364"/>
      <c r="AY227" s="364"/>
      <c r="AZ227" s="364"/>
      <c r="BA227" s="364"/>
      <c r="BB227" s="364"/>
      <c r="BC227" s="364"/>
    </row>
    <row r="228" spans="1:60" hidden="1" x14ac:dyDescent="0.2">
      <c r="A228" s="283">
        <v>154</v>
      </c>
      <c r="B228" s="219"/>
      <c r="C228" s="120"/>
      <c r="D228" s="120"/>
      <c r="E228" s="120"/>
      <c r="F228" s="120"/>
      <c r="G228" s="296"/>
      <c r="H228" s="298"/>
      <c r="I228" s="392"/>
      <c r="J228" s="284"/>
      <c r="K228" s="285"/>
      <c r="L228" s="324"/>
      <c r="M228" s="241"/>
      <c r="N228" s="243"/>
      <c r="O228" s="111"/>
      <c r="P228" s="303"/>
      <c r="Q228" s="263"/>
      <c r="R228" s="262"/>
      <c r="S228" s="261"/>
      <c r="T228" s="241"/>
      <c r="U228" s="241"/>
      <c r="V228" s="120"/>
      <c r="W228" s="66"/>
      <c r="X228" s="215"/>
      <c r="Y228" s="120"/>
      <c r="Z228" s="111"/>
      <c r="AA228" s="111"/>
      <c r="AB228" s="218"/>
      <c r="AC228" s="181"/>
      <c r="AD228" s="181"/>
      <c r="AE228" s="218"/>
      <c r="AF228" s="241"/>
      <c r="AG228" s="241"/>
      <c r="AH228" s="352"/>
      <c r="AI228" s="352"/>
      <c r="AJ228" s="352"/>
      <c r="AK228" s="352"/>
      <c r="AL228" s="111"/>
      <c r="AM228" s="181"/>
      <c r="AN228" s="66"/>
      <c r="AO228" s="137"/>
      <c r="AP228" s="137"/>
      <c r="AQ228" s="218"/>
      <c r="AS228" s="364"/>
      <c r="AT228" s="364"/>
      <c r="AU228" s="364"/>
      <c r="AV228" s="364"/>
      <c r="AW228" s="364"/>
      <c r="AX228" s="364"/>
      <c r="AY228" s="364"/>
      <c r="AZ228" s="364"/>
      <c r="BA228" s="364"/>
      <c r="BB228" s="364"/>
      <c r="BC228" s="364"/>
    </row>
    <row r="229" spans="1:60" hidden="1" x14ac:dyDescent="0.2">
      <c r="A229" s="283">
        <v>155</v>
      </c>
      <c r="B229" s="219"/>
      <c r="C229" s="120"/>
      <c r="D229" s="120"/>
      <c r="E229" s="120"/>
      <c r="F229" s="120"/>
      <c r="G229" s="295"/>
      <c r="H229" s="298"/>
      <c r="I229" s="392"/>
      <c r="J229" s="284"/>
      <c r="K229" s="285"/>
      <c r="L229" s="215"/>
      <c r="M229" s="241"/>
      <c r="N229" s="243"/>
      <c r="O229" s="111"/>
      <c r="P229" s="303"/>
      <c r="Q229" s="263"/>
      <c r="R229" s="262"/>
      <c r="S229" s="260"/>
      <c r="T229" s="242"/>
      <c r="U229" s="242"/>
      <c r="V229" s="120"/>
      <c r="W229" s="66"/>
      <c r="X229" s="215"/>
      <c r="Y229" s="120"/>
      <c r="Z229" s="111"/>
      <c r="AA229" s="66"/>
      <c r="AB229" s="181"/>
      <c r="AC229" s="181"/>
      <c r="AD229" s="181"/>
      <c r="AE229" s="218"/>
      <c r="AF229" s="241"/>
      <c r="AG229" s="242"/>
      <c r="AH229" s="353"/>
      <c r="AI229" s="353"/>
      <c r="AJ229" s="353"/>
      <c r="AK229" s="353"/>
      <c r="AL229" s="66"/>
      <c r="AM229" s="181"/>
      <c r="AN229" s="66"/>
      <c r="AO229" s="137"/>
      <c r="AP229" s="137"/>
      <c r="AQ229" s="181"/>
      <c r="AS229" s="364"/>
      <c r="AT229" s="364"/>
      <c r="AU229" s="364"/>
      <c r="AV229" s="364"/>
      <c r="AW229" s="364"/>
      <c r="AX229" s="364"/>
      <c r="AY229" s="364"/>
      <c r="AZ229" s="364"/>
      <c r="BA229" s="364"/>
      <c r="BB229" s="364"/>
      <c r="BC229" s="364"/>
    </row>
    <row r="230" spans="1:60" ht="77.5" hidden="1" customHeight="1" x14ac:dyDescent="0.2">
      <c r="A230" s="283">
        <v>156</v>
      </c>
      <c r="B230" s="219"/>
      <c r="C230" s="120"/>
      <c r="D230" s="291"/>
      <c r="E230" s="120"/>
      <c r="F230" s="120"/>
      <c r="G230" s="295"/>
      <c r="H230" s="298"/>
      <c r="I230" s="392"/>
      <c r="J230" s="284"/>
      <c r="K230" s="285"/>
      <c r="L230" s="215"/>
      <c r="M230" s="241"/>
      <c r="N230" s="243"/>
      <c r="O230" s="111"/>
      <c r="P230" s="303"/>
      <c r="Q230" s="260"/>
      <c r="R230" s="262"/>
      <c r="S230" s="260"/>
      <c r="T230" s="66"/>
      <c r="U230" s="66"/>
      <c r="V230" s="120"/>
      <c r="W230" s="66"/>
      <c r="X230" s="215"/>
      <c r="Y230" s="120"/>
      <c r="Z230" s="111"/>
      <c r="AA230" s="66"/>
      <c r="AB230" s="181"/>
      <c r="AC230" s="181"/>
      <c r="AD230" s="181"/>
      <c r="AE230" s="218"/>
      <c r="AF230" s="241"/>
      <c r="AG230" s="242"/>
      <c r="AH230" s="353"/>
      <c r="AI230" s="353"/>
      <c r="AJ230" s="353"/>
      <c r="AK230" s="353"/>
      <c r="AL230" s="66"/>
      <c r="AM230" s="181"/>
      <c r="AN230" s="66"/>
      <c r="AO230" s="137"/>
      <c r="AP230" s="137"/>
      <c r="AQ230" s="181"/>
      <c r="AS230" s="364"/>
      <c r="AT230" s="364"/>
      <c r="AU230" s="364"/>
      <c r="AV230" s="364"/>
      <c r="AW230" s="364"/>
      <c r="AX230" s="364"/>
      <c r="AY230" s="364"/>
      <c r="AZ230" s="364"/>
      <c r="BA230" s="364"/>
      <c r="BB230" s="364"/>
      <c r="BC230" s="364"/>
    </row>
    <row r="231" spans="1:60" hidden="1" x14ac:dyDescent="0.2">
      <c r="A231" s="283">
        <v>157</v>
      </c>
      <c r="B231" s="219"/>
      <c r="C231" s="120"/>
      <c r="D231" s="291"/>
      <c r="E231" s="120"/>
      <c r="F231" s="120"/>
      <c r="G231" s="378"/>
      <c r="H231" s="298"/>
      <c r="I231" s="392"/>
      <c r="J231" s="284"/>
      <c r="K231" s="285"/>
      <c r="L231" s="298"/>
      <c r="M231" s="241"/>
      <c r="N231" s="243"/>
      <c r="O231" s="111"/>
      <c r="P231" s="303"/>
      <c r="Q231" s="260"/>
      <c r="R231" s="262"/>
      <c r="S231" s="260"/>
      <c r="T231" s="66"/>
      <c r="U231" s="66"/>
      <c r="V231" s="120"/>
      <c r="W231" s="66"/>
      <c r="X231" s="215"/>
      <c r="Y231" s="120"/>
      <c r="Z231" s="111"/>
      <c r="AA231" s="66"/>
      <c r="AB231" s="181"/>
      <c r="AC231" s="181"/>
      <c r="AD231" s="181"/>
      <c r="AE231" s="218"/>
      <c r="AF231" s="241"/>
      <c r="AG231" s="242"/>
      <c r="AH231" s="353"/>
      <c r="AI231" s="353"/>
      <c r="AJ231" s="353"/>
      <c r="AK231" s="353"/>
      <c r="AL231" s="66"/>
      <c r="AM231" s="181"/>
      <c r="AN231" s="66"/>
      <c r="AO231" s="137"/>
      <c r="AP231" s="137"/>
      <c r="AQ231" s="181"/>
      <c r="AS231" s="364"/>
      <c r="AT231" s="364"/>
      <c r="AU231" s="364"/>
      <c r="AV231" s="364"/>
      <c r="AW231" s="364"/>
      <c r="AX231" s="364"/>
      <c r="AY231" s="364"/>
      <c r="AZ231" s="364"/>
      <c r="BA231" s="364"/>
      <c r="BB231" s="364"/>
      <c r="BC231" s="364"/>
    </row>
    <row r="232" spans="1:60" ht="31.5" hidden="1" customHeight="1" x14ac:dyDescent="0.2">
      <c r="A232" s="283">
        <v>158</v>
      </c>
      <c r="B232" s="219"/>
      <c r="C232" s="120"/>
      <c r="D232" s="120"/>
      <c r="E232" s="120"/>
      <c r="F232" s="120"/>
      <c r="G232" s="295"/>
      <c r="H232" s="298"/>
      <c r="I232" s="210"/>
      <c r="J232" s="284"/>
      <c r="K232" s="285"/>
      <c r="L232" s="215"/>
      <c r="M232" s="241"/>
      <c r="N232" s="243"/>
      <c r="O232" s="111"/>
      <c r="P232" s="303"/>
      <c r="Q232" s="260"/>
      <c r="R232" s="262"/>
      <c r="S232" s="262"/>
      <c r="T232" s="243"/>
      <c r="U232" s="243"/>
      <c r="V232" s="120"/>
      <c r="W232" s="66"/>
      <c r="X232" s="215"/>
      <c r="Y232" s="120"/>
      <c r="Z232" s="111"/>
      <c r="AA232" s="66"/>
      <c r="AB232" s="220"/>
      <c r="AC232" s="181"/>
      <c r="AD232" s="181"/>
      <c r="AE232" s="218"/>
      <c r="AF232" s="241"/>
      <c r="AG232" s="242"/>
      <c r="AH232" s="353"/>
      <c r="AI232" s="353"/>
      <c r="AJ232" s="353"/>
      <c r="AK232" s="353"/>
      <c r="AL232" s="66"/>
      <c r="AM232" s="181"/>
      <c r="AN232" s="66"/>
      <c r="AO232" s="137"/>
      <c r="AP232" s="137"/>
      <c r="AQ232" s="220"/>
      <c r="AS232" s="364"/>
      <c r="AT232" s="364"/>
      <c r="AU232" s="364"/>
      <c r="AV232" s="364"/>
      <c r="AW232" s="364"/>
      <c r="AX232" s="364"/>
      <c r="AY232" s="364"/>
      <c r="AZ232" s="364"/>
      <c r="BA232" s="364"/>
      <c r="BB232" s="364"/>
      <c r="BC232" s="364"/>
    </row>
    <row r="233" spans="1:60" ht="11.5" hidden="1" customHeight="1" x14ac:dyDescent="0.2">
      <c r="A233" s="283">
        <v>159</v>
      </c>
      <c r="B233" s="219"/>
      <c r="C233" s="120"/>
      <c r="D233" s="120"/>
      <c r="E233" s="120"/>
      <c r="F233" s="120"/>
      <c r="G233" s="378"/>
      <c r="H233" s="298"/>
      <c r="I233" s="210"/>
      <c r="J233" s="284"/>
      <c r="K233" s="285"/>
      <c r="L233" s="303"/>
      <c r="M233" s="241"/>
      <c r="N233" s="243"/>
      <c r="O233" s="111"/>
      <c r="P233" s="303"/>
      <c r="Q233" s="260"/>
      <c r="R233" s="262"/>
      <c r="S233" s="262"/>
      <c r="T233" s="243"/>
      <c r="U233" s="243"/>
      <c r="V233" s="120"/>
      <c r="W233" s="66"/>
      <c r="X233" s="215"/>
      <c r="Y233" s="120"/>
      <c r="Z233" s="111"/>
      <c r="AA233" s="66"/>
      <c r="AB233" s="220"/>
      <c r="AC233" s="181"/>
      <c r="AD233" s="181"/>
      <c r="AE233" s="218"/>
      <c r="AF233" s="241"/>
      <c r="AG233" s="242"/>
      <c r="AH233" s="353"/>
      <c r="AI233" s="353"/>
      <c r="AJ233" s="353"/>
      <c r="AK233" s="353"/>
      <c r="AL233" s="66"/>
      <c r="AM233" s="181"/>
      <c r="AN233" s="66"/>
      <c r="AO233" s="137"/>
      <c r="AP233" s="137"/>
      <c r="AQ233" s="224"/>
      <c r="AS233" s="364"/>
      <c r="AT233" s="364"/>
      <c r="AU233" s="364"/>
      <c r="AV233" s="364"/>
      <c r="AW233" s="364"/>
      <c r="AX233" s="364"/>
      <c r="AY233" s="364"/>
      <c r="AZ233" s="364"/>
      <c r="BA233" s="364"/>
      <c r="BB233" s="364"/>
      <c r="BC233" s="364"/>
    </row>
    <row r="234" spans="1:60" ht="31.5" hidden="1" customHeight="1" x14ac:dyDescent="0.2">
      <c r="A234" s="283">
        <v>160</v>
      </c>
      <c r="B234" s="219"/>
      <c r="C234" s="120"/>
      <c r="D234" s="120"/>
      <c r="E234" s="120"/>
      <c r="F234" s="120"/>
      <c r="G234" s="378"/>
      <c r="H234" s="298"/>
      <c r="I234" s="210"/>
      <c r="J234" s="284"/>
      <c r="K234" s="285"/>
      <c r="L234" s="120"/>
      <c r="M234" s="241"/>
      <c r="N234" s="303"/>
      <c r="O234" s="111"/>
      <c r="P234" s="111"/>
      <c r="Q234" s="263"/>
      <c r="R234" s="262"/>
      <c r="S234" s="262"/>
      <c r="T234" s="243"/>
      <c r="U234" s="243"/>
      <c r="V234" s="120"/>
      <c r="W234" s="120"/>
      <c r="X234" s="272"/>
      <c r="Y234" s="120"/>
      <c r="Z234" s="111"/>
      <c r="AA234" s="66"/>
      <c r="AB234" s="220"/>
      <c r="AC234" s="220"/>
      <c r="AD234" s="220"/>
      <c r="AE234" s="361"/>
      <c r="AF234" s="241"/>
      <c r="AG234" s="242"/>
      <c r="AH234" s="353"/>
      <c r="AI234" s="353"/>
      <c r="AJ234" s="353"/>
      <c r="AK234" s="353"/>
      <c r="AL234" s="66"/>
      <c r="AM234" s="181"/>
      <c r="AN234" s="66"/>
      <c r="AO234" s="137"/>
      <c r="AP234" s="137"/>
      <c r="AQ234" s="181"/>
      <c r="AS234" s="364"/>
      <c r="AT234" s="364"/>
      <c r="AU234" s="364"/>
      <c r="AV234" s="364"/>
      <c r="AW234" s="364"/>
      <c r="AX234" s="364"/>
      <c r="AY234" s="364"/>
      <c r="AZ234" s="364"/>
      <c r="BA234" s="364"/>
      <c r="BB234" s="364"/>
      <c r="BC234" s="364"/>
    </row>
    <row r="235" spans="1:60" ht="35.25" hidden="1" customHeight="1" x14ac:dyDescent="0.2">
      <c r="A235" s="283">
        <v>161</v>
      </c>
      <c r="B235" s="219"/>
      <c r="C235" s="120"/>
      <c r="D235" s="120"/>
      <c r="E235" s="120"/>
      <c r="F235" s="120"/>
      <c r="G235" s="287"/>
      <c r="H235" s="298"/>
      <c r="I235" s="392"/>
      <c r="J235" s="284"/>
      <c r="K235" s="285"/>
      <c r="L235" s="120"/>
      <c r="M235" s="241"/>
      <c r="N235" s="243"/>
      <c r="O235" s="111"/>
      <c r="P235" s="303"/>
      <c r="Q235" s="260"/>
      <c r="R235" s="262"/>
      <c r="S235" s="260"/>
      <c r="T235" s="242"/>
      <c r="U235" s="181"/>
      <c r="V235" s="120"/>
      <c r="W235" s="66"/>
      <c r="X235" s="215"/>
      <c r="Y235" s="120"/>
      <c r="Z235" s="111"/>
      <c r="AA235" s="66"/>
      <c r="AB235" s="181"/>
      <c r="AC235" s="181"/>
      <c r="AD235" s="181"/>
      <c r="AE235" s="218"/>
      <c r="AF235" s="241"/>
      <c r="AG235" s="242"/>
      <c r="AH235" s="353"/>
      <c r="AI235" s="353"/>
      <c r="AJ235" s="353"/>
      <c r="AK235" s="353"/>
      <c r="AL235" s="66"/>
      <c r="AM235" s="181"/>
      <c r="AN235" s="66"/>
      <c r="AO235" s="137"/>
      <c r="AP235" s="137"/>
      <c r="AQ235" s="120"/>
      <c r="AS235" s="364"/>
      <c r="AT235" s="364"/>
      <c r="AU235" s="364"/>
      <c r="AV235" s="364"/>
      <c r="AW235" s="364"/>
      <c r="AX235" s="364"/>
      <c r="AY235" s="364"/>
      <c r="AZ235" s="364"/>
      <c r="BA235" s="364"/>
      <c r="BB235" s="364"/>
      <c r="BC235" s="364"/>
    </row>
    <row r="236" spans="1:60" ht="40.5" hidden="1" customHeight="1" x14ac:dyDescent="0.2">
      <c r="A236" s="283">
        <v>162</v>
      </c>
      <c r="B236" s="219"/>
      <c r="C236" s="120"/>
      <c r="D236" s="120"/>
      <c r="E236" s="120"/>
      <c r="F236" s="120"/>
      <c r="G236" s="287"/>
      <c r="H236" s="298"/>
      <c r="I236" s="392"/>
      <c r="J236" s="284"/>
      <c r="K236" s="285"/>
      <c r="L236" s="120"/>
      <c r="M236" s="241"/>
      <c r="N236" s="243"/>
      <c r="O236" s="111"/>
      <c r="P236" s="303"/>
      <c r="Q236" s="260"/>
      <c r="R236" s="262"/>
      <c r="S236" s="260"/>
      <c r="T236" s="242"/>
      <c r="U236" s="181"/>
      <c r="V236" s="120"/>
      <c r="W236" s="66"/>
      <c r="X236" s="215"/>
      <c r="Y236" s="120"/>
      <c r="Z236" s="111"/>
      <c r="AA236" s="66"/>
      <c r="AB236" s="181"/>
      <c r="AC236" s="181"/>
      <c r="AD236" s="181"/>
      <c r="AE236" s="218"/>
      <c r="AF236" s="241"/>
      <c r="AG236" s="242"/>
      <c r="AH236" s="353"/>
      <c r="AI236" s="353"/>
      <c r="AJ236" s="353"/>
      <c r="AK236" s="353"/>
      <c r="AL236" s="66"/>
      <c r="AM236" s="181"/>
      <c r="AN236" s="66"/>
      <c r="AO236" s="137"/>
      <c r="AP236" s="137"/>
      <c r="AQ236" s="120"/>
      <c r="AS236" s="364"/>
      <c r="AT236" s="364"/>
      <c r="AU236" s="364"/>
      <c r="AV236" s="364"/>
      <c r="AW236" s="364"/>
      <c r="AX236" s="364"/>
      <c r="AY236" s="364"/>
      <c r="AZ236" s="364"/>
      <c r="BA236" s="364"/>
      <c r="BB236" s="364"/>
      <c r="BC236" s="364"/>
    </row>
    <row r="237" spans="1:60" hidden="1" x14ac:dyDescent="0.2">
      <c r="A237" s="283">
        <v>163</v>
      </c>
      <c r="B237" s="219"/>
      <c r="C237" s="120"/>
      <c r="D237" s="291"/>
      <c r="E237" s="120"/>
      <c r="F237" s="120"/>
      <c r="G237" s="287"/>
      <c r="H237" s="298"/>
      <c r="I237" s="392"/>
      <c r="J237" s="284"/>
      <c r="K237" s="285"/>
      <c r="L237" s="120"/>
      <c r="M237" s="241"/>
      <c r="N237" s="243"/>
      <c r="O237" s="111"/>
      <c r="P237" s="303"/>
      <c r="Q237" s="242"/>
      <c r="R237" s="262"/>
      <c r="S237" s="260"/>
      <c r="T237" s="242"/>
      <c r="U237" s="242"/>
      <c r="V237" s="120"/>
      <c r="W237" s="66"/>
      <c r="X237" s="215"/>
      <c r="Y237" s="120"/>
      <c r="Z237" s="111"/>
      <c r="AA237" s="66"/>
      <c r="AB237" s="181"/>
      <c r="AC237" s="181"/>
      <c r="AD237" s="181"/>
      <c r="AE237" s="218"/>
      <c r="AF237" s="241"/>
      <c r="AG237" s="242"/>
      <c r="AH237" s="353"/>
      <c r="AI237" s="353"/>
      <c r="AJ237" s="353"/>
      <c r="AK237" s="353"/>
      <c r="AL237" s="66"/>
      <c r="AM237" s="181"/>
      <c r="AN237" s="66"/>
      <c r="AO237" s="137"/>
      <c r="AP237" s="137"/>
      <c r="AQ237" s="181"/>
      <c r="AS237" s="364"/>
      <c r="AT237" s="364"/>
      <c r="AU237" s="364"/>
      <c r="AV237" s="364"/>
      <c r="AW237" s="364"/>
      <c r="AX237" s="364"/>
      <c r="AY237" s="364"/>
      <c r="AZ237" s="364"/>
      <c r="BA237" s="364"/>
      <c r="BB237" s="364"/>
      <c r="BC237" s="364"/>
    </row>
    <row r="238" spans="1:60" hidden="1" x14ac:dyDescent="0.2">
      <c r="A238" s="283">
        <v>164</v>
      </c>
      <c r="B238" s="219"/>
      <c r="C238" s="120"/>
      <c r="D238" s="120"/>
      <c r="E238" s="120"/>
      <c r="F238" s="120"/>
      <c r="G238" s="287"/>
      <c r="H238" s="298"/>
      <c r="I238" s="392"/>
      <c r="J238" s="284"/>
      <c r="K238" s="285"/>
      <c r="L238" s="120"/>
      <c r="M238" s="241"/>
      <c r="N238" s="303"/>
      <c r="O238" s="111"/>
      <c r="P238" s="111"/>
      <c r="Q238" s="263"/>
      <c r="R238" s="262"/>
      <c r="S238" s="260"/>
      <c r="T238" s="242"/>
      <c r="U238" s="242"/>
      <c r="V238" s="120"/>
      <c r="W238" s="120"/>
      <c r="X238" s="120"/>
      <c r="Y238" s="120"/>
      <c r="Z238" s="111"/>
      <c r="AA238" s="66"/>
      <c r="AB238" s="181"/>
      <c r="AC238" s="181"/>
      <c r="AD238" s="181"/>
      <c r="AE238" s="218"/>
      <c r="AF238" s="241"/>
      <c r="AG238" s="242"/>
      <c r="AH238" s="353"/>
      <c r="AI238" s="353"/>
      <c r="AJ238" s="353"/>
      <c r="AK238" s="353"/>
      <c r="AL238" s="66"/>
      <c r="AM238" s="181"/>
      <c r="AN238" s="66"/>
      <c r="AO238" s="137"/>
      <c r="AP238" s="137"/>
      <c r="AQ238" s="181"/>
      <c r="AS238" s="364"/>
      <c r="AT238" s="364"/>
      <c r="AU238" s="364"/>
      <c r="AV238" s="364"/>
      <c r="AW238" s="364"/>
      <c r="AX238" s="364"/>
      <c r="AY238" s="364"/>
      <c r="AZ238" s="364"/>
      <c r="BA238" s="364"/>
      <c r="BB238" s="364"/>
      <c r="BC238" s="364"/>
    </row>
    <row r="239" spans="1:60" s="82" customFormat="1" hidden="1" x14ac:dyDescent="0.2">
      <c r="A239" s="283">
        <v>165</v>
      </c>
      <c r="B239" s="290"/>
      <c r="C239" s="183"/>
      <c r="D239" s="183"/>
      <c r="E239" s="183"/>
      <c r="F239" s="120"/>
      <c r="G239" s="378"/>
      <c r="H239" s="298"/>
      <c r="I239" s="395"/>
      <c r="J239" s="284"/>
      <c r="K239" s="285"/>
      <c r="L239" s="298"/>
      <c r="M239" s="241"/>
      <c r="N239" s="243"/>
      <c r="O239" s="111"/>
      <c r="P239" s="303"/>
      <c r="Q239" s="263"/>
      <c r="R239" s="262"/>
      <c r="S239" s="260"/>
      <c r="T239" s="242"/>
      <c r="U239" s="242"/>
      <c r="V239" s="120"/>
      <c r="W239" s="66"/>
      <c r="X239" s="215"/>
      <c r="Y239" s="120"/>
      <c r="Z239" s="111"/>
      <c r="AA239" s="66"/>
      <c r="AB239" s="181"/>
      <c r="AC239" s="181"/>
      <c r="AD239" s="181"/>
      <c r="AE239" s="218"/>
      <c r="AF239" s="241"/>
      <c r="AG239" s="242"/>
      <c r="AH239" s="353"/>
      <c r="AI239" s="353"/>
      <c r="AJ239" s="353"/>
      <c r="AK239" s="353"/>
      <c r="AL239" s="66"/>
      <c r="AM239" s="181"/>
      <c r="AN239" s="66"/>
      <c r="AO239" s="137"/>
      <c r="AP239" s="137"/>
      <c r="AQ239" s="181"/>
      <c r="AS239" s="364"/>
      <c r="AT239" s="364"/>
      <c r="AU239" s="364"/>
      <c r="AV239" s="364"/>
      <c r="AW239" s="364"/>
      <c r="AX239" s="364"/>
      <c r="AY239" s="364"/>
      <c r="AZ239" s="364"/>
      <c r="BA239" s="364"/>
      <c r="BB239" s="364"/>
      <c r="BC239" s="364"/>
      <c r="BH239" s="98"/>
    </row>
    <row r="240" spans="1:60" s="82" customFormat="1" hidden="1" x14ac:dyDescent="0.2">
      <c r="A240" s="283">
        <v>166</v>
      </c>
      <c r="B240" s="219"/>
      <c r="C240" s="219"/>
      <c r="D240" s="120"/>
      <c r="E240" s="120"/>
      <c r="F240" s="120"/>
      <c r="G240" s="287"/>
      <c r="H240" s="298"/>
      <c r="I240" s="392"/>
      <c r="J240" s="284"/>
      <c r="K240" s="285"/>
      <c r="L240" s="120"/>
      <c r="M240" s="241"/>
      <c r="N240" s="243"/>
      <c r="O240" s="111"/>
      <c r="P240" s="120"/>
      <c r="Q240" s="263"/>
      <c r="R240" s="262"/>
      <c r="S240" s="260"/>
      <c r="T240" s="66"/>
      <c r="U240" s="120"/>
      <c r="V240" s="120"/>
      <c r="W240" s="120"/>
      <c r="X240" s="120"/>
      <c r="Y240" s="120"/>
      <c r="Z240" s="111"/>
      <c r="AA240" s="66"/>
      <c r="AB240" s="181"/>
      <c r="AC240" s="181"/>
      <c r="AD240" s="181"/>
      <c r="AE240" s="218"/>
      <c r="AF240" s="241"/>
      <c r="AG240" s="242"/>
      <c r="AH240" s="353"/>
      <c r="AI240" s="353"/>
      <c r="AJ240" s="353"/>
      <c r="AK240" s="353"/>
      <c r="AL240" s="66"/>
      <c r="AM240" s="181"/>
      <c r="AN240" s="66"/>
      <c r="AO240" s="138"/>
      <c r="AP240" s="138"/>
      <c r="AQ240" s="181"/>
      <c r="AS240" s="364"/>
      <c r="AT240" s="364"/>
      <c r="AU240" s="364"/>
      <c r="AV240" s="364"/>
      <c r="AW240" s="364"/>
      <c r="AX240" s="364"/>
      <c r="AY240" s="364"/>
      <c r="AZ240" s="364"/>
      <c r="BA240" s="364"/>
      <c r="BB240" s="364"/>
      <c r="BC240" s="364"/>
      <c r="BH240" s="98"/>
    </row>
    <row r="241" spans="1:60" s="82" customFormat="1" hidden="1" x14ac:dyDescent="0.2">
      <c r="A241" s="283">
        <v>167</v>
      </c>
      <c r="B241" s="219"/>
      <c r="C241" s="219"/>
      <c r="D241" s="120"/>
      <c r="E241" s="120"/>
      <c r="F241" s="120"/>
      <c r="G241" s="287"/>
      <c r="H241" s="298"/>
      <c r="I241" s="392"/>
      <c r="J241" s="284"/>
      <c r="K241" s="285"/>
      <c r="L241" s="120"/>
      <c r="M241" s="241"/>
      <c r="N241" s="243"/>
      <c r="O241" s="111"/>
      <c r="P241" s="120"/>
      <c r="Q241" s="263"/>
      <c r="R241" s="262"/>
      <c r="S241" s="260"/>
      <c r="T241" s="66"/>
      <c r="U241" s="120"/>
      <c r="V241" s="120"/>
      <c r="W241" s="120"/>
      <c r="X241" s="120"/>
      <c r="Y241" s="120"/>
      <c r="Z241" s="111"/>
      <c r="AA241" s="66"/>
      <c r="AB241" s="181"/>
      <c r="AC241" s="181"/>
      <c r="AD241" s="181"/>
      <c r="AE241" s="218"/>
      <c r="AF241" s="241"/>
      <c r="AG241" s="242"/>
      <c r="AH241" s="353"/>
      <c r="AI241" s="353"/>
      <c r="AJ241" s="353"/>
      <c r="AK241" s="353"/>
      <c r="AL241" s="66"/>
      <c r="AM241" s="181"/>
      <c r="AN241" s="66"/>
      <c r="AO241" s="233"/>
      <c r="AP241" s="233"/>
      <c r="AQ241" s="181"/>
      <c r="AS241" s="364"/>
      <c r="AT241" s="364"/>
      <c r="AU241" s="364"/>
      <c r="AV241" s="364"/>
      <c r="AW241" s="364"/>
      <c r="AX241" s="364"/>
      <c r="AY241" s="364"/>
      <c r="AZ241" s="364"/>
      <c r="BA241" s="364"/>
      <c r="BB241" s="364"/>
      <c r="BC241" s="364"/>
      <c r="BH241" s="98"/>
    </row>
    <row r="242" spans="1:60" s="82" customFormat="1" hidden="1" x14ac:dyDescent="0.2">
      <c r="A242" s="283">
        <v>168</v>
      </c>
      <c r="B242" s="290"/>
      <c r="C242" s="183"/>
      <c r="D242" s="183"/>
      <c r="E242" s="120"/>
      <c r="F242" s="120"/>
      <c r="G242" s="378"/>
      <c r="H242" s="298"/>
      <c r="I242" s="395"/>
      <c r="J242" s="325"/>
      <c r="K242" s="313"/>
      <c r="L242" s="303"/>
      <c r="M242" s="241"/>
      <c r="N242" s="66"/>
      <c r="O242" s="111"/>
      <c r="P242" s="215"/>
      <c r="Q242" s="263"/>
      <c r="R242" s="260"/>
      <c r="S242" s="260"/>
      <c r="T242" s="242"/>
      <c r="U242" s="242"/>
      <c r="V242" s="120"/>
      <c r="W242" s="66"/>
      <c r="X242" s="215"/>
      <c r="Y242" s="215"/>
      <c r="Z242" s="111"/>
      <c r="AA242" s="66"/>
      <c r="AB242" s="181"/>
      <c r="AC242" s="181"/>
      <c r="AD242" s="181"/>
      <c r="AE242" s="218"/>
      <c r="AF242" s="241"/>
      <c r="AG242" s="242"/>
      <c r="AH242" s="353"/>
      <c r="AI242" s="353"/>
      <c r="AJ242" s="353"/>
      <c r="AK242" s="353"/>
      <c r="AL242" s="66"/>
      <c r="AM242" s="181"/>
      <c r="AN242" s="66"/>
      <c r="AO242" s="137"/>
      <c r="AP242" s="137"/>
      <c r="AQ242" s="181"/>
      <c r="AS242" s="364"/>
      <c r="AT242" s="364"/>
      <c r="AU242" s="364"/>
      <c r="AV242" s="364"/>
      <c r="AW242" s="364"/>
      <c r="AX242" s="364"/>
      <c r="AY242" s="364"/>
      <c r="AZ242" s="364"/>
      <c r="BA242" s="364"/>
      <c r="BB242" s="364"/>
      <c r="BC242" s="364"/>
      <c r="BH242" s="98"/>
    </row>
    <row r="243" spans="1:60" s="82" customFormat="1" hidden="1" x14ac:dyDescent="0.2">
      <c r="A243" s="283">
        <v>169</v>
      </c>
      <c r="B243" s="216"/>
      <c r="C243" s="320"/>
      <c r="D243" s="183"/>
      <c r="E243" s="120"/>
      <c r="F243" s="120"/>
      <c r="G243" s="296"/>
      <c r="H243" s="298"/>
      <c r="I243" s="321"/>
      <c r="J243" s="343"/>
      <c r="K243" s="344"/>
      <c r="L243" s="324"/>
      <c r="M243" s="241"/>
      <c r="N243" s="111"/>
      <c r="O243" s="111"/>
      <c r="P243" s="111"/>
      <c r="Q243" s="265"/>
      <c r="R243" s="261"/>
      <c r="S243" s="261"/>
      <c r="T243" s="241"/>
      <c r="U243" s="241"/>
      <c r="V243" s="120"/>
      <c r="W243" s="66"/>
      <c r="X243" s="345"/>
      <c r="Y243" s="257"/>
      <c r="Z243" s="111"/>
      <c r="AA243" s="111"/>
      <c r="AB243" s="218"/>
      <c r="AC243" s="218"/>
      <c r="AD243" s="218"/>
      <c r="AE243" s="218"/>
      <c r="AF243" s="241"/>
      <c r="AG243" s="241"/>
      <c r="AH243" s="352"/>
      <c r="AI243" s="352"/>
      <c r="AJ243" s="352"/>
      <c r="AK243" s="352"/>
      <c r="AL243" s="111"/>
      <c r="AM243" s="181"/>
      <c r="AN243" s="66"/>
      <c r="AO243" s="137"/>
      <c r="AP243" s="137"/>
      <c r="AQ243" s="218"/>
      <c r="AS243" s="364"/>
      <c r="AT243" s="364"/>
      <c r="AU243" s="364"/>
      <c r="AV243" s="364"/>
      <c r="AW243" s="364"/>
      <c r="AX243" s="364"/>
      <c r="AY243" s="364"/>
      <c r="AZ243" s="364"/>
      <c r="BA243" s="364"/>
      <c r="BB243" s="364"/>
      <c r="BC243" s="364"/>
      <c r="BH243" s="98"/>
    </row>
    <row r="244" spans="1:60" hidden="1" x14ac:dyDescent="0.2">
      <c r="A244" s="283">
        <v>170</v>
      </c>
      <c r="B244" s="216"/>
      <c r="C244" s="257"/>
      <c r="D244" s="257"/>
      <c r="E244" s="120"/>
      <c r="F244" s="120"/>
      <c r="G244" s="376"/>
      <c r="H244" s="120"/>
      <c r="I244" s="321"/>
      <c r="J244" s="316"/>
      <c r="K244" s="317"/>
      <c r="L244" s="257"/>
      <c r="M244" s="241"/>
      <c r="N244" s="257"/>
      <c r="O244" s="111"/>
      <c r="P244" s="111"/>
      <c r="Q244" s="265"/>
      <c r="R244" s="261"/>
      <c r="S244" s="261"/>
      <c r="T244" s="241"/>
      <c r="U244" s="241"/>
      <c r="V244" s="183"/>
      <c r="W244" s="66"/>
      <c r="X244" s="181"/>
      <c r="Y244" s="257"/>
      <c r="Z244" s="111"/>
      <c r="AA244" s="111"/>
      <c r="AB244" s="218"/>
      <c r="AC244" s="218"/>
      <c r="AD244" s="218"/>
      <c r="AE244" s="218"/>
      <c r="AF244" s="241"/>
      <c r="AG244" s="241"/>
      <c r="AH244" s="352"/>
      <c r="AI244" s="352"/>
      <c r="AJ244" s="352"/>
      <c r="AK244" s="352"/>
      <c r="AL244" s="111"/>
      <c r="AM244" s="218"/>
      <c r="AN244" s="66"/>
      <c r="AO244" s="137"/>
      <c r="AP244" s="137"/>
      <c r="AQ244" s="218"/>
      <c r="AS244" s="364"/>
      <c r="AT244" s="364"/>
      <c r="AU244" s="364"/>
      <c r="AV244" s="364"/>
      <c r="AW244" s="364"/>
      <c r="AX244" s="364"/>
      <c r="AY244" s="364"/>
      <c r="AZ244" s="364"/>
      <c r="BA244" s="364"/>
      <c r="BB244" s="364"/>
      <c r="BC244" s="364"/>
    </row>
    <row r="245" spans="1:60" hidden="1" x14ac:dyDescent="0.2">
      <c r="A245" s="283">
        <v>171</v>
      </c>
      <c r="B245" s="290"/>
      <c r="C245" s="215"/>
      <c r="D245" s="215"/>
      <c r="E245" s="215"/>
      <c r="F245" s="120"/>
      <c r="G245" s="295"/>
      <c r="H245" s="120"/>
      <c r="I245" s="395"/>
      <c r="J245" s="328"/>
      <c r="K245" s="346"/>
      <c r="L245" s="120"/>
      <c r="M245" s="241"/>
      <c r="N245" s="215"/>
      <c r="O245" s="111"/>
      <c r="P245" s="111"/>
      <c r="Q245" s="263"/>
      <c r="R245" s="260"/>
      <c r="S245" s="260"/>
      <c r="T245" s="242"/>
      <c r="U245" s="242"/>
      <c r="V245" s="120"/>
      <c r="W245" s="66"/>
      <c r="X245" s="181"/>
      <c r="Y245" s="215"/>
      <c r="Z245" s="111"/>
      <c r="AA245" s="66"/>
      <c r="AB245" s="181"/>
      <c r="AC245" s="181"/>
      <c r="AD245" s="181"/>
      <c r="AE245" s="218"/>
      <c r="AF245" s="241"/>
      <c r="AG245" s="242"/>
      <c r="AH245" s="353"/>
      <c r="AI245" s="353"/>
      <c r="AJ245" s="353"/>
      <c r="AK245" s="353"/>
      <c r="AL245" s="66"/>
      <c r="AM245" s="181"/>
      <c r="AN245" s="66"/>
      <c r="AO245" s="137"/>
      <c r="AP245" s="137"/>
      <c r="AQ245" s="181"/>
      <c r="AS245" s="364"/>
      <c r="AT245" s="364"/>
      <c r="AU245" s="364"/>
      <c r="AV245" s="364"/>
      <c r="AW245" s="364"/>
      <c r="AX245" s="364"/>
      <c r="AY245" s="364"/>
      <c r="AZ245" s="364"/>
      <c r="BA245" s="364"/>
      <c r="BB245" s="364"/>
      <c r="BC245" s="364"/>
    </row>
    <row r="246" spans="1:60" ht="72.5" hidden="1" customHeight="1" x14ac:dyDescent="0.2">
      <c r="A246" s="283">
        <v>172</v>
      </c>
      <c r="B246" s="290"/>
      <c r="C246" s="183"/>
      <c r="D246" s="183"/>
      <c r="E246" s="183"/>
      <c r="F246" s="120"/>
      <c r="G246" s="378"/>
      <c r="H246" s="120"/>
      <c r="I246" s="395"/>
      <c r="J246" s="325"/>
      <c r="K246" s="313"/>
      <c r="L246" s="120"/>
      <c r="M246" s="241"/>
      <c r="N246" s="258"/>
      <c r="O246" s="111"/>
      <c r="P246" s="111"/>
      <c r="Q246" s="262"/>
      <c r="R246" s="262"/>
      <c r="S246" s="262"/>
      <c r="T246" s="243"/>
      <c r="U246" s="243"/>
      <c r="V246" s="120"/>
      <c r="W246" s="66"/>
      <c r="X246" s="215"/>
      <c r="Y246" s="258"/>
      <c r="Z246" s="111"/>
      <c r="AA246" s="66"/>
      <c r="AB246" s="220"/>
      <c r="AC246" s="220"/>
      <c r="AD246" s="220"/>
      <c r="AE246" s="361"/>
      <c r="AF246" s="241"/>
      <c r="AG246" s="242"/>
      <c r="AH246" s="353"/>
      <c r="AI246" s="353"/>
      <c r="AJ246" s="353"/>
      <c r="AK246" s="353"/>
      <c r="AL246" s="66"/>
      <c r="AM246" s="181"/>
      <c r="AN246" s="66"/>
      <c r="AO246" s="137"/>
      <c r="AP246" s="137"/>
      <c r="AQ246" s="220"/>
      <c r="AS246" s="364"/>
      <c r="AT246" s="364"/>
      <c r="AU246" s="364"/>
      <c r="AV246" s="364"/>
      <c r="AW246" s="364"/>
      <c r="AX246" s="364"/>
      <c r="AY246" s="364"/>
      <c r="AZ246" s="364"/>
      <c r="BA246" s="364"/>
      <c r="BB246" s="364"/>
      <c r="BC246" s="364"/>
    </row>
    <row r="247" spans="1:60" hidden="1" x14ac:dyDescent="0.2">
      <c r="A247" s="283">
        <v>173</v>
      </c>
      <c r="B247" s="290"/>
      <c r="C247" s="183"/>
      <c r="D247" s="183"/>
      <c r="E247" s="183"/>
      <c r="F247" s="120"/>
      <c r="G247" s="378"/>
      <c r="H247" s="181"/>
      <c r="I247" s="395"/>
      <c r="J247" s="325"/>
      <c r="K247" s="313"/>
      <c r="L247" s="120"/>
      <c r="M247" s="241"/>
      <c r="N247" s="258"/>
      <c r="O247" s="111"/>
      <c r="P247" s="111"/>
      <c r="Q247" s="262"/>
      <c r="R247" s="262"/>
      <c r="S247" s="262"/>
      <c r="T247" s="243"/>
      <c r="U247" s="243"/>
      <c r="V247" s="181"/>
      <c r="W247" s="66"/>
      <c r="X247" s="215"/>
      <c r="Y247" s="258"/>
      <c r="Z247" s="111"/>
      <c r="AA247" s="66"/>
      <c r="AB247" s="220"/>
      <c r="AC247" s="220"/>
      <c r="AD247" s="220"/>
      <c r="AE247" s="361"/>
      <c r="AF247" s="241"/>
      <c r="AG247" s="242"/>
      <c r="AH247" s="353"/>
      <c r="AI247" s="353"/>
      <c r="AJ247" s="353"/>
      <c r="AK247" s="353"/>
      <c r="AL247" s="66"/>
      <c r="AM247" s="181"/>
      <c r="AN247" s="66"/>
      <c r="AO247" s="138"/>
      <c r="AP247" s="137"/>
      <c r="AQ247" s="220"/>
      <c r="AS247" s="364"/>
      <c r="AT247" s="364"/>
      <c r="AU247" s="364"/>
      <c r="AV247" s="364"/>
      <c r="AW247" s="364"/>
      <c r="AX247" s="364"/>
      <c r="AY247" s="364"/>
      <c r="AZ247" s="364"/>
      <c r="BA247" s="364"/>
      <c r="BB247" s="364"/>
      <c r="BC247" s="364"/>
    </row>
    <row r="248" spans="1:60" hidden="1" x14ac:dyDescent="0.2">
      <c r="A248" s="283">
        <v>174</v>
      </c>
      <c r="B248" s="120"/>
      <c r="C248" s="120"/>
      <c r="D248" s="183"/>
      <c r="E248" s="183"/>
      <c r="F248" s="120"/>
      <c r="G248" s="378"/>
      <c r="H248" s="181"/>
      <c r="I248" s="395"/>
      <c r="J248" s="284"/>
      <c r="K248" s="285"/>
      <c r="L248" s="120"/>
      <c r="M248" s="241"/>
      <c r="N248" s="258"/>
      <c r="O248" s="111"/>
      <c r="P248" s="111"/>
      <c r="Q248" s="262"/>
      <c r="R248" s="262"/>
      <c r="S248" s="262"/>
      <c r="T248" s="243"/>
      <c r="U248" s="242"/>
      <c r="V248" s="120"/>
      <c r="W248" s="66"/>
      <c r="X248" s="215"/>
      <c r="Y248" s="258"/>
      <c r="Z248" s="111"/>
      <c r="AA248" s="66"/>
      <c r="AB248" s="220"/>
      <c r="AC248" s="220"/>
      <c r="AD248" s="220"/>
      <c r="AE248" s="361"/>
      <c r="AF248" s="241"/>
      <c r="AG248" s="242"/>
      <c r="AH248" s="353"/>
      <c r="AI248" s="353"/>
      <c r="AJ248" s="353"/>
      <c r="AK248" s="353"/>
      <c r="AL248" s="66"/>
      <c r="AM248" s="181"/>
      <c r="AN248" s="66"/>
      <c r="AO248" s="138"/>
      <c r="AP248" s="138"/>
      <c r="AQ248" s="220"/>
      <c r="AS248" s="364"/>
      <c r="AT248" s="364"/>
      <c r="AU248" s="364"/>
      <c r="AV248" s="364"/>
      <c r="AW248" s="364"/>
      <c r="AX248" s="364"/>
      <c r="AY248" s="364"/>
      <c r="AZ248" s="364"/>
      <c r="BA248" s="364"/>
      <c r="BB248" s="364"/>
      <c r="BC248" s="364"/>
    </row>
    <row r="249" spans="1:60" hidden="1" x14ac:dyDescent="0.2">
      <c r="A249" s="283">
        <v>175</v>
      </c>
      <c r="B249" s="219"/>
      <c r="C249" s="181"/>
      <c r="D249" s="291"/>
      <c r="E249" s="183"/>
      <c r="F249" s="120"/>
      <c r="G249" s="375"/>
      <c r="H249" s="120"/>
      <c r="I249" s="395"/>
      <c r="J249" s="284"/>
      <c r="K249" s="313"/>
      <c r="L249" s="303"/>
      <c r="M249" s="241"/>
      <c r="N249" s="215"/>
      <c r="O249" s="111"/>
      <c r="P249" s="111"/>
      <c r="Q249" s="263"/>
      <c r="R249" s="260"/>
      <c r="S249" s="260"/>
      <c r="T249" s="242"/>
      <c r="U249" s="242"/>
      <c r="V249" s="183"/>
      <c r="W249" s="111"/>
      <c r="X249" s="120"/>
      <c r="Y249" s="120"/>
      <c r="Z249" s="111"/>
      <c r="AA249" s="66"/>
      <c r="AB249" s="111"/>
      <c r="AC249" s="111"/>
      <c r="AD249" s="111"/>
      <c r="AE249" s="111"/>
      <c r="AF249" s="241"/>
      <c r="AG249" s="242"/>
      <c r="AH249" s="353"/>
      <c r="AI249" s="353"/>
      <c r="AJ249" s="353"/>
      <c r="AK249" s="353"/>
      <c r="AL249" s="260"/>
      <c r="AM249" s="260"/>
      <c r="AN249" s="260"/>
      <c r="AO249" s="260"/>
      <c r="AP249" s="260"/>
      <c r="AQ249" s="111"/>
      <c r="AS249" s="364"/>
      <c r="AT249" s="364"/>
      <c r="AU249" s="364"/>
      <c r="AV249" s="364"/>
      <c r="AW249" s="364"/>
      <c r="AX249" s="364"/>
      <c r="AY249" s="364"/>
      <c r="AZ249" s="364"/>
      <c r="BA249" s="364"/>
      <c r="BB249" s="364"/>
      <c r="BC249" s="364"/>
    </row>
    <row r="250" spans="1:60" ht="62.25" hidden="1" customHeight="1" x14ac:dyDescent="0.2">
      <c r="A250" s="283">
        <v>176</v>
      </c>
      <c r="B250" s="219"/>
      <c r="C250" s="181"/>
      <c r="D250" s="120"/>
      <c r="E250" s="183"/>
      <c r="F250" s="120"/>
      <c r="G250" s="375"/>
      <c r="H250" s="181"/>
      <c r="I250" s="395"/>
      <c r="J250" s="284"/>
      <c r="K250" s="313"/>
      <c r="L250" s="298"/>
      <c r="M250" s="241"/>
      <c r="N250" s="215"/>
      <c r="O250" s="111"/>
      <c r="P250" s="215"/>
      <c r="Q250" s="263"/>
      <c r="R250" s="260"/>
      <c r="S250" s="260"/>
      <c r="T250" s="66"/>
      <c r="U250" s="347"/>
      <c r="V250" s="120"/>
      <c r="W250" s="66"/>
      <c r="X250" s="215"/>
      <c r="Y250" s="215"/>
      <c r="Z250" s="111"/>
      <c r="AA250" s="66"/>
      <c r="AB250" s="181"/>
      <c r="AC250" s="181"/>
      <c r="AD250" s="181"/>
      <c r="AE250" s="218"/>
      <c r="AF250" s="241"/>
      <c r="AG250" s="242"/>
      <c r="AH250" s="353"/>
      <c r="AI250" s="353"/>
      <c r="AJ250" s="353"/>
      <c r="AK250" s="353"/>
      <c r="AL250" s="66"/>
      <c r="AM250" s="181"/>
      <c r="AN250" s="66"/>
      <c r="AO250" s="234"/>
      <c r="AP250" s="234"/>
      <c r="AQ250" s="181"/>
      <c r="AS250" s="364"/>
      <c r="AT250" s="364"/>
      <c r="AU250" s="364"/>
      <c r="AV250" s="364"/>
      <c r="AW250" s="364"/>
      <c r="AX250" s="364"/>
      <c r="AY250" s="364"/>
      <c r="AZ250" s="364"/>
      <c r="BA250" s="364"/>
      <c r="BB250" s="364"/>
      <c r="BC250" s="364"/>
    </row>
    <row r="251" spans="1:60" ht="78" hidden="1" customHeight="1" x14ac:dyDescent="0.2">
      <c r="A251" s="283">
        <v>177</v>
      </c>
      <c r="B251" s="219"/>
      <c r="C251" s="120"/>
      <c r="D251" s="291"/>
      <c r="E251" s="120"/>
      <c r="F251" s="120"/>
      <c r="G251" s="287"/>
      <c r="H251" s="181"/>
      <c r="I251" s="392"/>
      <c r="J251" s="284"/>
      <c r="K251" s="285"/>
      <c r="L251" s="120"/>
      <c r="M251" s="241"/>
      <c r="N251" s="215"/>
      <c r="O251" s="111"/>
      <c r="P251" s="215"/>
      <c r="Q251" s="263"/>
      <c r="R251" s="260"/>
      <c r="S251" s="260"/>
      <c r="T251" s="242"/>
      <c r="U251" s="242"/>
      <c r="V251" s="120"/>
      <c r="W251" s="66"/>
      <c r="X251" s="215"/>
      <c r="Y251" s="215"/>
      <c r="Z251" s="111"/>
      <c r="AA251" s="66"/>
      <c r="AB251" s="181"/>
      <c r="AC251" s="181"/>
      <c r="AD251" s="181"/>
      <c r="AE251" s="218"/>
      <c r="AF251" s="241"/>
      <c r="AG251" s="242"/>
      <c r="AH251" s="353"/>
      <c r="AI251" s="353"/>
      <c r="AJ251" s="353"/>
      <c r="AK251" s="353"/>
      <c r="AL251" s="66"/>
      <c r="AM251" s="181"/>
      <c r="AN251" s="66"/>
      <c r="AO251" s="233"/>
      <c r="AP251" s="233"/>
      <c r="AQ251" s="181"/>
      <c r="AS251" s="364"/>
      <c r="AT251" s="364"/>
      <c r="AU251" s="364"/>
      <c r="AV251" s="364"/>
      <c r="AW251" s="364"/>
      <c r="AX251" s="364"/>
      <c r="AY251" s="364"/>
      <c r="AZ251" s="364"/>
      <c r="BA251" s="364"/>
      <c r="BB251" s="364"/>
      <c r="BC251" s="364"/>
    </row>
    <row r="252" spans="1:60" ht="67.5" hidden="1" customHeight="1" x14ac:dyDescent="0.2">
      <c r="A252" s="283">
        <v>178</v>
      </c>
      <c r="B252" s="219"/>
      <c r="C252" s="120"/>
      <c r="D252" s="120"/>
      <c r="E252" s="120"/>
      <c r="F252" s="120"/>
      <c r="G252" s="287"/>
      <c r="H252" s="181"/>
      <c r="I252" s="392"/>
      <c r="J252" s="284"/>
      <c r="K252" s="285"/>
      <c r="L252" s="120"/>
      <c r="M252" s="241"/>
      <c r="N252" s="215"/>
      <c r="O252" s="111"/>
      <c r="P252" s="215"/>
      <c r="Q252" s="263"/>
      <c r="R252" s="260"/>
      <c r="S252" s="260"/>
      <c r="T252" s="66"/>
      <c r="U252" s="347"/>
      <c r="V252" s="120"/>
      <c r="W252" s="66"/>
      <c r="X252" s="215"/>
      <c r="Y252" s="215"/>
      <c r="Z252" s="111"/>
      <c r="AA252" s="66"/>
      <c r="AB252" s="181"/>
      <c r="AC252" s="181"/>
      <c r="AD252" s="181"/>
      <c r="AE252" s="218"/>
      <c r="AF252" s="241"/>
      <c r="AG252" s="242"/>
      <c r="AH252" s="353"/>
      <c r="AI252" s="353"/>
      <c r="AJ252" s="353"/>
      <c r="AK252" s="353"/>
      <c r="AL252" s="66"/>
      <c r="AM252" s="181"/>
      <c r="AN252" s="66"/>
      <c r="AO252" s="138"/>
      <c r="AP252" s="138"/>
      <c r="AQ252" s="181"/>
      <c r="AS252" s="364"/>
      <c r="AT252" s="364"/>
      <c r="AU252" s="364"/>
      <c r="AV252" s="364"/>
      <c r="AW252" s="364"/>
      <c r="AX252" s="364"/>
      <c r="AY252" s="364"/>
      <c r="AZ252" s="364"/>
      <c r="BA252" s="364"/>
      <c r="BB252" s="364"/>
      <c r="BC252" s="364"/>
    </row>
    <row r="253" spans="1:60" ht="81.75" hidden="1" customHeight="1" x14ac:dyDescent="0.2">
      <c r="A253" s="283">
        <v>179</v>
      </c>
      <c r="B253" s="219"/>
      <c r="C253" s="219"/>
      <c r="D253" s="291"/>
      <c r="E253" s="120"/>
      <c r="F253" s="120"/>
      <c r="G253" s="287"/>
      <c r="H253" s="181"/>
      <c r="I253" s="392"/>
      <c r="J253" s="284"/>
      <c r="K253" s="285"/>
      <c r="L253" s="120"/>
      <c r="M253" s="241"/>
      <c r="N253" s="215"/>
      <c r="O253" s="111"/>
      <c r="P253" s="215"/>
      <c r="Q253" s="242"/>
      <c r="R253" s="260"/>
      <c r="S253" s="260"/>
      <c r="T253" s="242"/>
      <c r="U253" s="242"/>
      <c r="V253" s="120"/>
      <c r="W253" s="66"/>
      <c r="X253" s="215"/>
      <c r="Y253" s="215"/>
      <c r="Z253" s="111"/>
      <c r="AA253" s="66"/>
      <c r="AB253" s="181"/>
      <c r="AC253" s="181"/>
      <c r="AD253" s="181"/>
      <c r="AE253" s="218"/>
      <c r="AF253" s="241"/>
      <c r="AG253" s="242"/>
      <c r="AH253" s="353"/>
      <c r="AI253" s="353"/>
      <c r="AJ253" s="353"/>
      <c r="AK253" s="353"/>
      <c r="AL253" s="66"/>
      <c r="AM253" s="181"/>
      <c r="AN253" s="66"/>
      <c r="AO253" s="138"/>
      <c r="AP253" s="138"/>
      <c r="AQ253" s="181"/>
      <c r="AS253" s="364"/>
      <c r="AT253" s="364"/>
      <c r="AU253" s="364"/>
      <c r="AV253" s="364"/>
      <c r="AW253" s="364"/>
      <c r="AX253" s="364"/>
      <c r="AY253" s="364"/>
      <c r="AZ253" s="364"/>
      <c r="BA253" s="364"/>
      <c r="BB253" s="364"/>
      <c r="BC253" s="364"/>
    </row>
    <row r="254" spans="1:60" ht="75.75" hidden="1" customHeight="1" x14ac:dyDescent="0.2">
      <c r="A254" s="283">
        <v>180</v>
      </c>
      <c r="B254" s="219"/>
      <c r="C254" s="219"/>
      <c r="D254" s="291"/>
      <c r="E254" s="120"/>
      <c r="F254" s="120"/>
      <c r="G254" s="287"/>
      <c r="H254" s="120"/>
      <c r="I254" s="392"/>
      <c r="J254" s="284"/>
      <c r="K254" s="285"/>
      <c r="L254" s="303"/>
      <c r="M254" s="241"/>
      <c r="N254" s="215"/>
      <c r="O254" s="111"/>
      <c r="P254" s="215"/>
      <c r="Q254" s="242"/>
      <c r="R254" s="260"/>
      <c r="S254" s="260"/>
      <c r="T254" s="242"/>
      <c r="U254" s="242"/>
      <c r="V254" s="120"/>
      <c r="W254" s="66"/>
      <c r="X254" s="215"/>
      <c r="Y254" s="215"/>
      <c r="Z254" s="111"/>
      <c r="AA254" s="66"/>
      <c r="AB254" s="181"/>
      <c r="AC254" s="181"/>
      <c r="AD254" s="181"/>
      <c r="AE254" s="218"/>
      <c r="AF254" s="241"/>
      <c r="AG254" s="242"/>
      <c r="AH254" s="353"/>
      <c r="AI254" s="353"/>
      <c r="AJ254" s="353"/>
      <c r="AK254" s="353"/>
      <c r="AL254" s="66"/>
      <c r="AM254" s="181"/>
      <c r="AN254" s="66"/>
      <c r="AO254" s="138"/>
      <c r="AP254" s="138"/>
      <c r="AQ254" s="181"/>
      <c r="AS254" s="364"/>
      <c r="AT254" s="364"/>
      <c r="AU254" s="364"/>
      <c r="AV254" s="364"/>
      <c r="AW254" s="364"/>
      <c r="AX254" s="364"/>
      <c r="AY254" s="364"/>
      <c r="AZ254" s="364"/>
      <c r="BA254" s="364"/>
      <c r="BB254" s="364"/>
      <c r="BC254" s="364"/>
    </row>
    <row r="255" spans="1:60" hidden="1" x14ac:dyDescent="0.2">
      <c r="A255" s="283">
        <v>181</v>
      </c>
      <c r="B255" s="219"/>
      <c r="C255" s="219"/>
      <c r="D255" s="219"/>
      <c r="E255" s="120"/>
      <c r="F255" s="120"/>
      <c r="G255" s="287"/>
      <c r="H255" s="120"/>
      <c r="I255" s="392"/>
      <c r="J255" s="284"/>
      <c r="K255" s="285"/>
      <c r="L255" s="120"/>
      <c r="M255" s="241"/>
      <c r="N255" s="215"/>
      <c r="O255" s="111"/>
      <c r="P255" s="215"/>
      <c r="Q255" s="263"/>
      <c r="R255" s="260"/>
      <c r="S255" s="260"/>
      <c r="T255" s="242"/>
      <c r="U255" s="242"/>
      <c r="V255" s="120"/>
      <c r="W255" s="66"/>
      <c r="X255" s="215"/>
      <c r="Y255" s="215"/>
      <c r="Z255" s="111"/>
      <c r="AA255" s="66"/>
      <c r="AB255" s="181"/>
      <c r="AC255" s="181"/>
      <c r="AD255" s="181"/>
      <c r="AE255" s="218"/>
      <c r="AF255" s="241"/>
      <c r="AG255" s="242"/>
      <c r="AH255" s="353"/>
      <c r="AI255" s="353"/>
      <c r="AJ255" s="353"/>
      <c r="AK255" s="353"/>
      <c r="AL255" s="66"/>
      <c r="AM255" s="181"/>
      <c r="AN255" s="66"/>
      <c r="AO255" s="138"/>
      <c r="AP255" s="138"/>
      <c r="AQ255" s="181"/>
      <c r="AS255" s="364"/>
      <c r="AT255" s="364"/>
      <c r="AU255" s="364"/>
      <c r="AV255" s="364"/>
      <c r="AW255" s="364"/>
      <c r="AX255" s="364"/>
      <c r="AY255" s="364"/>
      <c r="AZ255" s="364"/>
      <c r="BA255" s="364"/>
      <c r="BB255" s="364"/>
      <c r="BC255" s="364"/>
    </row>
    <row r="256" spans="1:60" hidden="1" x14ac:dyDescent="0.2">
      <c r="A256" s="283">
        <v>182</v>
      </c>
      <c r="B256" s="219"/>
      <c r="C256" s="219"/>
      <c r="D256" s="219"/>
      <c r="E256" s="120"/>
      <c r="F256" s="120"/>
      <c r="G256" s="287"/>
      <c r="H256" s="181"/>
      <c r="I256" s="392"/>
      <c r="J256" s="284"/>
      <c r="K256" s="285"/>
      <c r="L256" s="120"/>
      <c r="M256" s="241"/>
      <c r="N256" s="215"/>
      <c r="O256" s="111"/>
      <c r="P256" s="111"/>
      <c r="Q256" s="263"/>
      <c r="R256" s="260"/>
      <c r="S256" s="260"/>
      <c r="T256" s="242"/>
      <c r="U256" s="242"/>
      <c r="V256" s="120"/>
      <c r="W256" s="120"/>
      <c r="X256" s="215"/>
      <c r="Y256" s="120"/>
      <c r="Z256" s="111"/>
      <c r="AA256" s="66"/>
      <c r="AB256" s="181"/>
      <c r="AC256" s="120"/>
      <c r="AD256" s="181"/>
      <c r="AE256" s="218"/>
      <c r="AF256" s="241"/>
      <c r="AG256" s="242"/>
      <c r="AH256" s="353"/>
      <c r="AI256" s="353"/>
      <c r="AJ256" s="353"/>
      <c r="AK256" s="353"/>
      <c r="AL256" s="66"/>
      <c r="AM256" s="181"/>
      <c r="AN256" s="66"/>
      <c r="AO256" s="138"/>
      <c r="AP256" s="138"/>
      <c r="AQ256" s="181"/>
      <c r="AS256" s="364"/>
      <c r="AT256" s="364"/>
      <c r="AU256" s="364"/>
      <c r="AV256" s="364"/>
      <c r="AW256" s="364"/>
      <c r="AX256" s="364"/>
      <c r="AY256" s="364"/>
      <c r="AZ256" s="364"/>
      <c r="BA256" s="364"/>
      <c r="BB256" s="364"/>
      <c r="BC256" s="364"/>
    </row>
    <row r="257" spans="1:55" hidden="1" x14ac:dyDescent="0.2">
      <c r="A257" s="283">
        <v>183</v>
      </c>
      <c r="B257" s="219"/>
      <c r="C257" s="219"/>
      <c r="D257" s="219"/>
      <c r="E257" s="120"/>
      <c r="F257" s="120"/>
      <c r="G257" s="287"/>
      <c r="H257" s="181"/>
      <c r="I257" s="392"/>
      <c r="J257" s="284"/>
      <c r="K257" s="285"/>
      <c r="L257" s="303"/>
      <c r="M257" s="241"/>
      <c r="N257" s="215"/>
      <c r="O257" s="111"/>
      <c r="P257" s="111"/>
      <c r="Q257" s="263"/>
      <c r="R257" s="260"/>
      <c r="S257" s="260"/>
      <c r="T257" s="242"/>
      <c r="U257" s="242"/>
      <c r="V257" s="120"/>
      <c r="W257" s="120"/>
      <c r="X257" s="215"/>
      <c r="Y257" s="120"/>
      <c r="Z257" s="111"/>
      <c r="AA257" s="66"/>
      <c r="AB257" s="181"/>
      <c r="AC257" s="120"/>
      <c r="AD257" s="181"/>
      <c r="AE257" s="218"/>
      <c r="AF257" s="241"/>
      <c r="AG257" s="242"/>
      <c r="AH257" s="353"/>
      <c r="AI257" s="353"/>
      <c r="AJ257" s="353"/>
      <c r="AK257" s="353"/>
      <c r="AL257" s="66"/>
      <c r="AM257" s="181"/>
      <c r="AN257" s="66"/>
      <c r="AO257" s="138"/>
      <c r="AP257" s="138"/>
      <c r="AQ257" s="181"/>
      <c r="AS257" s="364"/>
      <c r="AT257" s="364"/>
      <c r="AU257" s="364"/>
      <c r="AV257" s="364"/>
      <c r="AW257" s="364"/>
      <c r="AX257" s="364"/>
      <c r="AY257" s="364"/>
      <c r="AZ257" s="364"/>
      <c r="BA257" s="364"/>
      <c r="BB257" s="364"/>
      <c r="BC257" s="364"/>
    </row>
    <row r="258" spans="1:55" hidden="1" x14ac:dyDescent="0.2">
      <c r="A258" s="283">
        <v>184</v>
      </c>
      <c r="B258" s="219"/>
      <c r="C258" s="219"/>
      <c r="D258" s="219"/>
      <c r="E258" s="120"/>
      <c r="F258" s="120"/>
      <c r="G258" s="287"/>
      <c r="H258" s="181"/>
      <c r="I258" s="392"/>
      <c r="J258" s="284"/>
      <c r="K258" s="285"/>
      <c r="L258" s="120"/>
      <c r="M258" s="241"/>
      <c r="N258" s="215"/>
      <c r="O258" s="111"/>
      <c r="P258" s="111"/>
      <c r="Q258" s="263"/>
      <c r="R258" s="260"/>
      <c r="S258" s="260"/>
      <c r="T258" s="242"/>
      <c r="U258" s="242"/>
      <c r="V258" s="120"/>
      <c r="W258" s="120"/>
      <c r="X258" s="215"/>
      <c r="Y258" s="120"/>
      <c r="Z258" s="111"/>
      <c r="AA258" s="66"/>
      <c r="AB258" s="181"/>
      <c r="AC258" s="181"/>
      <c r="AD258" s="181"/>
      <c r="AE258" s="218"/>
      <c r="AF258" s="241"/>
      <c r="AG258" s="242"/>
      <c r="AH258" s="353"/>
      <c r="AI258" s="353"/>
      <c r="AJ258" s="353"/>
      <c r="AK258" s="353"/>
      <c r="AL258" s="66"/>
      <c r="AM258" s="181"/>
      <c r="AN258" s="66"/>
      <c r="AO258" s="138"/>
      <c r="AP258" s="138"/>
      <c r="AQ258" s="181"/>
      <c r="AS258" s="364"/>
      <c r="AT258" s="364"/>
      <c r="AU258" s="364"/>
      <c r="AV258" s="364"/>
      <c r="AW258" s="364"/>
      <c r="AX258" s="364"/>
      <c r="AY258" s="364"/>
      <c r="AZ258" s="364"/>
      <c r="BA258" s="364"/>
      <c r="BB258" s="364"/>
      <c r="BC258" s="364"/>
    </row>
    <row r="259" spans="1:55" hidden="1" x14ac:dyDescent="0.2">
      <c r="A259" s="283">
        <v>185</v>
      </c>
      <c r="B259" s="219"/>
      <c r="C259" s="219"/>
      <c r="D259" s="219"/>
      <c r="E259" s="120"/>
      <c r="F259" s="120"/>
      <c r="G259" s="287"/>
      <c r="H259" s="181"/>
      <c r="I259" s="392"/>
      <c r="J259" s="284"/>
      <c r="K259" s="285"/>
      <c r="L259" s="120"/>
      <c r="M259" s="241"/>
      <c r="N259" s="215"/>
      <c r="O259" s="111"/>
      <c r="P259" s="111"/>
      <c r="Q259" s="263"/>
      <c r="R259" s="260"/>
      <c r="S259" s="260"/>
      <c r="T259" s="242"/>
      <c r="U259" s="242"/>
      <c r="V259" s="120"/>
      <c r="W259" s="120"/>
      <c r="X259" s="215"/>
      <c r="Y259" s="120"/>
      <c r="Z259" s="111"/>
      <c r="AA259" s="66"/>
      <c r="AB259" s="181"/>
      <c r="AC259" s="181"/>
      <c r="AD259" s="181"/>
      <c r="AE259" s="218"/>
      <c r="AF259" s="241"/>
      <c r="AG259" s="242"/>
      <c r="AH259" s="354"/>
      <c r="AI259" s="354"/>
      <c r="AJ259" s="354"/>
      <c r="AK259" s="354"/>
      <c r="AL259" s="66"/>
      <c r="AM259" s="181"/>
      <c r="AN259" s="66"/>
      <c r="AO259" s="138"/>
      <c r="AP259" s="138"/>
      <c r="AQ259" s="181"/>
      <c r="AS259" s="364"/>
      <c r="AT259" s="364"/>
      <c r="AU259" s="364"/>
      <c r="AV259" s="364"/>
      <c r="AW259" s="364"/>
      <c r="AX259" s="364"/>
      <c r="AY259" s="364"/>
      <c r="AZ259" s="364"/>
      <c r="BA259" s="364"/>
      <c r="BB259" s="364"/>
      <c r="BC259" s="364"/>
    </row>
    <row r="260" spans="1:55" hidden="1" x14ac:dyDescent="0.2">
      <c r="A260" s="283">
        <v>186</v>
      </c>
      <c r="B260" s="219"/>
      <c r="C260" s="219"/>
      <c r="D260" s="219"/>
      <c r="E260" s="120"/>
      <c r="F260" s="120"/>
      <c r="G260" s="287"/>
      <c r="H260" s="181"/>
      <c r="I260" s="392"/>
      <c r="J260" s="284"/>
      <c r="K260" s="285"/>
      <c r="L260" s="120"/>
      <c r="M260" s="241"/>
      <c r="N260" s="215"/>
      <c r="O260" s="111"/>
      <c r="P260" s="215"/>
      <c r="Q260" s="263"/>
      <c r="R260" s="260"/>
      <c r="S260" s="260"/>
      <c r="T260" s="242"/>
      <c r="U260" s="242"/>
      <c r="V260" s="120"/>
      <c r="W260" s="120"/>
      <c r="X260" s="215"/>
      <c r="Y260" s="120"/>
      <c r="Z260" s="111"/>
      <c r="AA260" s="66"/>
      <c r="AB260" s="181"/>
      <c r="AC260" s="181"/>
      <c r="AD260" s="181"/>
      <c r="AE260" s="218"/>
      <c r="AF260" s="241"/>
      <c r="AG260" s="242"/>
      <c r="AH260" s="354"/>
      <c r="AI260" s="354"/>
      <c r="AJ260" s="354"/>
      <c r="AK260" s="354"/>
      <c r="AL260" s="120"/>
      <c r="AM260" s="181"/>
      <c r="AN260" s="66"/>
      <c r="AO260" s="138"/>
      <c r="AP260" s="138"/>
      <c r="AQ260" s="181"/>
      <c r="AS260" s="364"/>
      <c r="AT260" s="364"/>
      <c r="AU260" s="364"/>
      <c r="AV260" s="364"/>
      <c r="AW260" s="364"/>
      <c r="AX260" s="364"/>
      <c r="AY260" s="364"/>
      <c r="AZ260" s="364"/>
      <c r="BA260" s="364"/>
      <c r="BB260" s="364"/>
      <c r="BC260" s="364"/>
    </row>
    <row r="261" spans="1:55" ht="82.5" hidden="1" customHeight="1" x14ac:dyDescent="0.2">
      <c r="A261" s="283">
        <v>187</v>
      </c>
      <c r="B261" s="219"/>
      <c r="C261" s="219"/>
      <c r="D261" s="219"/>
      <c r="E261" s="120"/>
      <c r="F261" s="120"/>
      <c r="G261" s="287"/>
      <c r="H261" s="215"/>
      <c r="I261" s="392"/>
      <c r="J261" s="284"/>
      <c r="K261" s="285"/>
      <c r="L261" s="120"/>
      <c r="M261" s="241"/>
      <c r="N261" s="215"/>
      <c r="O261" s="111"/>
      <c r="P261" s="111"/>
      <c r="Q261" s="263"/>
      <c r="R261" s="260"/>
      <c r="S261" s="260"/>
      <c r="T261" s="242"/>
      <c r="U261" s="242"/>
      <c r="V261" s="120"/>
      <c r="W261" s="120"/>
      <c r="X261" s="215"/>
      <c r="Y261" s="120"/>
      <c r="Z261" s="111"/>
      <c r="AA261" s="66"/>
      <c r="AB261" s="181"/>
      <c r="AC261" s="181"/>
      <c r="AD261" s="181"/>
      <c r="AE261" s="218"/>
      <c r="AF261" s="241"/>
      <c r="AG261" s="242"/>
      <c r="AH261" s="354"/>
      <c r="AI261" s="354"/>
      <c r="AJ261" s="354"/>
      <c r="AK261" s="354"/>
      <c r="AL261" s="66"/>
      <c r="AM261" s="181"/>
      <c r="AN261" s="66"/>
      <c r="AO261" s="138"/>
      <c r="AP261" s="138"/>
      <c r="AQ261" s="181"/>
      <c r="AS261" s="364"/>
      <c r="AT261" s="364"/>
      <c r="AU261" s="364"/>
      <c r="AV261" s="364"/>
      <c r="AW261" s="364"/>
      <c r="AX261" s="364"/>
      <c r="AY261" s="364"/>
      <c r="AZ261" s="364"/>
      <c r="BA261" s="364"/>
      <c r="BB261" s="364"/>
      <c r="BC261" s="364"/>
    </row>
    <row r="262" spans="1:55" ht="53.25" hidden="1" customHeight="1" x14ac:dyDescent="0.2">
      <c r="A262" s="283">
        <v>188</v>
      </c>
      <c r="B262" s="219"/>
      <c r="C262" s="219"/>
      <c r="D262" s="291"/>
      <c r="E262" s="120"/>
      <c r="F262" s="120"/>
      <c r="G262" s="287"/>
      <c r="H262" s="215"/>
      <c r="I262" s="392"/>
      <c r="J262" s="284"/>
      <c r="K262" s="285"/>
      <c r="L262" s="120"/>
      <c r="M262" s="241"/>
      <c r="N262" s="257"/>
      <c r="O262" s="111"/>
      <c r="P262" s="111"/>
      <c r="Q262" s="265"/>
      <c r="R262" s="261"/>
      <c r="S262" s="261"/>
      <c r="T262" s="241"/>
      <c r="U262" s="241"/>
      <c r="V262" s="120"/>
      <c r="W262" s="120"/>
      <c r="X262" s="348"/>
      <c r="Y262" s="271"/>
      <c r="Z262" s="111"/>
      <c r="AA262" s="111"/>
      <c r="AB262" s="218"/>
      <c r="AC262" s="218"/>
      <c r="AD262" s="218"/>
      <c r="AE262" s="218"/>
      <c r="AF262" s="241"/>
      <c r="AG262" s="242"/>
      <c r="AH262" s="355"/>
      <c r="AI262" s="355"/>
      <c r="AJ262" s="355"/>
      <c r="AK262" s="355"/>
      <c r="AL262" s="111"/>
      <c r="AM262" s="218"/>
      <c r="AN262" s="111"/>
      <c r="AO262" s="138"/>
      <c r="AP262" s="138"/>
      <c r="AQ262" s="218"/>
      <c r="AS262" s="364"/>
      <c r="AT262" s="364"/>
      <c r="AU262" s="364"/>
      <c r="AV262" s="364"/>
      <c r="AW262" s="364"/>
      <c r="AX262" s="364"/>
      <c r="AY262" s="364"/>
      <c r="AZ262" s="364"/>
      <c r="BA262" s="364"/>
      <c r="BB262" s="364"/>
      <c r="BC262" s="364"/>
    </row>
    <row r="263" spans="1:55" ht="75.75" hidden="1" customHeight="1" x14ac:dyDescent="0.2">
      <c r="A263" s="283">
        <v>189</v>
      </c>
      <c r="B263" s="219"/>
      <c r="C263" s="219"/>
      <c r="D263" s="219"/>
      <c r="E263" s="120"/>
      <c r="F263" s="219"/>
      <c r="G263" s="380"/>
      <c r="H263" s="215"/>
      <c r="I263" s="392"/>
      <c r="J263" s="284"/>
      <c r="K263" s="285"/>
      <c r="L263" s="120"/>
      <c r="M263" s="241"/>
      <c r="N263" s="215"/>
      <c r="O263" s="111"/>
      <c r="P263" s="111"/>
      <c r="Q263" s="263"/>
      <c r="R263" s="260"/>
      <c r="S263" s="120"/>
      <c r="T263" s="242"/>
      <c r="U263" s="242"/>
      <c r="V263" s="120"/>
      <c r="W263" s="120"/>
      <c r="X263" s="348"/>
      <c r="Y263" s="120"/>
      <c r="Z263" s="111"/>
      <c r="AA263" s="66"/>
      <c r="AB263" s="181"/>
      <c r="AC263" s="181"/>
      <c r="AD263" s="181"/>
      <c r="AE263" s="218"/>
      <c r="AF263" s="241"/>
      <c r="AG263" s="242"/>
      <c r="AH263" s="354"/>
      <c r="AI263" s="354"/>
      <c r="AJ263" s="354"/>
      <c r="AK263" s="354"/>
      <c r="AL263" s="66"/>
      <c r="AM263" s="181"/>
      <c r="AN263" s="66"/>
      <c r="AO263" s="138"/>
      <c r="AP263" s="138"/>
      <c r="AQ263" s="181"/>
    </row>
    <row r="264" spans="1:55" ht="75.75" hidden="1" customHeight="1" x14ac:dyDescent="0.2">
      <c r="A264" s="283">
        <v>190</v>
      </c>
      <c r="B264" s="140"/>
      <c r="C264" s="140"/>
      <c r="D264" s="140"/>
      <c r="E264" s="129"/>
      <c r="F264" s="129"/>
      <c r="G264" s="381"/>
      <c r="H264" s="415"/>
      <c r="I264" s="397"/>
      <c r="J264" s="204"/>
      <c r="K264" s="205"/>
      <c r="L264" s="129"/>
      <c r="M264" s="162"/>
      <c r="N264" s="215"/>
      <c r="O264" s="126"/>
      <c r="P264" s="126"/>
      <c r="Q264" s="263"/>
      <c r="R264" s="260"/>
      <c r="S264" s="260"/>
      <c r="T264" s="242"/>
      <c r="U264" s="242"/>
      <c r="V264" s="129"/>
      <c r="W264" s="129"/>
      <c r="X264" s="273"/>
      <c r="Y264" s="120"/>
      <c r="Z264" s="126"/>
      <c r="AA264" s="66"/>
      <c r="AB264" s="181"/>
      <c r="AC264" s="181"/>
      <c r="AD264" s="181"/>
      <c r="AE264" s="218"/>
      <c r="AF264" s="162"/>
      <c r="AG264" s="161"/>
      <c r="AH264" s="354"/>
      <c r="AI264" s="354"/>
      <c r="AJ264" s="354"/>
      <c r="AK264" s="354"/>
      <c r="AL264" s="105"/>
      <c r="AM264" s="181"/>
      <c r="AN264" s="66"/>
      <c r="AO264" s="138"/>
      <c r="AP264" s="138"/>
      <c r="AQ264" s="181"/>
    </row>
    <row r="265" spans="1:55" ht="75.75" hidden="1" customHeight="1" x14ac:dyDescent="0.2">
      <c r="A265" s="283">
        <v>191</v>
      </c>
      <c r="B265" s="140"/>
      <c r="C265" s="140"/>
      <c r="D265" s="140"/>
      <c r="E265" s="129"/>
      <c r="F265" s="129"/>
      <c r="G265" s="206"/>
      <c r="H265" s="415"/>
      <c r="I265" s="397"/>
      <c r="J265" s="204"/>
      <c r="K265" s="205"/>
      <c r="L265" s="129"/>
      <c r="M265" s="162"/>
      <c r="N265" s="215"/>
      <c r="O265" s="126"/>
      <c r="P265" s="126"/>
      <c r="Q265" s="263"/>
      <c r="R265" s="260"/>
      <c r="S265" s="260"/>
      <c r="T265" s="242"/>
      <c r="U265" s="242"/>
      <c r="V265" s="129"/>
      <c r="W265" s="129"/>
      <c r="X265" s="273"/>
      <c r="Y265" s="120"/>
      <c r="Z265" s="126"/>
      <c r="AA265" s="66"/>
      <c r="AB265" s="181"/>
      <c r="AC265" s="181"/>
      <c r="AD265" s="181"/>
      <c r="AE265" s="218"/>
      <c r="AF265" s="162"/>
      <c r="AG265" s="161"/>
      <c r="AH265" s="354"/>
      <c r="AI265" s="354"/>
      <c r="AJ265" s="354"/>
      <c r="AK265" s="354"/>
      <c r="AL265" s="105"/>
      <c r="AM265" s="181"/>
      <c r="AN265" s="66"/>
      <c r="AO265" s="138"/>
      <c r="AP265" s="138"/>
      <c r="AQ265" s="181"/>
    </row>
    <row r="266" spans="1:55" hidden="1" x14ac:dyDescent="0.2">
      <c r="A266" s="283">
        <v>192</v>
      </c>
      <c r="B266" s="140"/>
      <c r="C266" s="140"/>
      <c r="D266" s="140"/>
      <c r="E266" s="129"/>
      <c r="F266" s="129"/>
      <c r="G266" s="206"/>
      <c r="H266" s="181"/>
      <c r="I266" s="397"/>
      <c r="J266" s="204"/>
      <c r="K266" s="205"/>
      <c r="L266" s="129"/>
      <c r="M266" s="162"/>
      <c r="N266" s="215"/>
      <c r="O266" s="126"/>
      <c r="P266" s="126"/>
      <c r="Q266" s="263"/>
      <c r="R266" s="260"/>
      <c r="S266" s="260"/>
      <c r="T266" s="242"/>
      <c r="U266" s="242"/>
      <c r="V266" s="129"/>
      <c r="W266" s="129"/>
      <c r="X266" s="215"/>
      <c r="Y266" s="120"/>
      <c r="Z266" s="126"/>
      <c r="AA266" s="66"/>
      <c r="AB266" s="181"/>
      <c r="AC266" s="181"/>
      <c r="AD266" s="181"/>
      <c r="AE266" s="218"/>
      <c r="AF266" s="162"/>
      <c r="AG266" s="161"/>
      <c r="AH266" s="354"/>
      <c r="AI266" s="354"/>
      <c r="AJ266" s="354"/>
      <c r="AK266" s="354"/>
      <c r="AL266" s="105"/>
      <c r="AM266" s="181"/>
      <c r="AN266" s="66"/>
      <c r="AO266" s="138"/>
      <c r="AP266" s="138"/>
      <c r="AQ266" s="181"/>
    </row>
    <row r="267" spans="1:55" hidden="1" x14ac:dyDescent="0.2">
      <c r="A267" s="283">
        <v>193</v>
      </c>
      <c r="B267" s="140"/>
      <c r="C267" s="140"/>
      <c r="D267" s="140"/>
      <c r="E267" s="129"/>
      <c r="F267" s="129"/>
      <c r="G267" s="206"/>
      <c r="H267" s="181"/>
      <c r="I267" s="398"/>
      <c r="J267" s="204"/>
      <c r="K267" s="205"/>
      <c r="L267" s="129"/>
      <c r="M267" s="162"/>
      <c r="N267" s="215"/>
      <c r="O267" s="126"/>
      <c r="P267" s="126"/>
      <c r="Q267" s="263"/>
      <c r="R267" s="260"/>
      <c r="S267" s="260"/>
      <c r="T267" s="242"/>
      <c r="U267" s="242"/>
      <c r="V267" s="129"/>
      <c r="W267" s="129"/>
      <c r="X267" s="215"/>
      <c r="Y267" s="120"/>
      <c r="Z267" s="126"/>
      <c r="AA267" s="66"/>
      <c r="AB267" s="181"/>
      <c r="AC267" s="181"/>
      <c r="AD267" s="181"/>
      <c r="AE267" s="218"/>
      <c r="AF267" s="162"/>
      <c r="AG267" s="161"/>
      <c r="AH267" s="354"/>
      <c r="AI267" s="354"/>
      <c r="AJ267" s="354"/>
      <c r="AK267" s="354"/>
      <c r="AL267" s="105"/>
      <c r="AM267" s="181"/>
      <c r="AN267" s="66"/>
      <c r="AO267" s="138"/>
      <c r="AP267" s="138"/>
      <c r="AQ267" s="181"/>
    </row>
    <row r="268" spans="1:55" ht="69.75" hidden="1" customHeight="1" x14ac:dyDescent="0.2">
      <c r="A268" s="283">
        <v>194</v>
      </c>
      <c r="B268" s="140"/>
      <c r="C268" s="140"/>
      <c r="D268" s="129"/>
      <c r="E268" s="129"/>
      <c r="F268" s="129"/>
      <c r="G268" s="206"/>
      <c r="H268" s="181"/>
      <c r="I268" s="398"/>
      <c r="J268" s="204"/>
      <c r="K268" s="205"/>
      <c r="L268" s="129"/>
      <c r="M268" s="162"/>
      <c r="N268" s="215"/>
      <c r="O268" s="126"/>
      <c r="P268" s="126"/>
      <c r="Q268" s="263"/>
      <c r="R268" s="260"/>
      <c r="S268" s="260"/>
      <c r="T268" s="242"/>
      <c r="U268" s="161"/>
      <c r="V268" s="129"/>
      <c r="W268" s="129"/>
      <c r="X268" s="215"/>
      <c r="Y268" s="120"/>
      <c r="Z268" s="126"/>
      <c r="AA268" s="66"/>
      <c r="AB268" s="181"/>
      <c r="AC268" s="181"/>
      <c r="AD268" s="181"/>
      <c r="AE268" s="218"/>
      <c r="AF268" s="162"/>
      <c r="AG268" s="161"/>
      <c r="AH268" s="354"/>
      <c r="AI268" s="354"/>
      <c r="AJ268" s="354"/>
      <c r="AK268" s="354"/>
      <c r="AL268" s="105"/>
      <c r="AM268" s="181"/>
      <c r="AN268" s="66"/>
      <c r="AO268" s="138"/>
      <c r="AP268" s="138"/>
      <c r="AQ268" s="181"/>
    </row>
    <row r="269" spans="1:55" hidden="1" x14ac:dyDescent="0.2">
      <c r="A269" s="283">
        <v>195</v>
      </c>
      <c r="B269" s="140"/>
      <c r="C269" s="140"/>
      <c r="D269" s="140"/>
      <c r="E269" s="129"/>
      <c r="F269" s="129"/>
      <c r="G269" s="206"/>
      <c r="H269" s="120"/>
      <c r="I269" s="397"/>
      <c r="J269" s="204"/>
      <c r="K269" s="205"/>
      <c r="L269" s="129"/>
      <c r="M269" s="162"/>
      <c r="N269" s="257"/>
      <c r="O269" s="126"/>
      <c r="P269" s="126"/>
      <c r="Q269" s="266"/>
      <c r="R269" s="261"/>
      <c r="S269" s="261"/>
      <c r="T269" s="241"/>
      <c r="U269" s="241"/>
      <c r="V269" s="129"/>
      <c r="W269" s="129"/>
      <c r="X269" s="273"/>
      <c r="Y269" s="271"/>
      <c r="Z269" s="126"/>
      <c r="AA269" s="111"/>
      <c r="AB269" s="218"/>
      <c r="AC269" s="218"/>
      <c r="AD269" s="218"/>
      <c r="AE269" s="218"/>
      <c r="AF269" s="162"/>
      <c r="AG269" s="161"/>
      <c r="AH269" s="355"/>
      <c r="AI269" s="355"/>
      <c r="AJ269" s="355"/>
      <c r="AK269" s="355"/>
      <c r="AL269" s="110"/>
      <c r="AM269" s="218"/>
      <c r="AN269" s="111"/>
      <c r="AO269" s="138"/>
      <c r="AP269" s="138"/>
      <c r="AQ269" s="218"/>
    </row>
    <row r="270" spans="1:55" hidden="1" x14ac:dyDescent="0.2">
      <c r="A270" s="283">
        <v>196</v>
      </c>
      <c r="B270" s="140"/>
      <c r="C270" s="140"/>
      <c r="D270" s="140"/>
      <c r="E270" s="129"/>
      <c r="F270" s="129"/>
      <c r="G270" s="206"/>
      <c r="H270" s="120"/>
      <c r="I270" s="397"/>
      <c r="J270" s="204"/>
      <c r="K270" s="205"/>
      <c r="L270" s="129"/>
      <c r="M270" s="162"/>
      <c r="N270" s="215"/>
      <c r="O270" s="126"/>
      <c r="P270" s="126"/>
      <c r="Q270" s="263"/>
      <c r="R270" s="260"/>
      <c r="S270" s="260"/>
      <c r="T270" s="242"/>
      <c r="U270" s="242"/>
      <c r="V270" s="129"/>
      <c r="W270" s="129"/>
      <c r="X270" s="273"/>
      <c r="Y270" s="120"/>
      <c r="Z270" s="126"/>
      <c r="AA270" s="66"/>
      <c r="AB270" s="181"/>
      <c r="AC270" s="181"/>
      <c r="AD270" s="181"/>
      <c r="AE270" s="218"/>
      <c r="AF270" s="162"/>
      <c r="AG270" s="161"/>
      <c r="AH270" s="354"/>
      <c r="AI270" s="354"/>
      <c r="AJ270" s="354"/>
      <c r="AK270" s="354"/>
      <c r="AL270" s="105"/>
      <c r="AM270" s="181"/>
      <c r="AN270" s="66"/>
      <c r="AO270" s="138"/>
      <c r="AP270" s="138"/>
      <c r="AQ270" s="181"/>
    </row>
    <row r="271" spans="1:55" hidden="1" x14ac:dyDescent="0.2">
      <c r="A271" s="283">
        <v>197</v>
      </c>
      <c r="B271" s="140"/>
      <c r="C271" s="140"/>
      <c r="D271" s="208"/>
      <c r="E271" s="129"/>
      <c r="F271" s="129"/>
      <c r="G271" s="206"/>
      <c r="H271" s="181"/>
      <c r="I271" s="397"/>
      <c r="J271" s="204"/>
      <c r="K271" s="205"/>
      <c r="L271" s="249"/>
      <c r="M271" s="162"/>
      <c r="N271" s="215"/>
      <c r="O271" s="126"/>
      <c r="P271" s="126"/>
      <c r="Q271" s="263"/>
      <c r="R271" s="260"/>
      <c r="S271" s="260"/>
      <c r="T271" s="242"/>
      <c r="U271" s="120"/>
      <c r="V271" s="129"/>
      <c r="W271" s="129"/>
      <c r="X271" s="182"/>
      <c r="Y271" s="120"/>
      <c r="Z271" s="126"/>
      <c r="AA271" s="66"/>
      <c r="AB271" s="181"/>
      <c r="AC271" s="181"/>
      <c r="AD271" s="181"/>
      <c r="AE271" s="218"/>
      <c r="AF271" s="162"/>
      <c r="AG271" s="161"/>
      <c r="AH271" s="354"/>
      <c r="AI271" s="354"/>
      <c r="AJ271" s="354"/>
      <c r="AK271" s="354"/>
      <c r="AL271" s="105"/>
      <c r="AM271" s="181"/>
      <c r="AN271" s="66"/>
      <c r="AO271" s="138"/>
      <c r="AP271" s="138"/>
      <c r="AQ271" s="181"/>
    </row>
    <row r="272" spans="1:55" ht="51.75" hidden="1" customHeight="1" x14ac:dyDescent="0.2">
      <c r="A272" s="283">
        <v>198</v>
      </c>
      <c r="B272" s="140"/>
      <c r="C272" s="140"/>
      <c r="D272" s="208"/>
      <c r="E272" s="129"/>
      <c r="F272" s="129"/>
      <c r="G272" s="206"/>
      <c r="H272" s="181"/>
      <c r="I272" s="397"/>
      <c r="J272" s="204"/>
      <c r="K272" s="205"/>
      <c r="L272" s="129"/>
      <c r="M272" s="162"/>
      <c r="N272" s="257"/>
      <c r="O272" s="126"/>
      <c r="P272" s="126"/>
      <c r="Q272" s="265"/>
      <c r="R272" s="261"/>
      <c r="S272" s="261"/>
      <c r="T272" s="241"/>
      <c r="U272" s="218"/>
      <c r="V272" s="129"/>
      <c r="W272" s="129"/>
      <c r="X272" s="273"/>
      <c r="Y272" s="271"/>
      <c r="Z272" s="126"/>
      <c r="AA272" s="111"/>
      <c r="AB272" s="218"/>
      <c r="AC272" s="218"/>
      <c r="AD272" s="218"/>
      <c r="AE272" s="218"/>
      <c r="AF272" s="162"/>
      <c r="AG272" s="161"/>
      <c r="AH272" s="355"/>
      <c r="AI272" s="355"/>
      <c r="AJ272" s="355"/>
      <c r="AK272" s="355"/>
      <c r="AL272" s="110"/>
      <c r="AM272" s="218"/>
      <c r="AN272" s="111"/>
      <c r="AO272" s="138"/>
      <c r="AP272" s="138"/>
      <c r="AQ272" s="218"/>
    </row>
    <row r="273" spans="1:60" ht="89" hidden="1" customHeight="1" x14ac:dyDescent="0.2">
      <c r="A273" s="283">
        <v>199</v>
      </c>
      <c r="B273" s="140"/>
      <c r="C273" s="140"/>
      <c r="D273" s="129"/>
      <c r="E273" s="129"/>
      <c r="F273" s="129"/>
      <c r="G273" s="206"/>
      <c r="H273" s="181"/>
      <c r="I273" s="397"/>
      <c r="J273" s="204"/>
      <c r="K273" s="205"/>
      <c r="L273" s="129"/>
      <c r="M273" s="162"/>
      <c r="N273" s="215"/>
      <c r="O273" s="126"/>
      <c r="P273" s="126"/>
      <c r="Q273" s="263"/>
      <c r="R273" s="260"/>
      <c r="S273" s="260"/>
      <c r="T273" s="242"/>
      <c r="U273" s="120"/>
      <c r="V273" s="129"/>
      <c r="W273" s="129"/>
      <c r="X273" s="273"/>
      <c r="Y273" s="120"/>
      <c r="Z273" s="126"/>
      <c r="AA273" s="66"/>
      <c r="AB273" s="181"/>
      <c r="AC273" s="181"/>
      <c r="AD273" s="181"/>
      <c r="AE273" s="218"/>
      <c r="AF273" s="162"/>
      <c r="AG273" s="161"/>
      <c r="AH273" s="354"/>
      <c r="AI273" s="354"/>
      <c r="AJ273" s="354"/>
      <c r="AK273" s="354"/>
      <c r="AL273" s="105"/>
      <c r="AM273" s="181"/>
      <c r="AN273" s="66"/>
      <c r="AO273" s="138"/>
      <c r="AP273" s="138"/>
      <c r="AQ273" s="181"/>
    </row>
    <row r="274" spans="1:60" s="76" customFormat="1" ht="45.5" hidden="1" customHeight="1" x14ac:dyDescent="0.2">
      <c r="A274" s="283">
        <v>200</v>
      </c>
      <c r="B274" s="140"/>
      <c r="C274" s="206"/>
      <c r="D274" s="226"/>
      <c r="E274" s="207"/>
      <c r="F274" s="129"/>
      <c r="G274" s="206"/>
      <c r="H274" s="181"/>
      <c r="I274" s="399"/>
      <c r="J274" s="204"/>
      <c r="K274" s="212"/>
      <c r="L274" s="249"/>
      <c r="M274" s="162"/>
      <c r="N274" s="215"/>
      <c r="O274" s="126"/>
      <c r="P274" s="126"/>
      <c r="Q274" s="263"/>
      <c r="R274" s="260"/>
      <c r="S274" s="260"/>
      <c r="T274" s="242"/>
      <c r="U274" s="120"/>
      <c r="V274" s="183"/>
      <c r="W274" s="129"/>
      <c r="X274" s="215"/>
      <c r="Y274" s="120"/>
      <c r="Z274" s="126"/>
      <c r="AA274" s="66"/>
      <c r="AB274" s="120"/>
      <c r="AC274" s="120"/>
      <c r="AD274" s="181"/>
      <c r="AE274" s="218"/>
      <c r="AF274" s="162"/>
      <c r="AG274" s="161"/>
      <c r="AH274" s="357"/>
      <c r="AI274" s="357"/>
      <c r="AJ274" s="357"/>
      <c r="AK274" s="357"/>
      <c r="AL274" s="105"/>
      <c r="AM274" s="181"/>
      <c r="AN274" s="66"/>
      <c r="AO274" s="138"/>
      <c r="AP274" s="138"/>
      <c r="AQ274" s="120"/>
      <c r="BH274" s="68"/>
    </row>
    <row r="275" spans="1:60" ht="38" hidden="1" customHeight="1" x14ac:dyDescent="0.2">
      <c r="A275" s="283">
        <v>201</v>
      </c>
      <c r="B275" s="140"/>
      <c r="C275" s="120"/>
      <c r="D275" s="208"/>
      <c r="E275" s="129"/>
      <c r="F275" s="129"/>
      <c r="G275" s="382"/>
      <c r="H275" s="181"/>
      <c r="I275" s="399"/>
      <c r="J275" s="204"/>
      <c r="K275" s="212"/>
      <c r="L275" s="129"/>
      <c r="M275" s="162"/>
      <c r="N275" s="215"/>
      <c r="O275" s="126"/>
      <c r="P275" s="126"/>
      <c r="Q275" s="263"/>
      <c r="R275" s="260"/>
      <c r="S275" s="260"/>
      <c r="T275" s="242"/>
      <c r="U275" s="161"/>
      <c r="V275" s="181"/>
      <c r="W275" s="129"/>
      <c r="X275" s="215"/>
      <c r="Y275" s="120"/>
      <c r="Z275" s="126"/>
      <c r="AA275" s="66"/>
      <c r="AB275" s="181"/>
      <c r="AC275" s="181"/>
      <c r="AD275" s="181"/>
      <c r="AE275" s="218"/>
      <c r="AF275" s="162"/>
      <c r="AG275" s="161"/>
      <c r="AH275" s="354"/>
      <c r="AI275" s="354"/>
      <c r="AJ275" s="354"/>
      <c r="AK275" s="354"/>
      <c r="AL275" s="105"/>
      <c r="AM275" s="181"/>
      <c r="AN275" s="66"/>
      <c r="AO275" s="138"/>
      <c r="AP275" s="138"/>
      <c r="AQ275" s="181"/>
    </row>
    <row r="276" spans="1:60" ht="64" hidden="1" customHeight="1" x14ac:dyDescent="0.2">
      <c r="A276" s="283">
        <v>202</v>
      </c>
      <c r="B276" s="140"/>
      <c r="C276" s="129"/>
      <c r="D276" s="129"/>
      <c r="E276" s="129"/>
      <c r="F276" s="129"/>
      <c r="G276" s="206"/>
      <c r="H276" s="181"/>
      <c r="I276" s="227"/>
      <c r="J276" s="204"/>
      <c r="K276" s="212"/>
      <c r="L276" s="129"/>
      <c r="M276" s="162"/>
      <c r="N276" s="215"/>
      <c r="O276" s="126"/>
      <c r="P276" s="126"/>
      <c r="Q276" s="263"/>
      <c r="R276" s="260"/>
      <c r="S276" s="260"/>
      <c r="T276" s="127"/>
      <c r="U276" s="161"/>
      <c r="V276" s="183"/>
      <c r="W276" s="129"/>
      <c r="X276" s="215"/>
      <c r="Y276" s="120"/>
      <c r="Z276" s="126"/>
      <c r="AA276" s="66"/>
      <c r="AB276" s="181"/>
      <c r="AC276" s="181"/>
      <c r="AD276" s="181"/>
      <c r="AE276" s="218"/>
      <c r="AF276" s="162"/>
      <c r="AG276" s="161"/>
      <c r="AH276" s="354"/>
      <c r="AI276" s="354"/>
      <c r="AJ276" s="354"/>
      <c r="AK276" s="354"/>
      <c r="AL276" s="105"/>
      <c r="AM276" s="181"/>
      <c r="AN276" s="66"/>
      <c r="AO276" s="138"/>
      <c r="AP276" s="138"/>
      <c r="AQ276" s="223"/>
    </row>
    <row r="277" spans="1:60" ht="43.5" hidden="1" customHeight="1" x14ac:dyDescent="0.2">
      <c r="A277" s="283">
        <v>203</v>
      </c>
      <c r="B277" s="140"/>
      <c r="C277" s="222"/>
      <c r="D277" s="222"/>
      <c r="E277" s="128"/>
      <c r="F277" s="129"/>
      <c r="G277" s="382"/>
      <c r="H277" s="181"/>
      <c r="I277" s="400"/>
      <c r="J277" s="204"/>
      <c r="K277" s="212"/>
      <c r="L277" s="249"/>
      <c r="M277" s="162"/>
      <c r="N277" s="249"/>
      <c r="O277" s="126"/>
      <c r="P277" s="126"/>
      <c r="Q277" s="263"/>
      <c r="R277" s="260"/>
      <c r="S277" s="260"/>
      <c r="T277" s="127"/>
      <c r="U277" s="120"/>
      <c r="V277" s="129"/>
      <c r="W277" s="129"/>
      <c r="X277" s="181"/>
      <c r="Y277" s="120"/>
      <c r="Z277" s="126"/>
      <c r="AA277" s="66"/>
      <c r="AB277" s="181"/>
      <c r="AC277" s="181"/>
      <c r="AD277" s="181"/>
      <c r="AE277" s="218"/>
      <c r="AF277" s="162"/>
      <c r="AG277" s="161"/>
      <c r="AH277" s="354"/>
      <c r="AI277" s="354"/>
      <c r="AJ277" s="354"/>
      <c r="AK277" s="354"/>
      <c r="AL277" s="105"/>
      <c r="AM277" s="181"/>
      <c r="AN277" s="66"/>
      <c r="AO277" s="138"/>
      <c r="AP277" s="138"/>
      <c r="AQ277" s="223"/>
    </row>
    <row r="278" spans="1:60" hidden="1" x14ac:dyDescent="0.2">
      <c r="A278" s="283">
        <v>204</v>
      </c>
      <c r="B278" s="140"/>
      <c r="C278" s="222"/>
      <c r="D278" s="222"/>
      <c r="E278" s="128"/>
      <c r="F278" s="129"/>
      <c r="G278" s="382"/>
      <c r="H278" s="181"/>
      <c r="I278" s="401"/>
      <c r="J278" s="204"/>
      <c r="K278" s="212"/>
      <c r="L278" s="249"/>
      <c r="M278" s="162"/>
      <c r="N278" s="249"/>
      <c r="O278" s="126"/>
      <c r="P278" s="126"/>
      <c r="Q278" s="263"/>
      <c r="R278" s="260"/>
      <c r="S278" s="260"/>
      <c r="T278" s="127"/>
      <c r="U278" s="120"/>
      <c r="V278" s="183"/>
      <c r="W278" s="129"/>
      <c r="X278" s="181"/>
      <c r="Y278" s="181"/>
      <c r="Z278" s="126"/>
      <c r="AA278" s="66"/>
      <c r="AB278" s="181"/>
      <c r="AC278" s="181"/>
      <c r="AD278" s="181"/>
      <c r="AE278" s="218"/>
      <c r="AF278" s="162"/>
      <c r="AG278" s="161"/>
      <c r="AH278" s="354"/>
      <c r="AI278" s="354"/>
      <c r="AJ278" s="354"/>
      <c r="AK278" s="354"/>
      <c r="AL278" s="105"/>
      <c r="AM278" s="181"/>
      <c r="AN278" s="66"/>
      <c r="AO278" s="138"/>
      <c r="AP278" s="138"/>
      <c r="AQ278" s="228"/>
    </row>
    <row r="279" spans="1:60" hidden="1" x14ac:dyDescent="0.2">
      <c r="A279" s="283">
        <v>205</v>
      </c>
      <c r="B279" s="211"/>
      <c r="C279" s="225"/>
      <c r="D279" s="129"/>
      <c r="E279" s="129"/>
      <c r="F279" s="129"/>
      <c r="G279" s="382"/>
      <c r="H279" s="181"/>
      <c r="I279" s="402"/>
      <c r="J279" s="204"/>
      <c r="K279" s="205"/>
      <c r="L279" s="225"/>
      <c r="M279" s="162"/>
      <c r="N279" s="257"/>
      <c r="O279" s="126"/>
      <c r="P279" s="129"/>
      <c r="Q279" s="265"/>
      <c r="R279" s="261"/>
      <c r="S279" s="260"/>
      <c r="T279" s="242"/>
      <c r="U279" s="129"/>
      <c r="V279" s="129"/>
      <c r="W279" s="129"/>
      <c r="X279" s="129"/>
      <c r="Y279" s="218"/>
      <c r="Z279" s="126"/>
      <c r="AA279" s="111"/>
      <c r="AB279" s="218"/>
      <c r="AC279" s="181"/>
      <c r="AD279" s="181"/>
      <c r="AE279" s="218"/>
      <c r="AF279" s="162"/>
      <c r="AG279" s="162"/>
      <c r="AH279" s="354"/>
      <c r="AI279" s="355"/>
      <c r="AJ279" s="355"/>
      <c r="AK279" s="355"/>
      <c r="AL279" s="110"/>
      <c r="AM279" s="181"/>
      <c r="AN279" s="66"/>
      <c r="AO279" s="138"/>
      <c r="AP279" s="138"/>
      <c r="AQ279" s="229"/>
    </row>
    <row r="280" spans="1:60" ht="36.75" hidden="1" customHeight="1" x14ac:dyDescent="0.2">
      <c r="A280" s="283">
        <v>206</v>
      </c>
      <c r="B280" s="157"/>
      <c r="C280" s="125"/>
      <c r="D280" s="125"/>
      <c r="E280" s="125"/>
      <c r="F280" s="125"/>
      <c r="G280" s="383"/>
      <c r="H280" s="36"/>
      <c r="I280" s="403"/>
      <c r="J280" s="235"/>
      <c r="K280" s="236"/>
      <c r="L280" s="249"/>
      <c r="M280" s="162"/>
      <c r="N280" s="259"/>
      <c r="O280" s="126"/>
      <c r="P280" s="129"/>
      <c r="Q280" s="263"/>
      <c r="R280" s="267"/>
      <c r="S280" s="260"/>
      <c r="T280" s="242"/>
      <c r="U280" s="129"/>
      <c r="V280" s="129"/>
      <c r="W280" s="125"/>
      <c r="X280" s="125"/>
      <c r="Y280" s="36"/>
      <c r="Z280" s="126"/>
      <c r="AA280" s="66"/>
      <c r="AB280" s="36"/>
      <c r="AC280" s="181"/>
      <c r="AD280" s="181"/>
      <c r="AE280" s="218"/>
      <c r="AF280" s="162"/>
      <c r="AG280" s="244"/>
      <c r="AH280" s="354"/>
      <c r="AI280" s="354"/>
      <c r="AJ280" s="354"/>
      <c r="AK280" s="354"/>
      <c r="AL280" s="105"/>
      <c r="AM280" s="181"/>
      <c r="AN280" s="66"/>
      <c r="AO280" s="138"/>
      <c r="AP280" s="138"/>
      <c r="AQ280" s="100"/>
    </row>
    <row r="281" spans="1:60" hidden="1" x14ac:dyDescent="0.2">
      <c r="A281" s="283">
        <v>207</v>
      </c>
      <c r="B281" s="155"/>
      <c r="C281" s="165"/>
      <c r="D281" s="165"/>
      <c r="E281" s="165"/>
      <c r="F281" s="125"/>
      <c r="G281" s="384"/>
      <c r="H281" s="36"/>
      <c r="I281" s="404"/>
      <c r="J281" s="167"/>
      <c r="K281" s="164"/>
      <c r="L281" s="250"/>
      <c r="M281" s="162"/>
      <c r="N281" s="259"/>
      <c r="O281" s="126"/>
      <c r="P281" s="259"/>
      <c r="Q281" s="127"/>
      <c r="R281" s="267"/>
      <c r="S281" s="260"/>
      <c r="T281" s="254"/>
      <c r="U281" s="268"/>
      <c r="V281" s="184"/>
      <c r="W281" s="158"/>
      <c r="X281" s="107"/>
      <c r="Y281" s="36"/>
      <c r="Z281" s="126"/>
      <c r="AA281" s="66"/>
      <c r="AB281" s="36"/>
      <c r="AC281" s="36"/>
      <c r="AD281" s="36"/>
      <c r="AE281" s="113"/>
      <c r="AF281" s="162"/>
      <c r="AG281" s="244"/>
      <c r="AH281" s="358"/>
      <c r="AI281" s="358"/>
      <c r="AJ281" s="358"/>
      <c r="AK281" s="358"/>
      <c r="AL281" s="105"/>
      <c r="AM281" s="84"/>
      <c r="AN281" s="66"/>
      <c r="AO281" s="138"/>
      <c r="AP281" s="138"/>
      <c r="AQ281" s="29"/>
    </row>
    <row r="282" spans="1:60" hidden="1" x14ac:dyDescent="0.2">
      <c r="A282" s="283">
        <v>208</v>
      </c>
      <c r="B282" s="155"/>
      <c r="C282" s="165"/>
      <c r="D282" s="238"/>
      <c r="E282" s="165"/>
      <c r="F282" s="125"/>
      <c r="G282" s="384"/>
      <c r="H282" s="36"/>
      <c r="I282" s="405"/>
      <c r="J282" s="167"/>
      <c r="K282" s="164"/>
      <c r="L282" s="250"/>
      <c r="M282" s="162"/>
      <c r="N282" s="259"/>
      <c r="O282" s="126"/>
      <c r="P282" s="259"/>
      <c r="Q282" s="263"/>
      <c r="R282" s="267"/>
      <c r="S282" s="260"/>
      <c r="T282" s="269"/>
      <c r="U282" s="63"/>
      <c r="V282" s="181"/>
      <c r="W282" s="237"/>
      <c r="X282" s="274"/>
      <c r="Y282" s="36"/>
      <c r="Z282" s="126"/>
      <c r="AA282" s="66"/>
      <c r="AB282" s="36"/>
      <c r="AC282" s="36"/>
      <c r="AD282" s="63"/>
      <c r="AE282" s="114"/>
      <c r="AF282" s="162"/>
      <c r="AG282" s="244"/>
      <c r="AH282" s="358"/>
      <c r="AI282" s="358"/>
      <c r="AJ282" s="358"/>
      <c r="AK282" s="358"/>
      <c r="AL282" s="105"/>
      <c r="AM282" s="84"/>
      <c r="AN282" s="66"/>
      <c r="AO282" s="138"/>
      <c r="AP282" s="138"/>
      <c r="AQ282" s="29"/>
    </row>
    <row r="283" spans="1:60" ht="58.5" hidden="1" customHeight="1" x14ac:dyDescent="0.2">
      <c r="A283" s="283">
        <v>209</v>
      </c>
      <c r="B283" s="155"/>
      <c r="C283" s="165"/>
      <c r="D283" s="165"/>
      <c r="E283" s="165"/>
      <c r="F283" s="125"/>
      <c r="G283" s="384"/>
      <c r="H283" s="36"/>
      <c r="I283" s="404"/>
      <c r="J283" s="167"/>
      <c r="K283" s="164"/>
      <c r="L283" s="250"/>
      <c r="M283" s="162"/>
      <c r="N283" s="259"/>
      <c r="O283" s="126"/>
      <c r="P283" s="259"/>
      <c r="Q283" s="263"/>
      <c r="R283" s="267"/>
      <c r="S283" s="260"/>
      <c r="T283" s="269"/>
      <c r="U283" s="63"/>
      <c r="V283" s="181"/>
      <c r="W283" s="237"/>
      <c r="X283" s="274"/>
      <c r="Y283" s="36"/>
      <c r="Z283" s="126"/>
      <c r="AA283" s="66"/>
      <c r="AB283" s="36"/>
      <c r="AC283" s="36"/>
      <c r="AD283" s="36"/>
      <c r="AE283" s="113"/>
      <c r="AF283" s="162"/>
      <c r="AG283" s="244"/>
      <c r="AH283" s="358"/>
      <c r="AI283" s="358"/>
      <c r="AJ283" s="358"/>
      <c r="AK283" s="358"/>
      <c r="AL283" s="107"/>
      <c r="AM283" s="84"/>
      <c r="AN283" s="66"/>
      <c r="AO283" s="138"/>
      <c r="AP283" s="138"/>
      <c r="AQ283" s="29"/>
    </row>
    <row r="284" spans="1:60" hidden="1" x14ac:dyDescent="0.2">
      <c r="A284" s="283">
        <v>210</v>
      </c>
      <c r="B284" s="155"/>
      <c r="C284" s="165"/>
      <c r="D284" s="165"/>
      <c r="E284" s="165"/>
      <c r="F284" s="125"/>
      <c r="G284" s="384"/>
      <c r="H284" s="36"/>
      <c r="I284" s="406"/>
      <c r="J284" s="167"/>
      <c r="K284" s="164"/>
      <c r="L284" s="250"/>
      <c r="M284" s="162"/>
      <c r="N284" s="259"/>
      <c r="O284" s="126"/>
      <c r="P284" s="259"/>
      <c r="Q284" s="263"/>
      <c r="R284" s="267"/>
      <c r="S284" s="260"/>
      <c r="T284" s="269"/>
      <c r="U284" s="36"/>
      <c r="V284" s="181"/>
      <c r="W284" s="231"/>
      <c r="X284" s="275"/>
      <c r="Y284" s="63"/>
      <c r="Z284" s="126"/>
      <c r="AA284" s="66"/>
      <c r="AB284" s="36"/>
      <c r="AC284" s="36"/>
      <c r="AD284" s="36"/>
      <c r="AE284" s="113"/>
      <c r="AF284" s="162"/>
      <c r="AG284" s="244"/>
      <c r="AH284" s="358"/>
      <c r="AI284" s="358"/>
      <c r="AJ284" s="358"/>
      <c r="AK284" s="358"/>
      <c r="AL284" s="105"/>
      <c r="AM284" s="84"/>
      <c r="AN284" s="66"/>
      <c r="AO284" s="138"/>
      <c r="AP284" s="138"/>
      <c r="AQ284" s="29"/>
    </row>
    <row r="285" spans="1:60" hidden="1" x14ac:dyDescent="0.2">
      <c r="A285" s="283">
        <v>211</v>
      </c>
      <c r="B285" s="155"/>
      <c r="C285" s="165"/>
      <c r="D285" s="165"/>
      <c r="E285" s="165"/>
      <c r="F285" s="125"/>
      <c r="G285" s="384"/>
      <c r="H285" s="36"/>
      <c r="I285" s="406"/>
      <c r="J285" s="167"/>
      <c r="K285" s="200"/>
      <c r="L285" s="251"/>
      <c r="M285" s="162"/>
      <c r="N285" s="112"/>
      <c r="O285" s="126"/>
      <c r="P285" s="112"/>
      <c r="Q285" s="265"/>
      <c r="R285" s="270"/>
      <c r="S285" s="260"/>
      <c r="T285" s="269"/>
      <c r="U285" s="113"/>
      <c r="V285" s="128"/>
      <c r="W285" s="231"/>
      <c r="X285" s="276"/>
      <c r="Y285" s="114"/>
      <c r="Z285" s="126"/>
      <c r="AA285" s="111"/>
      <c r="AB285" s="113"/>
      <c r="AC285" s="113"/>
      <c r="AD285" s="113"/>
      <c r="AE285" s="113"/>
      <c r="AF285" s="162"/>
      <c r="AG285" s="245"/>
      <c r="AH285" s="359"/>
      <c r="AI285" s="359"/>
      <c r="AJ285" s="359"/>
      <c r="AK285" s="359"/>
      <c r="AL285" s="113"/>
      <c r="AM285" s="115"/>
      <c r="AN285" s="111"/>
      <c r="AO285" s="138"/>
      <c r="AP285" s="138"/>
      <c r="AQ285" s="117"/>
    </row>
    <row r="286" spans="1:60" hidden="1" x14ac:dyDescent="0.2">
      <c r="A286" s="283">
        <v>212</v>
      </c>
      <c r="B286" s="155"/>
      <c r="C286" s="165"/>
      <c r="D286" s="165"/>
      <c r="E286" s="165"/>
      <c r="F286" s="125"/>
      <c r="G286" s="384"/>
      <c r="H286" s="36"/>
      <c r="I286" s="406"/>
      <c r="J286" s="167"/>
      <c r="K286" s="164"/>
      <c r="L286" s="250"/>
      <c r="M286" s="162"/>
      <c r="N286" s="36"/>
      <c r="O286" s="126"/>
      <c r="P286" s="259"/>
      <c r="Q286" s="263"/>
      <c r="R286" s="267"/>
      <c r="S286" s="260"/>
      <c r="T286" s="269"/>
      <c r="U286" s="36"/>
      <c r="V286" s="184"/>
      <c r="W286" s="231"/>
      <c r="X286" s="276"/>
      <c r="Y286" s="36"/>
      <c r="Z286" s="126"/>
      <c r="AA286" s="66"/>
      <c r="AB286" s="36"/>
      <c r="AC286" s="36"/>
      <c r="AD286" s="36"/>
      <c r="AE286" s="113"/>
      <c r="AF286" s="162"/>
      <c r="AG286" s="244"/>
      <c r="AH286" s="358"/>
      <c r="AI286" s="358"/>
      <c r="AJ286" s="358"/>
      <c r="AK286" s="358"/>
      <c r="AL286" s="105"/>
      <c r="AM286" s="84"/>
      <c r="AN286" s="66"/>
      <c r="AO286" s="138"/>
      <c r="AP286" s="138"/>
      <c r="AQ286" s="29"/>
    </row>
    <row r="287" spans="1:60" hidden="1" x14ac:dyDescent="0.2">
      <c r="A287" s="283">
        <v>213</v>
      </c>
      <c r="B287" s="155"/>
      <c r="C287" s="165"/>
      <c r="D287" s="165"/>
      <c r="E287" s="165"/>
      <c r="F287" s="125"/>
      <c r="G287" s="384"/>
      <c r="H287" s="36"/>
      <c r="I287" s="406"/>
      <c r="J287" s="167"/>
      <c r="K287" s="164"/>
      <c r="L287" s="250"/>
      <c r="M287" s="162"/>
      <c r="N287" s="259"/>
      <c r="O287" s="126"/>
      <c r="P287" s="259"/>
      <c r="Q287" s="263"/>
      <c r="R287" s="267"/>
      <c r="S287" s="260"/>
      <c r="T287" s="242"/>
      <c r="U287" s="63"/>
      <c r="V287" s="184"/>
      <c r="W287" s="231"/>
      <c r="X287" s="276"/>
      <c r="Y287" s="36"/>
      <c r="Z287" s="126"/>
      <c r="AA287" s="66"/>
      <c r="AB287" s="36"/>
      <c r="AC287" s="36"/>
      <c r="AD287" s="36"/>
      <c r="AE287" s="113"/>
      <c r="AF287" s="162"/>
      <c r="AG287" s="244"/>
      <c r="AH287" s="358"/>
      <c r="AI287" s="358"/>
      <c r="AJ287" s="358"/>
      <c r="AK287" s="358"/>
      <c r="AL287" s="105"/>
      <c r="AM287" s="84"/>
      <c r="AN287" s="66"/>
      <c r="AO287" s="138"/>
      <c r="AP287" s="138"/>
      <c r="AQ287" s="29"/>
    </row>
    <row r="288" spans="1:60" hidden="1" x14ac:dyDescent="0.2">
      <c r="A288" s="283">
        <v>214</v>
      </c>
      <c r="B288" s="155"/>
      <c r="C288" s="165"/>
      <c r="D288" s="165"/>
      <c r="E288" s="165"/>
      <c r="F288" s="125"/>
      <c r="G288" s="384"/>
      <c r="H288" s="36"/>
      <c r="I288" s="406"/>
      <c r="J288" s="167"/>
      <c r="K288" s="164"/>
      <c r="L288" s="250"/>
      <c r="M288" s="162"/>
      <c r="N288" s="259"/>
      <c r="O288" s="126"/>
      <c r="P288" s="259"/>
      <c r="Q288" s="263"/>
      <c r="R288" s="267"/>
      <c r="S288" s="260"/>
      <c r="T288" s="242"/>
      <c r="U288" s="63"/>
      <c r="V288" s="184"/>
      <c r="W288" s="231"/>
      <c r="X288" s="276"/>
      <c r="Y288" s="36"/>
      <c r="Z288" s="126"/>
      <c r="AA288" s="66"/>
      <c r="AB288" s="36"/>
      <c r="AC288" s="36"/>
      <c r="AD288" s="36"/>
      <c r="AE288" s="113"/>
      <c r="AF288" s="162"/>
      <c r="AG288" s="244"/>
      <c r="AH288" s="358"/>
      <c r="AI288" s="358"/>
      <c r="AJ288" s="358"/>
      <c r="AK288" s="358"/>
      <c r="AL288" s="105"/>
      <c r="AM288" s="84"/>
      <c r="AN288" s="66"/>
      <c r="AO288" s="138"/>
      <c r="AP288" s="138"/>
      <c r="AQ288" s="29"/>
    </row>
    <row r="289" spans="1:43" hidden="1" x14ac:dyDescent="0.2">
      <c r="A289" s="283">
        <v>215</v>
      </c>
      <c r="B289" s="155"/>
      <c r="C289" s="165"/>
      <c r="D289" s="238"/>
      <c r="E289" s="165"/>
      <c r="F289" s="125"/>
      <c r="G289" s="385"/>
      <c r="H289" s="36"/>
      <c r="I289" s="404"/>
      <c r="J289" s="167"/>
      <c r="K289" s="164"/>
      <c r="L289" s="250"/>
      <c r="M289" s="162"/>
      <c r="N289" s="259"/>
      <c r="O289" s="126"/>
      <c r="P289" s="259"/>
      <c r="Q289" s="263"/>
      <c r="R289" s="267"/>
      <c r="S289" s="260"/>
      <c r="T289" s="242"/>
      <c r="U289" s="63"/>
      <c r="V289" s="184"/>
      <c r="W289" s="69"/>
      <c r="X289" s="277"/>
      <c r="Y289" s="36"/>
      <c r="Z289" s="126"/>
      <c r="AA289" s="66"/>
      <c r="AB289" s="36"/>
      <c r="AC289" s="36"/>
      <c r="AD289" s="36"/>
      <c r="AE289" s="113"/>
      <c r="AF289" s="162"/>
      <c r="AG289" s="244"/>
      <c r="AH289" s="358"/>
      <c r="AI289" s="358"/>
      <c r="AJ289" s="358"/>
      <c r="AK289" s="358"/>
      <c r="AL289" s="105"/>
      <c r="AM289" s="84"/>
      <c r="AN289" s="66"/>
      <c r="AO289" s="138"/>
      <c r="AP289" s="138"/>
      <c r="AQ289" s="29"/>
    </row>
    <row r="290" spans="1:43" hidden="1" x14ac:dyDescent="0.2">
      <c r="A290" s="283">
        <v>216</v>
      </c>
      <c r="B290" s="140"/>
      <c r="C290" s="240"/>
      <c r="D290" s="83"/>
      <c r="E290" s="83"/>
      <c r="F290" s="125"/>
      <c r="G290" s="386"/>
      <c r="H290" s="36"/>
      <c r="I290" s="407"/>
      <c r="J290" s="177"/>
      <c r="K290" s="168"/>
      <c r="L290" s="252"/>
      <c r="M290" s="162"/>
      <c r="N290" s="259"/>
      <c r="O290" s="126"/>
      <c r="P290" s="259"/>
      <c r="Q290" s="263"/>
      <c r="R290" s="267"/>
      <c r="S290" s="260"/>
      <c r="T290" s="242"/>
      <c r="U290" s="36"/>
      <c r="V290" s="181"/>
      <c r="W290" s="69"/>
      <c r="X290" s="215"/>
      <c r="Y290" s="36"/>
      <c r="Z290" s="126"/>
      <c r="AA290" s="66"/>
      <c r="AB290" s="36"/>
      <c r="AC290" s="36"/>
      <c r="AD290" s="36"/>
      <c r="AE290" s="113"/>
      <c r="AF290" s="162"/>
      <c r="AG290" s="244"/>
      <c r="AH290" s="358"/>
      <c r="AI290" s="358"/>
      <c r="AJ290" s="358"/>
      <c r="AK290" s="358"/>
      <c r="AL290" s="105"/>
      <c r="AM290" s="84"/>
      <c r="AN290" s="66"/>
      <c r="AO290" s="138"/>
      <c r="AP290" s="138"/>
      <c r="AQ290" s="29"/>
    </row>
    <row r="291" spans="1:43" hidden="1" x14ac:dyDescent="0.2">
      <c r="A291" s="283">
        <v>217</v>
      </c>
      <c r="B291" s="140"/>
      <c r="C291" s="240"/>
      <c r="D291" s="83"/>
      <c r="E291" s="83"/>
      <c r="F291" s="125"/>
      <c r="G291" s="386"/>
      <c r="H291" s="36"/>
      <c r="I291" s="407"/>
      <c r="J291" s="177"/>
      <c r="K291" s="168"/>
      <c r="L291" s="252"/>
      <c r="M291" s="162"/>
      <c r="N291" s="259"/>
      <c r="O291" s="126"/>
      <c r="P291" s="259"/>
      <c r="Q291" s="263"/>
      <c r="R291" s="267"/>
      <c r="S291" s="260"/>
      <c r="T291" s="242"/>
      <c r="U291" s="36"/>
      <c r="V291" s="181"/>
      <c r="W291" s="69"/>
      <c r="X291" s="215"/>
      <c r="Y291" s="63"/>
      <c r="Z291" s="126"/>
      <c r="AA291" s="66"/>
      <c r="AB291" s="36"/>
      <c r="AC291" s="36"/>
      <c r="AD291" s="36"/>
      <c r="AE291" s="113"/>
      <c r="AF291" s="162"/>
      <c r="AG291" s="244"/>
      <c r="AH291" s="358"/>
      <c r="AI291" s="358"/>
      <c r="AJ291" s="358"/>
      <c r="AK291" s="358"/>
      <c r="AL291" s="105"/>
      <c r="AM291" s="84"/>
      <c r="AN291" s="66"/>
      <c r="AO291" s="138"/>
      <c r="AP291" s="138"/>
      <c r="AQ291" s="29"/>
    </row>
    <row r="292" spans="1:43" ht="58.5" hidden="1" customHeight="1" x14ac:dyDescent="0.2">
      <c r="A292" s="283">
        <v>218</v>
      </c>
      <c r="B292" s="239"/>
      <c r="C292" s="240"/>
      <c r="D292" s="240"/>
      <c r="E292" s="83"/>
      <c r="F292" s="125"/>
      <c r="G292" s="386"/>
      <c r="H292" s="36"/>
      <c r="I292" s="407"/>
      <c r="J292" s="177"/>
      <c r="K292" s="168"/>
      <c r="L292" s="252"/>
      <c r="M292" s="162"/>
      <c r="N292" s="259"/>
      <c r="O292" s="126"/>
      <c r="P292" s="259"/>
      <c r="Q292" s="263"/>
      <c r="R292" s="267"/>
      <c r="S292" s="260"/>
      <c r="T292" s="242"/>
      <c r="U292" s="36"/>
      <c r="V292" s="181"/>
      <c r="W292" s="69"/>
      <c r="X292" s="259"/>
      <c r="Y292" s="63"/>
      <c r="Z292" s="126"/>
      <c r="AA292" s="66"/>
      <c r="AB292" s="36"/>
      <c r="AC292" s="36"/>
      <c r="AD292" s="36"/>
      <c r="AE292" s="113"/>
      <c r="AF292" s="162"/>
      <c r="AG292" s="244"/>
      <c r="AH292" s="358"/>
      <c r="AI292" s="358"/>
      <c r="AJ292" s="358"/>
      <c r="AK292" s="358"/>
      <c r="AL292" s="124"/>
      <c r="AM292" s="84"/>
      <c r="AN292" s="66"/>
      <c r="AO292" s="138"/>
      <c r="AP292" s="138"/>
      <c r="AQ292" s="29"/>
    </row>
    <row r="293" spans="1:43" hidden="1" x14ac:dyDescent="0.2">
      <c r="A293" s="283">
        <v>219</v>
      </c>
      <c r="B293" s="140"/>
      <c r="C293" s="240"/>
      <c r="D293" s="240"/>
      <c r="E293" s="83"/>
      <c r="F293" s="125"/>
      <c r="G293" s="386"/>
      <c r="H293" s="36"/>
      <c r="I293" s="407"/>
      <c r="J293" s="177"/>
      <c r="K293" s="168"/>
      <c r="L293" s="252"/>
      <c r="M293" s="162"/>
      <c r="N293" s="259"/>
      <c r="O293" s="126"/>
      <c r="P293" s="259"/>
      <c r="Q293" s="263"/>
      <c r="R293" s="267"/>
      <c r="S293" s="260"/>
      <c r="T293" s="242"/>
      <c r="U293" s="36"/>
      <c r="V293" s="181"/>
      <c r="W293" s="69"/>
      <c r="X293" s="259"/>
      <c r="Y293" s="63"/>
      <c r="Z293" s="126"/>
      <c r="AA293" s="66"/>
      <c r="AB293" s="36"/>
      <c r="AC293" s="36"/>
      <c r="AD293" s="36"/>
      <c r="AE293" s="113"/>
      <c r="AF293" s="162"/>
      <c r="AG293" s="244"/>
      <c r="AH293" s="358"/>
      <c r="AI293" s="358"/>
      <c r="AJ293" s="358"/>
      <c r="AK293" s="358"/>
      <c r="AL293" s="124"/>
      <c r="AM293" s="84"/>
      <c r="AN293" s="66"/>
      <c r="AO293" s="138"/>
      <c r="AP293" s="138"/>
      <c r="AQ293" s="29"/>
    </row>
    <row r="294" spans="1:43" ht="76.5" hidden="1" customHeight="1" x14ac:dyDescent="0.2">
      <c r="A294" s="283">
        <v>220</v>
      </c>
      <c r="B294" s="140"/>
      <c r="C294" s="209"/>
      <c r="D294" s="129"/>
      <c r="E294" s="166"/>
      <c r="F294" s="129"/>
      <c r="G294" s="387"/>
      <c r="H294" s="36"/>
      <c r="I294" s="407"/>
      <c r="J294" s="177"/>
      <c r="K294" s="168"/>
      <c r="L294" s="252"/>
      <c r="M294" s="162"/>
      <c r="N294" s="259"/>
      <c r="O294" s="126"/>
      <c r="P294" s="259"/>
      <c r="Q294" s="263"/>
      <c r="R294" s="267"/>
      <c r="S294" s="260"/>
      <c r="T294" s="242"/>
      <c r="U294" s="63"/>
      <c r="V294" s="129"/>
      <c r="W294" s="69"/>
      <c r="X294" s="278"/>
      <c r="Y294" s="63"/>
      <c r="Z294" s="126"/>
      <c r="AA294" s="66"/>
      <c r="AB294" s="36"/>
      <c r="AC294" s="36"/>
      <c r="AD294" s="36"/>
      <c r="AE294" s="113"/>
      <c r="AF294" s="162"/>
      <c r="AG294" s="244"/>
      <c r="AH294" s="358"/>
      <c r="AI294" s="358"/>
      <c r="AJ294" s="358"/>
      <c r="AK294" s="358"/>
      <c r="AL294" s="105"/>
      <c r="AM294" s="84"/>
      <c r="AN294" s="66"/>
      <c r="AO294" s="138"/>
      <c r="AP294" s="138"/>
      <c r="AQ294" s="29"/>
    </row>
    <row r="295" spans="1:43" hidden="1" x14ac:dyDescent="0.2">
      <c r="A295" s="283">
        <v>221</v>
      </c>
      <c r="B295" s="140"/>
      <c r="C295" s="129"/>
      <c r="D295" s="129"/>
      <c r="E295" s="129"/>
      <c r="F295" s="129"/>
      <c r="G295" s="387"/>
      <c r="H295" s="36"/>
      <c r="J295" s="177"/>
      <c r="K295" s="168"/>
      <c r="L295" s="252"/>
      <c r="M295" s="162"/>
      <c r="N295" s="259"/>
      <c r="O295" s="126"/>
      <c r="P295" s="259"/>
      <c r="Q295" s="263"/>
      <c r="R295" s="267"/>
      <c r="S295" s="260"/>
      <c r="T295" s="242"/>
      <c r="U295" s="36"/>
      <c r="V295" s="183"/>
      <c r="W295" s="230"/>
      <c r="X295" s="279"/>
      <c r="Y295" s="36"/>
      <c r="Z295" s="126"/>
      <c r="AA295" s="66"/>
      <c r="AB295" s="36"/>
      <c r="AC295" s="36"/>
      <c r="AD295" s="36"/>
      <c r="AE295" s="113"/>
      <c r="AF295" s="162"/>
      <c r="AG295" s="244"/>
      <c r="AH295" s="358"/>
      <c r="AI295" s="358"/>
      <c r="AJ295" s="358"/>
      <c r="AK295" s="358"/>
      <c r="AL295" s="124"/>
      <c r="AM295" s="84"/>
      <c r="AN295" s="66"/>
      <c r="AO295" s="138"/>
      <c r="AP295" s="138"/>
      <c r="AQ295" s="29"/>
    </row>
    <row r="296" spans="1:43" hidden="1" x14ac:dyDescent="0.2">
      <c r="A296" s="283">
        <v>222</v>
      </c>
      <c r="B296" s="109"/>
      <c r="C296" s="172"/>
      <c r="D296" s="190"/>
      <c r="E296" s="172"/>
      <c r="F296" s="125"/>
      <c r="G296" s="387"/>
      <c r="H296" s="36"/>
      <c r="I296" s="408"/>
      <c r="J296" s="177"/>
      <c r="K296" s="168"/>
      <c r="L296" s="252"/>
      <c r="M296" s="162"/>
      <c r="N296" s="259"/>
      <c r="O296" s="126"/>
      <c r="P296" s="259"/>
      <c r="Q296" s="263"/>
      <c r="R296" s="267"/>
      <c r="S296" s="260"/>
      <c r="T296" s="242"/>
      <c r="U296" s="252"/>
      <c r="V296" s="181"/>
      <c r="W296" s="97"/>
      <c r="X296" s="259"/>
      <c r="Y296" s="63"/>
      <c r="Z296" s="126"/>
      <c r="AA296" s="66"/>
      <c r="AB296" s="36"/>
      <c r="AC296" s="36"/>
      <c r="AD296" s="36"/>
      <c r="AE296" s="113"/>
      <c r="AF296" s="162"/>
      <c r="AG296" s="244"/>
      <c r="AH296" s="358"/>
      <c r="AI296" s="358"/>
      <c r="AJ296" s="358"/>
      <c r="AK296" s="358"/>
      <c r="AL296" s="105"/>
      <c r="AM296" s="84"/>
      <c r="AN296" s="66"/>
      <c r="AO296" s="138"/>
      <c r="AP296" s="138"/>
      <c r="AQ296" s="29"/>
    </row>
    <row r="297" spans="1:43" hidden="1" x14ac:dyDescent="0.2">
      <c r="A297" s="283">
        <v>223</v>
      </c>
      <c r="B297" s="108"/>
      <c r="C297" s="192"/>
      <c r="D297" s="192"/>
      <c r="E297" s="172"/>
      <c r="F297" s="125"/>
      <c r="G297" s="387"/>
      <c r="H297" s="36"/>
      <c r="I297" s="409"/>
      <c r="J297" s="177"/>
      <c r="K297" s="198"/>
      <c r="L297" s="253"/>
      <c r="M297" s="162"/>
      <c r="N297" s="259"/>
      <c r="O297" s="126"/>
      <c r="P297" s="259"/>
      <c r="Q297" s="263"/>
      <c r="R297" s="267"/>
      <c r="S297" s="260"/>
      <c r="T297" s="242"/>
      <c r="U297" s="36"/>
      <c r="V297" s="181"/>
      <c r="W297" s="99"/>
      <c r="X297" s="259"/>
      <c r="Y297" s="36"/>
      <c r="Z297" s="126"/>
      <c r="AA297" s="66"/>
      <c r="AB297" s="36"/>
      <c r="AC297" s="36"/>
      <c r="AD297" s="36"/>
      <c r="AE297" s="113"/>
      <c r="AF297" s="162"/>
      <c r="AG297" s="244"/>
      <c r="AH297" s="358"/>
      <c r="AI297" s="358"/>
      <c r="AJ297" s="358"/>
      <c r="AK297" s="358"/>
      <c r="AL297" s="105"/>
      <c r="AM297" s="84"/>
      <c r="AN297" s="66"/>
      <c r="AO297" s="138"/>
      <c r="AP297" s="138"/>
      <c r="AQ297" s="29"/>
    </row>
    <row r="298" spans="1:43" hidden="1" x14ac:dyDescent="0.2">
      <c r="A298" s="283">
        <v>224</v>
      </c>
      <c r="B298" s="108"/>
      <c r="C298" s="188"/>
      <c r="D298" s="192"/>
      <c r="E298" s="188"/>
      <c r="F298" s="125"/>
      <c r="G298" s="387"/>
      <c r="H298" s="36"/>
      <c r="I298" s="409"/>
      <c r="J298" s="177"/>
      <c r="K298" s="198"/>
      <c r="L298" s="188"/>
      <c r="M298" s="162"/>
      <c r="N298" s="259"/>
      <c r="O298" s="126"/>
      <c r="P298" s="259"/>
      <c r="Q298" s="263"/>
      <c r="R298" s="267"/>
      <c r="S298" s="260"/>
      <c r="T298" s="242"/>
      <c r="U298" s="36"/>
      <c r="V298" s="128"/>
      <c r="X298" s="280"/>
      <c r="Y298" s="36"/>
      <c r="Z298" s="126"/>
      <c r="AA298" s="66"/>
      <c r="AB298" s="36"/>
      <c r="AC298" s="36"/>
      <c r="AD298" s="36"/>
      <c r="AE298" s="113"/>
      <c r="AF298" s="162"/>
      <c r="AG298" s="244"/>
      <c r="AH298" s="358"/>
      <c r="AI298" s="358"/>
      <c r="AJ298" s="358"/>
      <c r="AK298" s="358"/>
      <c r="AL298" s="105"/>
      <c r="AM298" s="84"/>
      <c r="AN298" s="66"/>
      <c r="AO298" s="138"/>
      <c r="AP298" s="66"/>
      <c r="AQ298" s="29"/>
    </row>
    <row r="299" spans="1:43" hidden="1" x14ac:dyDescent="0.2">
      <c r="A299" s="283">
        <v>225</v>
      </c>
      <c r="B299" s="108"/>
      <c r="C299" s="188"/>
      <c r="D299" s="192"/>
      <c r="E299" s="188"/>
      <c r="F299" s="125"/>
      <c r="G299" s="387"/>
      <c r="H299" s="36"/>
      <c r="I299" s="409"/>
      <c r="J299" s="177"/>
      <c r="K299" s="198"/>
      <c r="L299" s="188"/>
      <c r="M299" s="162"/>
      <c r="N299" s="259"/>
      <c r="O299" s="126"/>
      <c r="P299" s="259"/>
      <c r="Q299" s="263"/>
      <c r="R299" s="267"/>
      <c r="S299" s="260"/>
      <c r="T299" s="242"/>
      <c r="U299" s="36"/>
      <c r="V299" s="166"/>
      <c r="X299" s="281"/>
      <c r="Y299" s="36"/>
      <c r="Z299" s="126"/>
      <c r="AA299" s="66"/>
      <c r="AB299" s="36"/>
      <c r="AC299" s="36"/>
      <c r="AD299" s="36"/>
      <c r="AE299" s="113"/>
      <c r="AF299" s="162"/>
      <c r="AG299" s="244"/>
      <c r="AH299" s="358"/>
      <c r="AI299" s="358"/>
      <c r="AJ299" s="358"/>
      <c r="AK299" s="358"/>
      <c r="AL299" s="105"/>
      <c r="AM299" s="84"/>
      <c r="AN299" s="66"/>
      <c r="AO299" s="138"/>
      <c r="AP299" s="66"/>
      <c r="AQ299" s="29"/>
    </row>
    <row r="300" spans="1:43" hidden="1" x14ac:dyDescent="0.2">
      <c r="A300" s="283">
        <v>226</v>
      </c>
      <c r="B300" s="109"/>
      <c r="C300" s="172"/>
      <c r="D300" s="172"/>
      <c r="E300" s="172"/>
      <c r="F300" s="125"/>
      <c r="G300" s="387"/>
      <c r="H300" s="36"/>
      <c r="I300" s="408"/>
      <c r="J300" s="177"/>
      <c r="K300" s="168"/>
      <c r="L300" s="252"/>
      <c r="M300" s="162"/>
      <c r="N300" s="259"/>
      <c r="O300" s="126"/>
      <c r="P300" s="259"/>
      <c r="Q300" s="263"/>
      <c r="R300" s="267"/>
      <c r="S300" s="260"/>
      <c r="T300" s="242"/>
      <c r="U300" s="36"/>
      <c r="V300" s="181"/>
      <c r="W300" s="99"/>
      <c r="X300" s="259"/>
      <c r="Y300" s="36"/>
      <c r="Z300" s="126"/>
      <c r="AA300" s="66"/>
      <c r="AB300" s="36"/>
      <c r="AC300" s="36"/>
      <c r="AD300" s="36"/>
      <c r="AE300" s="113"/>
      <c r="AF300" s="162"/>
      <c r="AG300" s="244"/>
      <c r="AH300" s="358"/>
      <c r="AI300" s="358"/>
      <c r="AJ300" s="358"/>
      <c r="AK300" s="358"/>
      <c r="AL300" s="105"/>
      <c r="AM300" s="84"/>
      <c r="AN300" s="66"/>
      <c r="AO300" s="138"/>
      <c r="AP300" s="66"/>
      <c r="AQ300" s="29"/>
    </row>
    <row r="301" spans="1:43" hidden="1" x14ac:dyDescent="0.2">
      <c r="A301" s="283">
        <v>227</v>
      </c>
      <c r="B301" s="119"/>
      <c r="C301" s="196"/>
      <c r="D301" s="192"/>
      <c r="E301" s="172"/>
      <c r="F301" s="125"/>
      <c r="G301" s="387"/>
      <c r="H301" s="36"/>
      <c r="I301" s="410"/>
      <c r="J301" s="177"/>
      <c r="K301" s="198"/>
      <c r="L301" s="252"/>
      <c r="M301" s="162"/>
      <c r="N301" s="259"/>
      <c r="O301" s="126"/>
      <c r="P301" s="259"/>
      <c r="Q301" s="263"/>
      <c r="R301" s="267"/>
      <c r="S301" s="260"/>
      <c r="T301" s="242"/>
      <c r="U301" s="36"/>
      <c r="V301" s="183"/>
      <c r="W301" s="99"/>
      <c r="X301" s="259"/>
      <c r="Y301" s="63"/>
      <c r="Z301" s="126"/>
      <c r="AA301" s="66"/>
      <c r="AB301" s="36"/>
      <c r="AC301" s="36"/>
      <c r="AD301" s="36"/>
      <c r="AE301" s="113"/>
      <c r="AF301" s="162"/>
      <c r="AG301" s="244"/>
      <c r="AH301" s="358"/>
      <c r="AI301" s="358"/>
      <c r="AJ301" s="358"/>
      <c r="AK301" s="358"/>
      <c r="AL301" s="124"/>
      <c r="AM301" s="84"/>
      <c r="AN301" s="66"/>
      <c r="AO301" s="138"/>
      <c r="AP301" s="66"/>
      <c r="AQ301" s="29"/>
    </row>
    <row r="302" spans="1:43" ht="44.5" hidden="1" customHeight="1" x14ac:dyDescent="0.2">
      <c r="A302" s="283">
        <v>228</v>
      </c>
      <c r="B302" s="108"/>
      <c r="C302" s="192"/>
      <c r="D302" s="192"/>
      <c r="E302" s="172"/>
      <c r="F302" s="125"/>
      <c r="G302" s="387"/>
      <c r="H302" s="36"/>
      <c r="I302" s="408"/>
      <c r="J302" s="178"/>
      <c r="K302" s="168"/>
      <c r="L302" s="252"/>
      <c r="M302" s="162"/>
      <c r="N302" s="259"/>
      <c r="O302" s="126"/>
      <c r="P302" s="259"/>
      <c r="Q302" s="263"/>
      <c r="R302" s="267"/>
      <c r="S302" s="260"/>
      <c r="T302" s="242"/>
      <c r="U302" s="36"/>
      <c r="V302" s="181"/>
      <c r="W302" s="99"/>
      <c r="X302" s="259"/>
      <c r="Y302" s="36"/>
      <c r="Z302" s="126"/>
      <c r="AA302" s="66"/>
      <c r="AB302" s="36"/>
      <c r="AC302" s="36"/>
      <c r="AD302" s="36"/>
      <c r="AE302" s="113"/>
      <c r="AF302" s="162"/>
      <c r="AG302" s="244"/>
      <c r="AH302" s="358"/>
      <c r="AI302" s="358"/>
      <c r="AJ302" s="358"/>
      <c r="AK302" s="358"/>
      <c r="AL302" s="105"/>
      <c r="AM302" s="84"/>
      <c r="AN302" s="66"/>
      <c r="AO302" s="138"/>
      <c r="AP302" s="66"/>
      <c r="AQ302" s="29"/>
    </row>
    <row r="303" spans="1:43" ht="44.5" hidden="1" customHeight="1" x14ac:dyDescent="0.2">
      <c r="A303" s="283">
        <v>229</v>
      </c>
      <c r="B303" s="121"/>
      <c r="C303" s="193"/>
      <c r="D303" s="193"/>
      <c r="E303" s="189"/>
      <c r="F303" s="125"/>
      <c r="G303" s="388"/>
      <c r="H303" s="36"/>
      <c r="I303" s="122"/>
      <c r="J303" s="175"/>
      <c r="K303" s="197"/>
      <c r="L303" s="254"/>
      <c r="M303" s="162"/>
      <c r="N303" s="112"/>
      <c r="O303" s="126"/>
      <c r="P303" s="112"/>
      <c r="Q303" s="265"/>
      <c r="R303" s="267"/>
      <c r="S303" s="260"/>
      <c r="T303" s="241"/>
      <c r="U303" s="113"/>
      <c r="V303" s="181"/>
      <c r="W303" s="116"/>
      <c r="X303" s="114"/>
      <c r="Y303" s="113"/>
      <c r="Z303" s="126"/>
      <c r="AA303" s="66"/>
      <c r="AB303" s="36"/>
      <c r="AC303" s="36"/>
      <c r="AD303" s="36"/>
      <c r="AE303" s="113"/>
      <c r="AF303" s="162"/>
      <c r="AG303" s="244"/>
      <c r="AH303" s="359"/>
      <c r="AI303" s="359"/>
      <c r="AJ303" s="359"/>
      <c r="AK303" s="359"/>
      <c r="AL303" s="105"/>
      <c r="AM303" s="84"/>
      <c r="AN303" s="66"/>
      <c r="AO303" s="138"/>
      <c r="AP303" s="66"/>
      <c r="AQ303" s="112"/>
    </row>
    <row r="304" spans="1:43" hidden="1" x14ac:dyDescent="0.2">
      <c r="A304" s="283">
        <v>230</v>
      </c>
      <c r="B304" s="159"/>
      <c r="C304" s="114"/>
      <c r="D304" s="114"/>
      <c r="E304" s="173"/>
      <c r="F304" s="125"/>
      <c r="G304" s="389"/>
      <c r="H304" s="36"/>
      <c r="I304" s="411"/>
      <c r="J304" s="179"/>
      <c r="K304" s="201"/>
      <c r="L304" s="255"/>
      <c r="M304" s="162"/>
      <c r="N304" s="112"/>
      <c r="O304" s="126"/>
      <c r="P304" s="112"/>
      <c r="Q304" s="265"/>
      <c r="R304" s="267"/>
      <c r="S304" s="260"/>
      <c r="T304" s="241"/>
      <c r="U304" s="112"/>
      <c r="V304" s="113"/>
      <c r="W304" s="156"/>
      <c r="X304" s="112"/>
      <c r="Y304" s="112"/>
      <c r="Z304" s="126"/>
      <c r="AA304" s="112"/>
      <c r="AB304" s="36"/>
      <c r="AC304" s="36"/>
      <c r="AD304" s="36"/>
      <c r="AE304" s="113"/>
      <c r="AF304" s="162"/>
      <c r="AG304" s="244"/>
      <c r="AH304" s="359"/>
      <c r="AI304" s="359"/>
      <c r="AJ304" s="359"/>
      <c r="AK304" s="359"/>
      <c r="AL304" s="105"/>
      <c r="AM304" s="112"/>
      <c r="AN304" s="66"/>
      <c r="AO304" s="138"/>
      <c r="AP304" s="66"/>
      <c r="AQ304" s="112"/>
    </row>
    <row r="305" spans="1:43" ht="46.5" hidden="1" customHeight="1" x14ac:dyDescent="0.2">
      <c r="A305" s="283">
        <v>231</v>
      </c>
      <c r="B305" s="160"/>
      <c r="C305" s="36"/>
      <c r="D305" s="194"/>
      <c r="E305" s="189"/>
      <c r="F305" s="125"/>
      <c r="G305" s="390"/>
      <c r="H305" s="36"/>
      <c r="I305" s="412"/>
      <c r="J305" s="175"/>
      <c r="K305" s="197"/>
      <c r="L305" s="254"/>
      <c r="M305" s="162"/>
      <c r="N305" s="259"/>
      <c r="O305" s="126"/>
      <c r="P305" s="259"/>
      <c r="Q305" s="263"/>
      <c r="R305" s="267"/>
      <c r="S305" s="260"/>
      <c r="T305" s="242"/>
      <c r="U305" s="36"/>
      <c r="V305" s="181"/>
      <c r="W305" s="99"/>
      <c r="X305" s="36"/>
      <c r="Y305" s="36"/>
      <c r="Z305" s="126"/>
      <c r="AA305" s="66"/>
      <c r="AB305" s="36"/>
      <c r="AC305" s="36"/>
      <c r="AD305" s="36"/>
      <c r="AE305" s="113"/>
      <c r="AF305" s="162"/>
      <c r="AG305" s="244"/>
      <c r="AH305" s="358"/>
      <c r="AI305" s="358"/>
      <c r="AJ305" s="358"/>
      <c r="AK305" s="358"/>
      <c r="AL305" s="105"/>
      <c r="AM305" s="112"/>
      <c r="AN305" s="66"/>
      <c r="AO305" s="138"/>
      <c r="AP305" s="66"/>
      <c r="AQ305" s="112"/>
    </row>
    <row r="306" spans="1:43" ht="31" hidden="1" customHeight="1" x14ac:dyDescent="0.2">
      <c r="A306" s="283">
        <v>232</v>
      </c>
      <c r="B306" s="160"/>
      <c r="C306" s="190"/>
      <c r="D306" s="190"/>
      <c r="E306" s="190"/>
      <c r="F306" s="125"/>
      <c r="G306" s="390"/>
      <c r="H306" s="36"/>
      <c r="I306" s="412"/>
      <c r="J306" s="176"/>
      <c r="K306" s="199"/>
      <c r="L306" s="256"/>
      <c r="M306" s="162"/>
      <c r="N306" s="259"/>
      <c r="O306" s="126"/>
      <c r="P306" s="259"/>
      <c r="Q306" s="263"/>
      <c r="R306" s="267"/>
      <c r="S306" s="260"/>
      <c r="T306" s="242"/>
      <c r="U306" s="36"/>
      <c r="V306" s="181"/>
      <c r="X306" s="190"/>
      <c r="Y306" s="36"/>
      <c r="Z306" s="126"/>
      <c r="AA306" s="66"/>
      <c r="AB306" s="36"/>
      <c r="AC306" s="36"/>
      <c r="AD306" s="36"/>
      <c r="AE306" s="113"/>
      <c r="AF306" s="162"/>
      <c r="AG306" s="244"/>
      <c r="AH306" s="358"/>
      <c r="AI306" s="358"/>
      <c r="AJ306" s="358"/>
      <c r="AK306" s="358"/>
      <c r="AL306" s="105"/>
      <c r="AM306" s="112"/>
      <c r="AN306" s="66"/>
      <c r="AO306" s="138"/>
      <c r="AP306" s="66"/>
      <c r="AQ306" s="112"/>
    </row>
    <row r="307" spans="1:43" hidden="1" x14ac:dyDescent="0.2">
      <c r="A307" s="283">
        <v>233</v>
      </c>
      <c r="B307" s="109"/>
      <c r="C307" s="172"/>
      <c r="D307" s="172"/>
      <c r="E307" s="172"/>
      <c r="F307" s="125"/>
      <c r="G307" s="387"/>
      <c r="H307" s="36"/>
      <c r="I307" s="413"/>
      <c r="J307" s="178"/>
      <c r="K307" s="168"/>
      <c r="L307" s="252"/>
      <c r="M307" s="162"/>
      <c r="N307" s="259"/>
      <c r="O307" s="126"/>
      <c r="P307" s="259"/>
      <c r="Q307" s="263"/>
      <c r="R307" s="267"/>
      <c r="S307" s="260"/>
      <c r="T307" s="242"/>
      <c r="U307" s="63"/>
      <c r="V307" s="183"/>
      <c r="W307" s="232"/>
      <c r="X307" s="282"/>
      <c r="Y307" s="36"/>
      <c r="Z307" s="136"/>
      <c r="AA307" s="66"/>
      <c r="AB307" s="36"/>
      <c r="AC307" s="36"/>
      <c r="AD307" s="36"/>
      <c r="AE307" s="113"/>
      <c r="AF307" s="162"/>
      <c r="AG307" s="244"/>
      <c r="AH307" s="358"/>
      <c r="AI307" s="358"/>
      <c r="AJ307" s="358"/>
      <c r="AK307" s="358"/>
      <c r="AL307" s="105"/>
      <c r="AM307" s="112"/>
      <c r="AN307" s="66"/>
      <c r="AO307" s="138"/>
      <c r="AP307" s="66"/>
      <c r="AQ307" s="112"/>
    </row>
    <row r="308" spans="1:43" hidden="1" x14ac:dyDescent="0.2">
      <c r="A308" s="283">
        <v>234</v>
      </c>
      <c r="B308" s="121"/>
      <c r="C308" s="195"/>
      <c r="D308" s="195"/>
      <c r="E308" s="172"/>
      <c r="F308" s="125"/>
      <c r="G308" s="387"/>
      <c r="H308" s="36"/>
      <c r="I308" s="123"/>
      <c r="J308" s="176"/>
      <c r="K308" s="199"/>
      <c r="L308" s="256"/>
      <c r="M308" s="162"/>
      <c r="N308" s="259"/>
      <c r="O308" s="126"/>
      <c r="P308" s="259"/>
      <c r="Q308" s="263"/>
      <c r="R308" s="267"/>
      <c r="S308" s="260"/>
      <c r="T308" s="242"/>
      <c r="U308" s="36"/>
      <c r="V308" s="183"/>
      <c r="X308" s="282"/>
      <c r="Y308" s="36"/>
      <c r="Z308" s="136"/>
      <c r="AA308" s="66"/>
      <c r="AB308" s="36"/>
      <c r="AC308" s="36"/>
      <c r="AD308" s="36"/>
      <c r="AE308" s="113"/>
      <c r="AF308" s="162"/>
      <c r="AG308" s="244"/>
      <c r="AH308" s="358"/>
      <c r="AI308" s="358"/>
      <c r="AJ308" s="358"/>
      <c r="AK308" s="358"/>
      <c r="AL308" s="105"/>
      <c r="AM308" s="112"/>
      <c r="AN308" s="66"/>
      <c r="AO308" s="138"/>
      <c r="AP308" s="66"/>
      <c r="AQ308" s="112"/>
    </row>
    <row r="309" spans="1:43" ht="27.5" hidden="1" customHeight="1" x14ac:dyDescent="0.2">
      <c r="A309" s="283">
        <v>235</v>
      </c>
      <c r="B309" s="130"/>
      <c r="C309" s="36"/>
      <c r="D309" s="63"/>
      <c r="E309" s="84"/>
      <c r="F309" s="125"/>
      <c r="G309" s="390"/>
      <c r="H309" s="36"/>
      <c r="I309" s="412"/>
      <c r="J309" s="36"/>
      <c r="K309" s="36"/>
      <c r="L309" s="36"/>
      <c r="M309" s="162"/>
      <c r="N309" s="259"/>
      <c r="O309" s="126"/>
      <c r="P309" s="259"/>
      <c r="Q309" s="263"/>
      <c r="R309" s="267"/>
      <c r="S309" s="260"/>
      <c r="T309" s="242"/>
      <c r="U309" s="36"/>
      <c r="V309" s="36"/>
      <c r="W309" s="99"/>
      <c r="X309" s="36"/>
      <c r="Y309" s="36"/>
      <c r="Z309" s="136"/>
      <c r="AA309" s="66"/>
      <c r="AB309" s="36"/>
      <c r="AC309" s="36"/>
      <c r="AD309" s="36"/>
      <c r="AE309" s="113"/>
      <c r="AF309" s="162"/>
      <c r="AG309" s="244"/>
      <c r="AH309" s="358"/>
      <c r="AI309" s="358"/>
      <c r="AJ309" s="358"/>
      <c r="AK309" s="358"/>
      <c r="AL309" s="105"/>
      <c r="AM309" s="29"/>
      <c r="AN309" s="66"/>
      <c r="AO309" s="66"/>
      <c r="AP309" s="66"/>
      <c r="AQ309" s="29"/>
    </row>
    <row r="310" spans="1:43" hidden="1" x14ac:dyDescent="0.2">
      <c r="A310" s="283">
        <v>236</v>
      </c>
      <c r="B310" s="131"/>
      <c r="C310" s="36"/>
      <c r="D310" s="63"/>
      <c r="E310" s="84"/>
      <c r="F310" s="125"/>
      <c r="G310" s="390"/>
      <c r="H310" s="36"/>
      <c r="I310" s="412"/>
      <c r="J310" s="36"/>
      <c r="K310" s="36"/>
      <c r="L310" s="36"/>
      <c r="M310" s="162"/>
      <c r="N310" s="259"/>
      <c r="O310" s="126"/>
      <c r="P310" s="259"/>
      <c r="Q310" s="263"/>
      <c r="R310" s="267"/>
      <c r="S310" s="260"/>
      <c r="T310" s="36"/>
      <c r="U310" s="36"/>
      <c r="V310" s="36"/>
      <c r="W310" s="99"/>
      <c r="X310" s="36"/>
      <c r="Y310" s="36"/>
      <c r="Z310" s="136"/>
      <c r="AA310" s="66"/>
      <c r="AB310" s="36"/>
      <c r="AC310" s="36"/>
      <c r="AD310" s="36"/>
      <c r="AE310" s="113"/>
      <c r="AF310" s="162"/>
      <c r="AG310" s="244"/>
      <c r="AH310" s="358"/>
      <c r="AI310" s="358"/>
      <c r="AJ310" s="358"/>
      <c r="AK310" s="358"/>
      <c r="AL310" s="105"/>
      <c r="AM310" s="29"/>
      <c r="AN310" s="66"/>
      <c r="AO310" s="66"/>
      <c r="AP310" s="66"/>
      <c r="AQ310" s="29"/>
    </row>
    <row r="311" spans="1:43" hidden="1" x14ac:dyDescent="0.2">
      <c r="A311" s="283">
        <v>237</v>
      </c>
      <c r="B311" s="131"/>
      <c r="C311" s="36"/>
      <c r="D311" s="63"/>
      <c r="E311" s="84"/>
      <c r="F311" s="125"/>
      <c r="G311" s="390"/>
      <c r="H311" s="36"/>
      <c r="I311" s="412"/>
      <c r="J311" s="36"/>
      <c r="K311" s="36"/>
      <c r="L311" s="36"/>
      <c r="M311" s="162"/>
      <c r="N311" s="259"/>
      <c r="O311" s="126"/>
      <c r="P311" s="259"/>
      <c r="Q311" s="263"/>
      <c r="R311" s="267"/>
      <c r="S311" s="260"/>
      <c r="T311" s="36"/>
      <c r="U311" s="36"/>
      <c r="V311" s="36"/>
      <c r="W311" s="99"/>
      <c r="X311" s="36"/>
      <c r="Y311" s="36"/>
      <c r="Z311" s="136"/>
      <c r="AA311" s="66"/>
      <c r="AB311" s="36"/>
      <c r="AC311" s="36"/>
      <c r="AD311" s="36"/>
      <c r="AE311" s="113"/>
      <c r="AF311" s="162"/>
      <c r="AG311" s="244"/>
      <c r="AH311" s="358"/>
      <c r="AI311" s="358"/>
      <c r="AJ311" s="358"/>
      <c r="AK311" s="358"/>
      <c r="AL311" s="105"/>
      <c r="AM311" s="29"/>
      <c r="AN311" s="66"/>
      <c r="AO311" s="66"/>
      <c r="AP311" s="66"/>
      <c r="AQ311" s="29"/>
    </row>
    <row r="312" spans="1:43" hidden="1" x14ac:dyDescent="0.2">
      <c r="A312" s="283">
        <v>238</v>
      </c>
      <c r="B312" s="130"/>
      <c r="C312" s="36"/>
      <c r="D312" s="63"/>
      <c r="E312" s="84"/>
      <c r="F312" s="125"/>
      <c r="G312" s="390"/>
      <c r="H312" s="36"/>
      <c r="I312" s="412"/>
      <c r="J312" s="36"/>
      <c r="K312" s="36"/>
      <c r="L312" s="36"/>
      <c r="M312" s="162"/>
      <c r="N312" s="259"/>
      <c r="O312" s="126"/>
      <c r="P312" s="259"/>
      <c r="Q312" s="263"/>
      <c r="R312" s="267"/>
      <c r="S312" s="260"/>
      <c r="T312" s="36"/>
      <c r="U312" s="36"/>
      <c r="V312" s="36"/>
      <c r="W312" s="99"/>
      <c r="X312" s="36"/>
      <c r="Y312" s="36"/>
      <c r="Z312" s="136"/>
      <c r="AA312" s="66"/>
      <c r="AB312" s="36"/>
      <c r="AC312" s="36"/>
      <c r="AD312" s="36"/>
      <c r="AE312" s="113"/>
      <c r="AF312" s="162"/>
      <c r="AG312" s="244"/>
      <c r="AH312" s="358"/>
      <c r="AI312" s="358"/>
      <c r="AJ312" s="358"/>
      <c r="AK312" s="358"/>
      <c r="AL312" s="105"/>
      <c r="AM312" s="29"/>
      <c r="AN312" s="66"/>
      <c r="AO312" s="66"/>
      <c r="AP312" s="66"/>
      <c r="AQ312" s="29"/>
    </row>
    <row r="313" spans="1:43" hidden="1" x14ac:dyDescent="0.2">
      <c r="A313" s="283">
        <v>239</v>
      </c>
      <c r="B313" s="131"/>
      <c r="C313" s="36"/>
      <c r="D313" s="63"/>
      <c r="E313" s="84"/>
      <c r="F313" s="125"/>
      <c r="G313" s="390"/>
      <c r="H313" s="36"/>
      <c r="I313" s="412"/>
      <c r="J313" s="36"/>
      <c r="K313" s="36"/>
      <c r="L313" s="36"/>
      <c r="M313" s="162"/>
      <c r="N313" s="259"/>
      <c r="O313" s="126"/>
      <c r="P313" s="259"/>
      <c r="Q313" s="263"/>
      <c r="R313" s="267"/>
      <c r="S313" s="260"/>
      <c r="T313" s="36"/>
      <c r="U313" s="36"/>
      <c r="V313" s="36"/>
      <c r="W313" s="99"/>
      <c r="X313" s="36"/>
      <c r="Y313" s="36"/>
      <c r="Z313" s="136"/>
      <c r="AA313" s="66"/>
      <c r="AB313" s="36"/>
      <c r="AC313" s="36"/>
      <c r="AD313" s="36"/>
      <c r="AE313" s="113"/>
      <c r="AF313" s="162"/>
      <c r="AG313" s="244"/>
      <c r="AH313" s="358"/>
      <c r="AI313" s="358"/>
      <c r="AJ313" s="358"/>
      <c r="AK313" s="358"/>
      <c r="AL313" s="105"/>
      <c r="AM313" s="29"/>
      <c r="AN313" s="66"/>
      <c r="AO313" s="66"/>
      <c r="AP313" s="66"/>
      <c r="AQ313" s="29"/>
    </row>
    <row r="314" spans="1:43" hidden="1" x14ac:dyDescent="0.2">
      <c r="A314" s="283">
        <v>240</v>
      </c>
      <c r="B314" s="130"/>
      <c r="C314" s="36"/>
      <c r="D314" s="63"/>
      <c r="E314" s="84"/>
      <c r="F314" s="125"/>
      <c r="G314" s="390"/>
      <c r="H314" s="36"/>
      <c r="I314" s="412"/>
      <c r="J314" s="36"/>
      <c r="K314" s="36"/>
      <c r="L314" s="36"/>
      <c r="M314" s="162"/>
      <c r="N314" s="259"/>
      <c r="O314" s="126"/>
      <c r="P314" s="259"/>
      <c r="Q314" s="263"/>
      <c r="R314" s="267"/>
      <c r="S314" s="260"/>
      <c r="T314" s="36"/>
      <c r="U314" s="36"/>
      <c r="V314" s="36"/>
      <c r="W314" s="99"/>
      <c r="X314" s="36"/>
      <c r="Y314" s="36"/>
      <c r="Z314" s="136"/>
      <c r="AA314" s="66"/>
      <c r="AB314" s="36"/>
      <c r="AC314" s="36"/>
      <c r="AD314" s="36"/>
      <c r="AE314" s="113"/>
      <c r="AF314" s="162"/>
      <c r="AG314" s="244"/>
      <c r="AH314" s="358"/>
      <c r="AI314" s="358"/>
      <c r="AJ314" s="358"/>
      <c r="AK314" s="358"/>
      <c r="AL314" s="105"/>
      <c r="AM314" s="29"/>
      <c r="AN314" s="66"/>
      <c r="AO314" s="66"/>
      <c r="AP314" s="66"/>
      <c r="AQ314" s="29"/>
    </row>
    <row r="315" spans="1:43" hidden="1" x14ac:dyDescent="0.2">
      <c r="A315" s="283">
        <v>241</v>
      </c>
      <c r="B315" s="134"/>
      <c r="C315" s="36"/>
      <c r="D315" s="63"/>
      <c r="E315" s="84"/>
      <c r="F315" s="125"/>
      <c r="G315" s="390"/>
      <c r="H315" s="36"/>
      <c r="I315" s="412"/>
      <c r="J315" s="36"/>
      <c r="K315" s="36"/>
      <c r="L315" s="36"/>
      <c r="M315" s="162"/>
      <c r="N315" s="259"/>
      <c r="O315" s="126"/>
      <c r="P315" s="259"/>
      <c r="Q315" s="263"/>
      <c r="R315" s="267"/>
      <c r="S315" s="260"/>
      <c r="T315" s="36"/>
      <c r="U315" s="36"/>
      <c r="V315" s="36"/>
      <c r="W315" s="99"/>
      <c r="X315" s="36"/>
      <c r="Y315" s="36"/>
      <c r="Z315" s="136"/>
      <c r="AA315" s="66"/>
      <c r="AB315" s="36"/>
      <c r="AC315" s="36"/>
      <c r="AD315" s="36"/>
      <c r="AE315" s="113"/>
      <c r="AF315" s="162"/>
      <c r="AG315" s="244"/>
      <c r="AH315" s="358"/>
      <c r="AI315" s="358"/>
      <c r="AJ315" s="358"/>
      <c r="AK315" s="358"/>
      <c r="AL315" s="105"/>
      <c r="AM315" s="29"/>
      <c r="AN315" s="66"/>
      <c r="AO315" s="66"/>
      <c r="AP315" s="66"/>
      <c r="AQ315" s="29"/>
    </row>
    <row r="316" spans="1:43" hidden="1" x14ac:dyDescent="0.2">
      <c r="A316" s="283">
        <v>242</v>
      </c>
      <c r="B316" s="131"/>
      <c r="C316" s="36"/>
      <c r="D316" s="63"/>
      <c r="E316" s="84"/>
      <c r="F316" s="125"/>
      <c r="G316" s="390"/>
      <c r="H316" s="36"/>
      <c r="I316" s="412"/>
      <c r="J316" s="36"/>
      <c r="K316" s="36"/>
      <c r="L316" s="36"/>
      <c r="M316" s="162"/>
      <c r="N316" s="259"/>
      <c r="O316" s="126"/>
      <c r="P316" s="259"/>
      <c r="Q316" s="263"/>
      <c r="R316" s="267"/>
      <c r="S316" s="260"/>
      <c r="T316" s="36"/>
      <c r="U316" s="36"/>
      <c r="V316" s="36"/>
      <c r="W316" s="99"/>
      <c r="X316" s="36"/>
      <c r="Y316" s="36"/>
      <c r="Z316" s="136"/>
      <c r="AA316" s="66"/>
      <c r="AB316" s="36"/>
      <c r="AC316" s="36"/>
      <c r="AD316" s="36"/>
      <c r="AE316" s="113"/>
      <c r="AF316" s="162"/>
      <c r="AG316" s="244"/>
      <c r="AH316" s="358"/>
      <c r="AI316" s="358"/>
      <c r="AJ316" s="358"/>
      <c r="AK316" s="358"/>
      <c r="AL316" s="105"/>
      <c r="AM316" s="29"/>
      <c r="AN316" s="66"/>
      <c r="AO316" s="66"/>
      <c r="AP316" s="66"/>
      <c r="AQ316" s="29"/>
    </row>
    <row r="317" spans="1:43" hidden="1" x14ac:dyDescent="0.2">
      <c r="A317" s="283">
        <v>243</v>
      </c>
      <c r="B317" s="131"/>
      <c r="C317" s="36"/>
      <c r="D317" s="63"/>
      <c r="E317" s="84"/>
      <c r="F317" s="125"/>
      <c r="G317" s="390"/>
      <c r="H317" s="36"/>
      <c r="I317" s="412"/>
      <c r="J317" s="36"/>
      <c r="K317" s="36"/>
      <c r="L317" s="36"/>
      <c r="M317" s="162"/>
      <c r="N317" s="259"/>
      <c r="O317" s="126"/>
      <c r="P317" s="259"/>
      <c r="Q317" s="263"/>
      <c r="R317" s="267"/>
      <c r="S317" s="260"/>
      <c r="T317" s="36"/>
      <c r="U317" s="36"/>
      <c r="V317" s="36"/>
      <c r="W317" s="99"/>
      <c r="X317" s="36"/>
      <c r="Y317" s="36"/>
      <c r="Z317" s="136"/>
      <c r="AA317" s="66"/>
      <c r="AB317" s="36"/>
      <c r="AC317" s="36"/>
      <c r="AD317" s="36"/>
      <c r="AE317" s="113"/>
      <c r="AF317" s="162"/>
      <c r="AG317" s="244"/>
      <c r="AH317" s="358"/>
      <c r="AI317" s="358"/>
      <c r="AJ317" s="358"/>
      <c r="AK317" s="358"/>
      <c r="AL317" s="105"/>
      <c r="AM317" s="29"/>
      <c r="AN317" s="66"/>
      <c r="AO317" s="66"/>
      <c r="AP317" s="66"/>
      <c r="AQ317" s="29"/>
    </row>
    <row r="318" spans="1:43" hidden="1" x14ac:dyDescent="0.2">
      <c r="A318" s="283">
        <v>244</v>
      </c>
      <c r="B318" s="131"/>
      <c r="C318" s="36"/>
      <c r="D318" s="63"/>
      <c r="E318" s="84"/>
      <c r="F318" s="125"/>
      <c r="G318" s="390"/>
      <c r="H318" s="36"/>
      <c r="I318" s="412"/>
      <c r="J318" s="36"/>
      <c r="K318" s="36"/>
      <c r="L318" s="36"/>
      <c r="M318" s="162"/>
      <c r="N318" s="259"/>
      <c r="O318" s="126"/>
      <c r="P318" s="259"/>
      <c r="Q318" s="263"/>
      <c r="R318" s="267"/>
      <c r="S318" s="260"/>
      <c r="T318" s="36"/>
      <c r="U318" s="36"/>
      <c r="V318" s="36"/>
      <c r="W318" s="99"/>
      <c r="X318" s="36"/>
      <c r="Y318" s="36"/>
      <c r="Z318" s="136"/>
      <c r="AA318" s="66"/>
      <c r="AB318" s="36"/>
      <c r="AC318" s="36"/>
      <c r="AD318" s="36"/>
      <c r="AE318" s="113"/>
      <c r="AF318" s="162"/>
      <c r="AG318" s="244"/>
      <c r="AH318" s="358"/>
      <c r="AI318" s="358"/>
      <c r="AJ318" s="358"/>
      <c r="AK318" s="358"/>
      <c r="AL318" s="105"/>
      <c r="AM318" s="29"/>
      <c r="AN318" s="66"/>
      <c r="AO318" s="66"/>
      <c r="AP318" s="66"/>
      <c r="AQ318" s="29"/>
    </row>
    <row r="319" spans="1:43" hidden="1" x14ac:dyDescent="0.2">
      <c r="A319" s="283">
        <v>245</v>
      </c>
      <c r="B319" s="135"/>
      <c r="C319" s="36"/>
      <c r="D319" s="63"/>
      <c r="E319" s="84"/>
      <c r="F319" s="125"/>
      <c r="G319" s="390"/>
      <c r="H319" s="36"/>
      <c r="I319" s="412"/>
      <c r="J319" s="36"/>
      <c r="K319" s="36"/>
      <c r="L319" s="36"/>
      <c r="M319" s="162"/>
      <c r="N319" s="259"/>
      <c r="O319" s="126"/>
      <c r="P319" s="259"/>
      <c r="Q319" s="263"/>
      <c r="R319" s="267"/>
      <c r="S319" s="260"/>
      <c r="T319" s="36"/>
      <c r="U319" s="36"/>
      <c r="V319" s="36"/>
      <c r="W319" s="99"/>
      <c r="X319" s="36"/>
      <c r="Y319" s="36"/>
      <c r="Z319" s="136"/>
      <c r="AA319" s="66"/>
      <c r="AB319" s="36"/>
      <c r="AC319" s="36"/>
      <c r="AD319" s="36"/>
      <c r="AE319" s="113"/>
      <c r="AF319" s="162"/>
      <c r="AG319" s="244"/>
      <c r="AH319" s="358"/>
      <c r="AI319" s="358"/>
      <c r="AJ319" s="358"/>
      <c r="AK319" s="358"/>
      <c r="AL319" s="105"/>
      <c r="AM319" s="29"/>
      <c r="AN319" s="66"/>
      <c r="AO319" s="66"/>
      <c r="AP319" s="66"/>
      <c r="AQ319" s="29"/>
    </row>
    <row r="320" spans="1:43" hidden="1" x14ac:dyDescent="0.2">
      <c r="A320" s="283">
        <v>246</v>
      </c>
      <c r="B320" s="130"/>
      <c r="C320" s="36"/>
      <c r="D320" s="63"/>
      <c r="E320" s="84"/>
      <c r="F320" s="125"/>
      <c r="G320" s="390"/>
      <c r="H320" s="36"/>
      <c r="I320" s="412"/>
      <c r="J320" s="36"/>
      <c r="K320" s="36"/>
      <c r="L320" s="36"/>
      <c r="M320" s="162"/>
      <c r="N320" s="259"/>
      <c r="O320" s="126"/>
      <c r="P320" s="259"/>
      <c r="Q320" s="263"/>
      <c r="R320" s="267"/>
      <c r="S320" s="260"/>
      <c r="T320" s="36"/>
      <c r="U320" s="36"/>
      <c r="V320" s="36"/>
      <c r="W320" s="99"/>
      <c r="X320" s="36"/>
      <c r="Y320" s="36"/>
      <c r="Z320" s="136"/>
      <c r="AA320" s="66"/>
      <c r="AB320" s="36"/>
      <c r="AC320" s="36"/>
      <c r="AD320" s="36"/>
      <c r="AE320" s="113"/>
      <c r="AF320" s="162"/>
      <c r="AG320" s="244"/>
      <c r="AH320" s="358"/>
      <c r="AI320" s="358"/>
      <c r="AJ320" s="358"/>
      <c r="AK320" s="358"/>
      <c r="AL320" s="105"/>
      <c r="AM320" s="29"/>
      <c r="AN320" s="66"/>
      <c r="AO320" s="66"/>
      <c r="AP320" s="66"/>
      <c r="AQ320" s="29"/>
    </row>
    <row r="321" spans="1:43" hidden="1" x14ac:dyDescent="0.2">
      <c r="A321" s="283">
        <v>247</v>
      </c>
      <c r="B321" s="135"/>
      <c r="C321" s="36"/>
      <c r="D321" s="63"/>
      <c r="E321" s="84"/>
      <c r="F321" s="125"/>
      <c r="G321" s="390"/>
      <c r="H321" s="36"/>
      <c r="I321" s="412"/>
      <c r="J321" s="36"/>
      <c r="K321" s="36"/>
      <c r="L321" s="36"/>
      <c r="M321" s="162"/>
      <c r="N321" s="259"/>
      <c r="O321" s="126"/>
      <c r="P321" s="259"/>
      <c r="Q321" s="263"/>
      <c r="R321" s="267"/>
      <c r="S321" s="260"/>
      <c r="T321" s="36"/>
      <c r="U321" s="36"/>
      <c r="V321" s="36"/>
      <c r="W321" s="99"/>
      <c r="X321" s="36"/>
      <c r="Y321" s="36"/>
      <c r="Z321" s="136"/>
      <c r="AA321" s="66"/>
      <c r="AB321" s="36"/>
      <c r="AC321" s="36"/>
      <c r="AD321" s="36"/>
      <c r="AE321" s="113"/>
      <c r="AF321" s="162"/>
      <c r="AG321" s="244"/>
      <c r="AH321" s="358"/>
      <c r="AI321" s="358"/>
      <c r="AJ321" s="358"/>
      <c r="AK321" s="358"/>
      <c r="AL321" s="105"/>
      <c r="AM321" s="29"/>
      <c r="AN321" s="66"/>
      <c r="AO321" s="66"/>
      <c r="AP321" s="66"/>
      <c r="AQ321" s="29"/>
    </row>
    <row r="322" spans="1:43" hidden="1" x14ac:dyDescent="0.2">
      <c r="A322" s="283">
        <v>248</v>
      </c>
      <c r="B322" s="130"/>
      <c r="C322" s="36"/>
      <c r="D322" s="63"/>
      <c r="E322" s="84"/>
      <c r="F322" s="125"/>
      <c r="G322" s="390"/>
      <c r="H322" s="36"/>
      <c r="I322" s="412"/>
      <c r="J322" s="36"/>
      <c r="K322" s="36"/>
      <c r="L322" s="36"/>
      <c r="M322" s="162"/>
      <c r="N322" s="259"/>
      <c r="O322" s="126"/>
      <c r="P322" s="259"/>
      <c r="Q322" s="263"/>
      <c r="R322" s="267"/>
      <c r="S322" s="260"/>
      <c r="T322" s="36"/>
      <c r="U322" s="36"/>
      <c r="V322" s="36"/>
      <c r="W322" s="99"/>
      <c r="X322" s="36"/>
      <c r="Y322" s="36"/>
      <c r="Z322" s="136"/>
      <c r="AA322" s="66"/>
      <c r="AB322" s="36"/>
      <c r="AC322" s="36"/>
      <c r="AD322" s="36"/>
      <c r="AE322" s="113"/>
      <c r="AF322" s="162"/>
      <c r="AG322" s="244"/>
      <c r="AH322" s="358"/>
      <c r="AI322" s="358"/>
      <c r="AJ322" s="358"/>
      <c r="AK322" s="358"/>
      <c r="AL322" s="105"/>
      <c r="AM322" s="29"/>
      <c r="AN322" s="66"/>
      <c r="AO322" s="66"/>
      <c r="AP322" s="66"/>
      <c r="AQ322" s="29"/>
    </row>
    <row r="323" spans="1:43" hidden="1" x14ac:dyDescent="0.2">
      <c r="A323" s="283">
        <v>249</v>
      </c>
      <c r="B323" s="131"/>
      <c r="C323" s="36"/>
      <c r="D323" s="63"/>
      <c r="E323" s="84"/>
      <c r="F323" s="125"/>
      <c r="G323" s="390"/>
      <c r="H323" s="36"/>
      <c r="I323" s="412"/>
      <c r="J323" s="36"/>
      <c r="K323" s="36"/>
      <c r="L323" s="36"/>
      <c r="M323" s="162"/>
      <c r="N323" s="259"/>
      <c r="O323" s="126"/>
      <c r="P323" s="259"/>
      <c r="Q323" s="263"/>
      <c r="R323" s="267"/>
      <c r="S323" s="260"/>
      <c r="T323" s="36"/>
      <c r="U323" s="36"/>
      <c r="V323" s="36"/>
      <c r="W323" s="99"/>
      <c r="X323" s="36"/>
      <c r="Y323" s="36"/>
      <c r="Z323" s="136"/>
      <c r="AA323" s="66"/>
      <c r="AB323" s="36"/>
      <c r="AC323" s="36"/>
      <c r="AD323" s="36"/>
      <c r="AE323" s="113"/>
      <c r="AF323" s="162"/>
      <c r="AG323" s="244"/>
      <c r="AH323" s="358"/>
      <c r="AI323" s="358"/>
      <c r="AJ323" s="358"/>
      <c r="AK323" s="358"/>
      <c r="AL323" s="105"/>
      <c r="AM323" s="29"/>
      <c r="AN323" s="66"/>
      <c r="AO323" s="66"/>
      <c r="AP323" s="66"/>
      <c r="AQ323" s="29"/>
    </row>
    <row r="324" spans="1:43" hidden="1" x14ac:dyDescent="0.2">
      <c r="A324" s="283">
        <v>250</v>
      </c>
      <c r="B324" s="131"/>
      <c r="C324" s="36"/>
      <c r="D324" s="63"/>
      <c r="E324" s="84"/>
      <c r="F324" s="125"/>
      <c r="G324" s="390"/>
      <c r="H324" s="36"/>
      <c r="I324" s="412"/>
      <c r="J324" s="36"/>
      <c r="K324" s="36"/>
      <c r="L324" s="36"/>
      <c r="M324" s="162"/>
      <c r="N324" s="259"/>
      <c r="O324" s="126"/>
      <c r="P324" s="259"/>
      <c r="Q324" s="263"/>
      <c r="R324" s="267"/>
      <c r="S324" s="260"/>
      <c r="T324" s="36"/>
      <c r="U324" s="36"/>
      <c r="V324" s="36"/>
      <c r="W324" s="99"/>
      <c r="X324" s="36"/>
      <c r="Y324" s="36"/>
      <c r="Z324" s="136"/>
      <c r="AA324" s="66"/>
      <c r="AB324" s="36"/>
      <c r="AC324" s="36"/>
      <c r="AD324" s="36"/>
      <c r="AE324" s="113"/>
      <c r="AF324" s="162"/>
      <c r="AG324" s="244"/>
      <c r="AH324" s="358"/>
      <c r="AI324" s="358"/>
      <c r="AJ324" s="358"/>
      <c r="AK324" s="358"/>
      <c r="AL324" s="105"/>
      <c r="AM324" s="29"/>
      <c r="AN324" s="66"/>
      <c r="AO324" s="66"/>
      <c r="AP324" s="66"/>
      <c r="AQ324" s="29"/>
    </row>
    <row r="325" spans="1:43" hidden="1" x14ac:dyDescent="0.2">
      <c r="A325" s="283">
        <v>251</v>
      </c>
      <c r="B325" s="131"/>
      <c r="C325" s="36"/>
      <c r="D325" s="63"/>
      <c r="E325" s="84"/>
      <c r="F325" s="125"/>
      <c r="G325" s="390"/>
      <c r="H325" s="36"/>
      <c r="I325" s="412"/>
      <c r="J325" s="36"/>
      <c r="K325" s="36"/>
      <c r="L325" s="36"/>
      <c r="M325" s="162"/>
      <c r="N325" s="259"/>
      <c r="O325" s="126"/>
      <c r="P325" s="259"/>
      <c r="Q325" s="263"/>
      <c r="R325" s="267"/>
      <c r="S325" s="260"/>
      <c r="T325" s="36"/>
      <c r="U325" s="36"/>
      <c r="V325" s="36"/>
      <c r="W325" s="99"/>
      <c r="X325" s="36"/>
      <c r="Y325" s="36"/>
      <c r="Z325" s="47"/>
      <c r="AA325" s="66"/>
      <c r="AB325" s="36"/>
      <c r="AC325" s="36"/>
      <c r="AD325" s="36"/>
      <c r="AE325" s="113"/>
      <c r="AF325" s="162"/>
      <c r="AG325" s="244"/>
      <c r="AH325" s="358"/>
      <c r="AI325" s="358"/>
      <c r="AJ325" s="358"/>
      <c r="AK325" s="358"/>
      <c r="AL325" s="105"/>
      <c r="AM325" s="29"/>
      <c r="AN325" s="66"/>
      <c r="AO325" s="66"/>
      <c r="AP325" s="66"/>
      <c r="AQ325" s="29"/>
    </row>
    <row r="326" spans="1:43" hidden="1" x14ac:dyDescent="0.2">
      <c r="A326" s="283">
        <v>252</v>
      </c>
      <c r="B326" s="131"/>
      <c r="C326" s="36"/>
      <c r="D326" s="63"/>
      <c r="E326" s="84"/>
      <c r="F326" s="125"/>
      <c r="G326" s="390"/>
      <c r="H326" s="36"/>
      <c r="I326" s="412"/>
      <c r="J326" s="36"/>
      <c r="K326" s="36"/>
      <c r="L326" s="36"/>
      <c r="M326" s="162"/>
      <c r="N326" s="259"/>
      <c r="O326" s="126"/>
      <c r="P326" s="259"/>
      <c r="Q326" s="263"/>
      <c r="R326" s="267"/>
      <c r="S326" s="260"/>
      <c r="T326" s="36"/>
      <c r="U326" s="36"/>
      <c r="V326" s="36"/>
      <c r="W326" s="99"/>
      <c r="X326" s="36"/>
      <c r="Y326" s="36"/>
      <c r="Z326" s="47"/>
      <c r="AA326" s="66"/>
      <c r="AB326" s="36"/>
      <c r="AC326" s="36"/>
      <c r="AD326" s="36"/>
      <c r="AE326" s="113"/>
      <c r="AF326" s="162"/>
      <c r="AG326" s="244"/>
      <c r="AH326" s="358"/>
      <c r="AI326" s="358"/>
      <c r="AJ326" s="358"/>
      <c r="AK326" s="358"/>
      <c r="AL326" s="105"/>
      <c r="AM326" s="29"/>
      <c r="AN326" s="66"/>
      <c r="AO326" s="66"/>
      <c r="AP326" s="66"/>
      <c r="AQ326" s="29"/>
    </row>
    <row r="327" spans="1:43" hidden="1" x14ac:dyDescent="0.2">
      <c r="A327" s="283">
        <v>253</v>
      </c>
      <c r="B327" s="131"/>
      <c r="C327" s="36"/>
      <c r="D327" s="63"/>
      <c r="E327" s="84"/>
      <c r="F327" s="125"/>
      <c r="G327" s="390"/>
      <c r="H327" s="36"/>
      <c r="I327" s="412"/>
      <c r="J327" s="36"/>
      <c r="K327" s="36"/>
      <c r="L327" s="36"/>
      <c r="M327" s="162"/>
      <c r="N327" s="259"/>
      <c r="O327" s="126"/>
      <c r="P327" s="259"/>
      <c r="Q327" s="263"/>
      <c r="R327" s="267"/>
      <c r="S327" s="260"/>
      <c r="T327" s="36"/>
      <c r="U327" s="36"/>
      <c r="V327" s="36"/>
      <c r="W327" s="99"/>
      <c r="X327" s="36"/>
      <c r="Y327" s="36"/>
      <c r="Z327" s="47"/>
      <c r="AA327" s="66"/>
      <c r="AB327" s="36"/>
      <c r="AC327" s="36"/>
      <c r="AD327" s="36"/>
      <c r="AE327" s="113"/>
      <c r="AF327" s="162"/>
      <c r="AG327" s="244"/>
      <c r="AH327" s="358"/>
      <c r="AI327" s="358"/>
      <c r="AJ327" s="358"/>
      <c r="AK327" s="358"/>
      <c r="AL327" s="105"/>
      <c r="AM327" s="29"/>
      <c r="AN327" s="66"/>
      <c r="AO327" s="66"/>
      <c r="AP327" s="66"/>
      <c r="AQ327" s="29"/>
    </row>
    <row r="328" spans="1:43" hidden="1" x14ac:dyDescent="0.2">
      <c r="A328" s="283">
        <v>254</v>
      </c>
      <c r="B328" s="131"/>
      <c r="C328" s="36"/>
      <c r="D328" s="63"/>
      <c r="E328" s="84"/>
      <c r="F328" s="125"/>
      <c r="G328" s="390"/>
      <c r="H328" s="36"/>
      <c r="I328" s="412"/>
      <c r="J328" s="36"/>
      <c r="K328" s="36"/>
      <c r="L328" s="36"/>
      <c r="M328" s="162"/>
      <c r="N328" s="259"/>
      <c r="O328" s="126"/>
      <c r="P328" s="259"/>
      <c r="Q328" s="263"/>
      <c r="R328" s="267"/>
      <c r="S328" s="260"/>
      <c r="T328" s="36"/>
      <c r="U328" s="36"/>
      <c r="V328" s="36"/>
      <c r="W328" s="99"/>
      <c r="X328" s="36"/>
      <c r="Y328" s="36"/>
      <c r="Z328" s="47"/>
      <c r="AA328" s="66"/>
      <c r="AB328" s="36"/>
      <c r="AC328" s="36"/>
      <c r="AD328" s="36"/>
      <c r="AE328" s="113"/>
      <c r="AF328" s="162"/>
      <c r="AG328" s="244"/>
      <c r="AH328" s="358"/>
      <c r="AI328" s="358"/>
      <c r="AJ328" s="358"/>
      <c r="AK328" s="358"/>
      <c r="AL328" s="105"/>
      <c r="AM328" s="29"/>
      <c r="AN328" s="66"/>
      <c r="AO328" s="66"/>
      <c r="AP328" s="66"/>
      <c r="AQ328" s="29"/>
    </row>
    <row r="329" spans="1:43" hidden="1" x14ac:dyDescent="0.2">
      <c r="A329" s="283">
        <v>255</v>
      </c>
      <c r="B329" s="135"/>
      <c r="C329" s="36"/>
      <c r="D329" s="63"/>
      <c r="E329" s="84"/>
      <c r="F329" s="125"/>
      <c r="G329" s="390"/>
      <c r="H329" s="36"/>
      <c r="I329" s="412"/>
      <c r="J329" s="36"/>
      <c r="K329" s="36"/>
      <c r="L329" s="36"/>
      <c r="M329" s="162"/>
      <c r="N329" s="259"/>
      <c r="O329" s="126"/>
      <c r="P329" s="259"/>
      <c r="Q329" s="263"/>
      <c r="R329" s="267"/>
      <c r="S329" s="260"/>
      <c r="T329" s="36"/>
      <c r="U329" s="36"/>
      <c r="V329" s="36"/>
      <c r="W329" s="99"/>
      <c r="X329" s="36"/>
      <c r="Y329" s="36"/>
      <c r="Z329" s="47"/>
      <c r="AA329" s="66"/>
      <c r="AB329" s="36"/>
      <c r="AC329" s="36"/>
      <c r="AD329" s="36"/>
      <c r="AE329" s="113"/>
      <c r="AF329" s="162"/>
      <c r="AG329" s="244"/>
      <c r="AH329" s="358"/>
      <c r="AI329" s="358"/>
      <c r="AJ329" s="358"/>
      <c r="AK329" s="358"/>
      <c r="AL329" s="105"/>
      <c r="AM329" s="29"/>
      <c r="AN329" s="66"/>
      <c r="AO329" s="66"/>
      <c r="AP329" s="66"/>
      <c r="AQ329" s="29"/>
    </row>
    <row r="330" spans="1:43" hidden="1" x14ac:dyDescent="0.2">
      <c r="A330" s="283">
        <v>256</v>
      </c>
      <c r="B330" s="160"/>
      <c r="C330" s="36"/>
      <c r="D330" s="63"/>
      <c r="E330" s="84"/>
      <c r="F330" s="125"/>
      <c r="G330" s="390"/>
      <c r="H330" s="36"/>
      <c r="I330" s="412"/>
      <c r="J330" s="36"/>
      <c r="K330" s="36"/>
      <c r="L330" s="36"/>
      <c r="M330" s="162"/>
      <c r="N330" s="259"/>
      <c r="O330" s="126"/>
      <c r="P330" s="259"/>
      <c r="Q330" s="263"/>
      <c r="R330" s="267"/>
      <c r="S330" s="260"/>
      <c r="T330" s="36"/>
      <c r="U330" s="36"/>
      <c r="V330" s="36"/>
      <c r="W330" s="99"/>
      <c r="X330" s="36"/>
      <c r="Y330" s="36"/>
      <c r="Z330" s="47"/>
      <c r="AA330" s="66"/>
      <c r="AB330" s="36"/>
      <c r="AC330" s="36"/>
      <c r="AD330" s="36"/>
      <c r="AE330" s="113"/>
      <c r="AF330" s="162"/>
      <c r="AG330" s="244"/>
      <c r="AH330" s="358"/>
      <c r="AI330" s="358"/>
      <c r="AJ330" s="358"/>
      <c r="AK330" s="358"/>
      <c r="AL330" s="105"/>
      <c r="AM330" s="29"/>
      <c r="AN330" s="66"/>
      <c r="AO330" s="66"/>
      <c r="AP330" s="66"/>
      <c r="AQ330" s="29"/>
    </row>
    <row r="331" spans="1:43" hidden="1" x14ac:dyDescent="0.2">
      <c r="A331" s="283">
        <v>257</v>
      </c>
      <c r="B331" s="160"/>
      <c r="C331" s="36"/>
      <c r="D331" s="63"/>
      <c r="E331" s="84"/>
      <c r="F331" s="125"/>
      <c r="G331" s="390"/>
      <c r="H331" s="36"/>
      <c r="I331" s="412"/>
      <c r="J331" s="36"/>
      <c r="K331" s="36"/>
      <c r="L331" s="36"/>
      <c r="M331" s="162"/>
      <c r="N331" s="259"/>
      <c r="O331" s="126"/>
      <c r="P331" s="259"/>
      <c r="Q331" s="263"/>
      <c r="R331" s="267"/>
      <c r="S331" s="260"/>
      <c r="T331" s="36"/>
      <c r="U331" s="36"/>
      <c r="V331" s="36"/>
      <c r="W331" s="99"/>
      <c r="X331" s="36"/>
      <c r="Y331" s="36"/>
      <c r="Z331" s="47"/>
      <c r="AA331" s="66"/>
      <c r="AB331" s="36"/>
      <c r="AC331" s="36"/>
      <c r="AD331" s="36"/>
      <c r="AE331" s="113"/>
      <c r="AF331" s="162"/>
      <c r="AG331" s="244"/>
      <c r="AH331" s="358"/>
      <c r="AI331" s="358"/>
      <c r="AJ331" s="358"/>
      <c r="AK331" s="358"/>
      <c r="AL331" s="105"/>
      <c r="AM331" s="29"/>
      <c r="AN331" s="66"/>
      <c r="AO331" s="66"/>
      <c r="AP331" s="66"/>
      <c r="AQ331" s="29"/>
    </row>
    <row r="332" spans="1:43" hidden="1" x14ac:dyDescent="0.2">
      <c r="A332" s="283">
        <v>258</v>
      </c>
      <c r="B332" s="160"/>
      <c r="C332" s="36"/>
      <c r="D332" s="63"/>
      <c r="E332" s="84"/>
      <c r="F332" s="125"/>
      <c r="G332" s="390"/>
      <c r="H332" s="36"/>
      <c r="I332" s="412"/>
      <c r="J332" s="36"/>
      <c r="K332" s="36"/>
      <c r="L332" s="36"/>
      <c r="M332" s="162"/>
      <c r="N332" s="259"/>
      <c r="O332" s="126"/>
      <c r="P332" s="259"/>
      <c r="Q332" s="263"/>
      <c r="R332" s="267"/>
      <c r="S332" s="260"/>
      <c r="T332" s="36"/>
      <c r="U332" s="36"/>
      <c r="V332" s="36"/>
      <c r="W332" s="99"/>
      <c r="X332" s="36"/>
      <c r="Y332" s="36"/>
      <c r="Z332" s="47"/>
      <c r="AA332" s="66"/>
      <c r="AB332" s="36"/>
      <c r="AC332" s="36"/>
      <c r="AD332" s="36"/>
      <c r="AE332" s="113"/>
      <c r="AF332" s="162"/>
      <c r="AG332" s="244"/>
      <c r="AH332" s="358"/>
      <c r="AI332" s="358"/>
      <c r="AJ332" s="358"/>
      <c r="AK332" s="358"/>
      <c r="AL332" s="105"/>
      <c r="AM332" s="29"/>
      <c r="AN332" s="66"/>
      <c r="AO332" s="66"/>
      <c r="AP332" s="66"/>
      <c r="AQ332" s="29"/>
    </row>
    <row r="333" spans="1:43" hidden="1" x14ac:dyDescent="0.2">
      <c r="A333" s="283">
        <v>259</v>
      </c>
      <c r="B333" s="160"/>
      <c r="C333" s="36"/>
      <c r="D333" s="63"/>
      <c r="E333" s="84"/>
      <c r="F333" s="125"/>
      <c r="G333" s="390"/>
      <c r="H333" s="36"/>
      <c r="I333" s="412"/>
      <c r="J333" s="36"/>
      <c r="K333" s="36"/>
      <c r="L333" s="36"/>
      <c r="M333" s="162"/>
      <c r="N333" s="259"/>
      <c r="O333" s="126"/>
      <c r="P333" s="259"/>
      <c r="Q333" s="263"/>
      <c r="R333" s="267"/>
      <c r="S333" s="260"/>
      <c r="T333" s="36"/>
      <c r="U333" s="36"/>
      <c r="V333" s="36"/>
      <c r="W333" s="99"/>
      <c r="X333" s="36"/>
      <c r="Y333" s="36"/>
      <c r="Z333" s="47"/>
      <c r="AA333" s="66"/>
      <c r="AB333" s="36"/>
      <c r="AC333" s="36"/>
      <c r="AD333" s="36"/>
      <c r="AE333" s="113"/>
      <c r="AF333" s="162"/>
      <c r="AG333" s="244"/>
      <c r="AH333" s="358"/>
      <c r="AI333" s="358"/>
      <c r="AJ333" s="358"/>
      <c r="AK333" s="358"/>
      <c r="AL333" s="105"/>
      <c r="AM333" s="29"/>
      <c r="AN333" s="66"/>
      <c r="AO333" s="66"/>
      <c r="AP333" s="66"/>
      <c r="AQ333" s="29"/>
    </row>
    <row r="334" spans="1:43" hidden="1" x14ac:dyDescent="0.2">
      <c r="A334" s="283">
        <v>260</v>
      </c>
      <c r="B334" s="160"/>
      <c r="C334" s="36"/>
      <c r="D334" s="63"/>
      <c r="E334" s="84"/>
      <c r="F334" s="125"/>
      <c r="G334" s="390"/>
      <c r="H334" s="36"/>
      <c r="I334" s="412"/>
      <c r="J334" s="36"/>
      <c r="K334" s="36"/>
      <c r="L334" s="36"/>
      <c r="M334" s="162"/>
      <c r="N334" s="259"/>
      <c r="O334" s="126"/>
      <c r="P334" s="259"/>
      <c r="Q334" s="263"/>
      <c r="R334" s="267"/>
      <c r="S334" s="260"/>
      <c r="T334" s="36"/>
      <c r="U334" s="36"/>
      <c r="V334" s="36"/>
      <c r="W334" s="99"/>
      <c r="X334" s="36"/>
      <c r="Y334" s="36"/>
      <c r="Z334" s="47"/>
      <c r="AA334" s="66"/>
      <c r="AB334" s="36"/>
      <c r="AC334" s="36"/>
      <c r="AD334" s="36"/>
      <c r="AE334" s="113"/>
      <c r="AF334" s="162"/>
      <c r="AG334" s="244"/>
      <c r="AH334" s="358"/>
      <c r="AI334" s="358"/>
      <c r="AJ334" s="358"/>
      <c r="AK334" s="358"/>
      <c r="AL334" s="105"/>
      <c r="AM334" s="29"/>
      <c r="AN334" s="66"/>
      <c r="AO334" s="66"/>
      <c r="AP334" s="66"/>
      <c r="AQ334" s="29"/>
    </row>
    <row r="335" spans="1:43" hidden="1" x14ac:dyDescent="0.2">
      <c r="A335" s="283">
        <v>261</v>
      </c>
      <c r="B335" s="160"/>
      <c r="C335" s="36"/>
      <c r="D335" s="63"/>
      <c r="E335" s="84"/>
      <c r="F335" s="125"/>
      <c r="G335" s="390"/>
      <c r="H335" s="36"/>
      <c r="I335" s="412"/>
      <c r="J335" s="36"/>
      <c r="K335" s="36"/>
      <c r="L335" s="36"/>
      <c r="M335" s="162"/>
      <c r="N335" s="259"/>
      <c r="O335" s="126"/>
      <c r="P335" s="259"/>
      <c r="Q335" s="263"/>
      <c r="R335" s="267"/>
      <c r="S335" s="260"/>
      <c r="T335" s="36"/>
      <c r="U335" s="36"/>
      <c r="V335" s="36"/>
      <c r="W335" s="99"/>
      <c r="X335" s="36"/>
      <c r="Y335" s="36"/>
      <c r="Z335" s="47"/>
      <c r="AA335" s="66"/>
      <c r="AB335" s="36"/>
      <c r="AC335" s="36"/>
      <c r="AD335" s="36"/>
      <c r="AE335" s="113"/>
      <c r="AF335" s="162"/>
      <c r="AG335" s="244"/>
      <c r="AH335" s="358"/>
      <c r="AI335" s="358"/>
      <c r="AJ335" s="358"/>
      <c r="AK335" s="358"/>
      <c r="AL335" s="105"/>
      <c r="AM335" s="29"/>
      <c r="AN335" s="66"/>
      <c r="AO335" s="66"/>
      <c r="AP335" s="66"/>
      <c r="AQ335" s="29"/>
    </row>
    <row r="336" spans="1:43" hidden="1" x14ac:dyDescent="0.2">
      <c r="A336" s="283">
        <v>262</v>
      </c>
      <c r="B336" s="160"/>
      <c r="C336" s="36"/>
      <c r="D336" s="63"/>
      <c r="E336" s="84"/>
      <c r="F336" s="125"/>
      <c r="G336" s="390"/>
      <c r="H336" s="36"/>
      <c r="I336" s="412"/>
      <c r="J336" s="36"/>
      <c r="K336" s="36"/>
      <c r="L336" s="36"/>
      <c r="M336" s="162"/>
      <c r="N336" s="259"/>
      <c r="O336" s="126"/>
      <c r="P336" s="259"/>
      <c r="Q336" s="263"/>
      <c r="R336" s="267"/>
      <c r="S336" s="260"/>
      <c r="T336" s="36"/>
      <c r="U336" s="36"/>
      <c r="V336" s="36"/>
      <c r="W336" s="99"/>
      <c r="X336" s="36"/>
      <c r="Y336" s="36"/>
      <c r="Z336" s="47"/>
      <c r="AA336" s="66"/>
      <c r="AB336" s="36"/>
      <c r="AC336" s="36"/>
      <c r="AD336" s="36"/>
      <c r="AE336" s="113"/>
      <c r="AF336" s="162"/>
      <c r="AG336" s="244"/>
      <c r="AH336" s="358"/>
      <c r="AI336" s="358"/>
      <c r="AJ336" s="358"/>
      <c r="AK336" s="358"/>
      <c r="AL336" s="105"/>
      <c r="AM336" s="29"/>
      <c r="AN336" s="66"/>
      <c r="AO336" s="66"/>
      <c r="AP336" s="66"/>
      <c r="AQ336" s="29"/>
    </row>
    <row r="337" spans="1:43" hidden="1" x14ac:dyDescent="0.2">
      <c r="A337" s="283">
        <v>263</v>
      </c>
      <c r="B337" s="160"/>
      <c r="C337" s="36"/>
      <c r="D337" s="63"/>
      <c r="E337" s="84"/>
      <c r="F337" s="125"/>
      <c r="G337" s="390"/>
      <c r="H337" s="36"/>
      <c r="I337" s="412"/>
      <c r="J337" s="36"/>
      <c r="K337" s="36"/>
      <c r="L337" s="36"/>
      <c r="M337" s="162"/>
      <c r="N337" s="259"/>
      <c r="O337" s="126"/>
      <c r="P337" s="259"/>
      <c r="Q337" s="263"/>
      <c r="R337" s="267"/>
      <c r="S337" s="260"/>
      <c r="T337" s="36"/>
      <c r="U337" s="36"/>
      <c r="V337" s="36"/>
      <c r="W337" s="99"/>
      <c r="X337" s="36"/>
      <c r="Y337" s="36"/>
      <c r="Z337" s="47"/>
      <c r="AA337" s="66"/>
      <c r="AB337" s="36"/>
      <c r="AC337" s="36"/>
      <c r="AD337" s="36"/>
      <c r="AE337" s="113"/>
      <c r="AF337" s="162"/>
      <c r="AG337" s="244"/>
      <c r="AH337" s="358"/>
      <c r="AI337" s="358"/>
      <c r="AJ337" s="358"/>
      <c r="AK337" s="358"/>
      <c r="AL337" s="105"/>
      <c r="AM337" s="29"/>
      <c r="AN337" s="66"/>
      <c r="AO337" s="66"/>
      <c r="AP337" s="66"/>
      <c r="AQ337" s="29"/>
    </row>
    <row r="338" spans="1:43" hidden="1" x14ac:dyDescent="0.2">
      <c r="A338" s="283">
        <v>264</v>
      </c>
      <c r="B338" s="160"/>
      <c r="C338" s="36"/>
      <c r="D338" s="63"/>
      <c r="E338" s="84"/>
      <c r="F338" s="125"/>
      <c r="G338" s="390"/>
      <c r="H338" s="36"/>
      <c r="I338" s="412"/>
      <c r="J338" s="36"/>
      <c r="K338" s="36"/>
      <c r="L338" s="36"/>
      <c r="M338" s="162"/>
      <c r="N338" s="259"/>
      <c r="O338" s="126"/>
      <c r="P338" s="259"/>
      <c r="Q338" s="263"/>
      <c r="R338" s="267"/>
      <c r="S338" s="260"/>
      <c r="T338" s="36"/>
      <c r="U338" s="36"/>
      <c r="V338" s="36"/>
      <c r="W338" s="99"/>
      <c r="X338" s="36"/>
      <c r="Y338" s="36"/>
      <c r="Z338" s="47"/>
      <c r="AA338" s="66"/>
      <c r="AB338" s="36"/>
      <c r="AC338" s="36"/>
      <c r="AD338" s="36"/>
      <c r="AE338" s="113"/>
      <c r="AF338" s="162"/>
      <c r="AG338" s="244"/>
      <c r="AH338" s="358"/>
      <c r="AI338" s="358"/>
      <c r="AJ338" s="358"/>
      <c r="AK338" s="358"/>
      <c r="AL338" s="105"/>
      <c r="AM338" s="29"/>
      <c r="AN338" s="66"/>
      <c r="AO338" s="66"/>
      <c r="AP338" s="66"/>
      <c r="AQ338" s="29"/>
    </row>
    <row r="339" spans="1:43" hidden="1" x14ac:dyDescent="0.2">
      <c r="A339" s="283">
        <v>265</v>
      </c>
      <c r="B339" s="160"/>
      <c r="C339" s="36"/>
      <c r="D339" s="63"/>
      <c r="E339" s="84"/>
      <c r="F339" s="125"/>
      <c r="G339" s="390"/>
      <c r="H339" s="36"/>
      <c r="I339" s="412"/>
      <c r="J339" s="36"/>
      <c r="K339" s="36"/>
      <c r="L339" s="36"/>
      <c r="M339" s="162"/>
      <c r="N339" s="259"/>
      <c r="O339" s="126"/>
      <c r="P339" s="259"/>
      <c r="Q339" s="263"/>
      <c r="R339" s="267"/>
      <c r="S339" s="260"/>
      <c r="T339" s="36"/>
      <c r="U339" s="36"/>
      <c r="V339" s="36"/>
      <c r="W339" s="99"/>
      <c r="X339" s="36"/>
      <c r="Y339" s="36"/>
      <c r="Z339" s="47"/>
      <c r="AA339" s="66"/>
      <c r="AB339" s="36"/>
      <c r="AC339" s="36"/>
      <c r="AD339" s="36"/>
      <c r="AE339" s="113"/>
      <c r="AF339" s="162"/>
      <c r="AG339" s="244"/>
      <c r="AH339" s="358"/>
      <c r="AI339" s="358"/>
      <c r="AJ339" s="358"/>
      <c r="AK339" s="358"/>
      <c r="AL339" s="105"/>
      <c r="AM339" s="29"/>
      <c r="AN339" s="66"/>
      <c r="AO339" s="66"/>
      <c r="AP339" s="66"/>
      <c r="AQ339" s="29"/>
    </row>
    <row r="340" spans="1:43" hidden="1" x14ac:dyDescent="0.2">
      <c r="A340" s="283">
        <v>266</v>
      </c>
      <c r="B340" s="160"/>
      <c r="C340" s="36"/>
      <c r="D340" s="63"/>
      <c r="E340" s="84"/>
      <c r="F340" s="125"/>
      <c r="G340" s="390"/>
      <c r="H340" s="36"/>
      <c r="I340" s="412"/>
      <c r="J340" s="36"/>
      <c r="K340" s="36"/>
      <c r="L340" s="36"/>
      <c r="M340" s="162"/>
      <c r="N340" s="259"/>
      <c r="O340" s="126"/>
      <c r="P340" s="259"/>
      <c r="Q340" s="263"/>
      <c r="R340" s="267"/>
      <c r="S340" s="260"/>
      <c r="T340" s="36"/>
      <c r="U340" s="36"/>
      <c r="V340" s="36"/>
      <c r="W340" s="99"/>
      <c r="X340" s="36"/>
      <c r="Y340" s="36"/>
      <c r="Z340" s="47"/>
      <c r="AA340" s="66"/>
      <c r="AB340" s="36"/>
      <c r="AC340" s="36"/>
      <c r="AD340" s="36"/>
      <c r="AE340" s="113"/>
      <c r="AF340" s="162"/>
      <c r="AG340" s="244"/>
      <c r="AH340" s="358"/>
      <c r="AI340" s="358"/>
      <c r="AJ340" s="358"/>
      <c r="AK340" s="358"/>
      <c r="AL340" s="105"/>
      <c r="AM340" s="29"/>
      <c r="AN340" s="66"/>
      <c r="AO340" s="66"/>
      <c r="AP340" s="66"/>
      <c r="AQ340" s="29"/>
    </row>
    <row r="341" spans="1:43" hidden="1" x14ac:dyDescent="0.2">
      <c r="A341" s="283">
        <v>267</v>
      </c>
      <c r="B341" s="160"/>
      <c r="C341" s="36"/>
      <c r="D341" s="63"/>
      <c r="E341" s="84"/>
      <c r="F341" s="125"/>
      <c r="G341" s="390"/>
      <c r="H341" s="36"/>
      <c r="I341" s="412"/>
      <c r="J341" s="36"/>
      <c r="K341" s="36"/>
      <c r="L341" s="36"/>
      <c r="M341" s="162"/>
      <c r="N341" s="259"/>
      <c r="O341" s="126"/>
      <c r="P341" s="259"/>
      <c r="Q341" s="263"/>
      <c r="R341" s="267"/>
      <c r="S341" s="260"/>
      <c r="T341" s="36"/>
      <c r="U341" s="36"/>
      <c r="V341" s="36"/>
      <c r="W341" s="99"/>
      <c r="X341" s="36"/>
      <c r="Y341" s="36"/>
      <c r="Z341" s="47"/>
      <c r="AA341" s="66"/>
      <c r="AB341" s="36"/>
      <c r="AC341" s="36"/>
      <c r="AD341" s="36"/>
      <c r="AE341" s="113"/>
      <c r="AF341" s="162"/>
      <c r="AG341" s="244"/>
      <c r="AH341" s="358"/>
      <c r="AI341" s="358"/>
      <c r="AJ341" s="358"/>
      <c r="AK341" s="358"/>
      <c r="AL341" s="105"/>
      <c r="AM341" s="29"/>
      <c r="AN341" s="66"/>
      <c r="AO341" s="66"/>
      <c r="AP341" s="66"/>
      <c r="AQ341" s="29"/>
    </row>
    <row r="342" spans="1:43" hidden="1" x14ac:dyDescent="0.2">
      <c r="A342" s="283">
        <v>268</v>
      </c>
      <c r="B342" s="160"/>
      <c r="C342" s="36"/>
      <c r="D342" s="63"/>
      <c r="E342" s="84"/>
      <c r="F342" s="125"/>
      <c r="G342" s="390"/>
      <c r="H342" s="36"/>
      <c r="I342" s="412"/>
      <c r="J342" s="36"/>
      <c r="K342" s="36"/>
      <c r="L342" s="36"/>
      <c r="M342" s="162"/>
      <c r="N342" s="259"/>
      <c r="O342" s="126"/>
      <c r="P342" s="259"/>
      <c r="Q342" s="263"/>
      <c r="R342" s="267"/>
      <c r="S342" s="260"/>
      <c r="T342" s="36"/>
      <c r="U342" s="36"/>
      <c r="V342" s="36"/>
      <c r="W342" s="99"/>
      <c r="X342" s="36"/>
      <c r="Y342" s="36"/>
      <c r="Z342" s="47"/>
      <c r="AA342" s="66"/>
      <c r="AB342" s="36"/>
      <c r="AC342" s="36"/>
      <c r="AD342" s="36"/>
      <c r="AE342" s="113"/>
      <c r="AF342" s="162"/>
      <c r="AG342" s="244"/>
      <c r="AH342" s="358"/>
      <c r="AI342" s="358"/>
      <c r="AJ342" s="358"/>
      <c r="AK342" s="358"/>
      <c r="AL342" s="105"/>
      <c r="AM342" s="29"/>
      <c r="AN342" s="66"/>
      <c r="AO342" s="66"/>
      <c r="AP342" s="66"/>
      <c r="AQ342" s="29"/>
    </row>
    <row r="343" spans="1:43" hidden="1" x14ac:dyDescent="0.2">
      <c r="A343" s="283">
        <v>269</v>
      </c>
      <c r="B343" s="160"/>
      <c r="C343" s="36"/>
      <c r="D343" s="63"/>
      <c r="E343" s="84"/>
      <c r="F343" s="125"/>
      <c r="G343" s="390"/>
      <c r="H343" s="36"/>
      <c r="I343" s="412"/>
      <c r="J343" s="36"/>
      <c r="K343" s="36"/>
      <c r="L343" s="36"/>
      <c r="M343" s="162"/>
      <c r="N343" s="259"/>
      <c r="O343" s="126"/>
      <c r="P343" s="259"/>
      <c r="Q343" s="263"/>
      <c r="R343" s="267"/>
      <c r="S343" s="260"/>
      <c r="T343" s="36"/>
      <c r="U343" s="36"/>
      <c r="V343" s="36"/>
      <c r="W343" s="99"/>
      <c r="X343" s="36"/>
      <c r="Y343" s="36"/>
      <c r="Z343" s="47"/>
      <c r="AA343" s="66"/>
      <c r="AB343" s="36"/>
      <c r="AC343" s="36"/>
      <c r="AD343" s="36"/>
      <c r="AE343" s="113"/>
      <c r="AF343" s="162"/>
      <c r="AG343" s="244"/>
      <c r="AH343" s="358"/>
      <c r="AI343" s="358"/>
      <c r="AJ343" s="358"/>
      <c r="AK343" s="358"/>
      <c r="AL343" s="105"/>
      <c r="AM343" s="29"/>
      <c r="AN343" s="66"/>
      <c r="AO343" s="66"/>
      <c r="AP343" s="66"/>
      <c r="AQ343" s="29"/>
    </row>
    <row r="344" spans="1:43" hidden="1" x14ac:dyDescent="0.2">
      <c r="A344" s="283">
        <v>270</v>
      </c>
      <c r="B344" s="160"/>
      <c r="C344" s="36"/>
      <c r="D344" s="63"/>
      <c r="E344" s="84"/>
      <c r="F344" s="125"/>
      <c r="G344" s="390"/>
      <c r="H344" s="36"/>
      <c r="I344" s="412"/>
      <c r="J344" s="36"/>
      <c r="K344" s="36"/>
      <c r="L344" s="36"/>
      <c r="M344" s="162"/>
      <c r="N344" s="259"/>
      <c r="O344" s="126"/>
      <c r="P344" s="259"/>
      <c r="Q344" s="263"/>
      <c r="R344" s="267"/>
      <c r="S344" s="260"/>
      <c r="T344" s="36"/>
      <c r="U344" s="36"/>
      <c r="V344" s="36"/>
      <c r="W344" s="99"/>
      <c r="X344" s="36"/>
      <c r="Y344" s="36"/>
      <c r="Z344" s="47"/>
      <c r="AA344" s="66"/>
      <c r="AB344" s="36"/>
      <c r="AC344" s="36"/>
      <c r="AD344" s="36"/>
      <c r="AE344" s="113"/>
      <c r="AF344" s="162"/>
      <c r="AG344" s="244"/>
      <c r="AH344" s="358"/>
      <c r="AI344" s="358"/>
      <c r="AJ344" s="358"/>
      <c r="AK344" s="358"/>
      <c r="AL344" s="105"/>
      <c r="AM344" s="29"/>
      <c r="AN344" s="66"/>
      <c r="AO344" s="66"/>
      <c r="AP344" s="66"/>
      <c r="AQ344" s="29"/>
    </row>
    <row r="345" spans="1:43" hidden="1" x14ac:dyDescent="0.2">
      <c r="A345" s="283">
        <v>271</v>
      </c>
      <c r="B345" s="160"/>
      <c r="C345" s="36"/>
      <c r="D345" s="63"/>
      <c r="E345" s="84"/>
      <c r="F345" s="125"/>
      <c r="G345" s="390"/>
      <c r="H345" s="36"/>
      <c r="I345" s="412"/>
      <c r="J345" s="36"/>
      <c r="K345" s="36"/>
      <c r="L345" s="36"/>
      <c r="M345" s="162"/>
      <c r="N345" s="259"/>
      <c r="O345" s="126"/>
      <c r="P345" s="259"/>
      <c r="Q345" s="263"/>
      <c r="R345" s="267"/>
      <c r="S345" s="260"/>
      <c r="T345" s="36"/>
      <c r="U345" s="36"/>
      <c r="V345" s="36"/>
      <c r="W345" s="99"/>
      <c r="X345" s="36"/>
      <c r="Y345" s="36"/>
      <c r="Z345" s="47"/>
      <c r="AA345" s="66"/>
      <c r="AB345" s="36"/>
      <c r="AC345" s="36"/>
      <c r="AD345" s="36"/>
      <c r="AE345" s="113"/>
      <c r="AF345" s="162"/>
      <c r="AG345" s="244"/>
      <c r="AH345" s="358"/>
      <c r="AI345" s="358"/>
      <c r="AJ345" s="358"/>
      <c r="AK345" s="358"/>
      <c r="AL345" s="105"/>
      <c r="AM345" s="29"/>
      <c r="AN345" s="66"/>
      <c r="AO345" s="66"/>
      <c r="AP345" s="66"/>
      <c r="AQ345" s="29"/>
    </row>
    <row r="346" spans="1:43" hidden="1" x14ac:dyDescent="0.2">
      <c r="A346" s="283">
        <v>272</v>
      </c>
      <c r="B346" s="160"/>
      <c r="C346" s="36"/>
      <c r="D346" s="63"/>
      <c r="E346" s="84"/>
      <c r="F346" s="125"/>
      <c r="G346" s="390"/>
      <c r="H346" s="36"/>
      <c r="I346" s="412"/>
      <c r="J346" s="36"/>
      <c r="K346" s="36"/>
      <c r="L346" s="36"/>
      <c r="M346" s="162"/>
      <c r="N346" s="259"/>
      <c r="O346" s="126"/>
      <c r="P346" s="259"/>
      <c r="Q346" s="263"/>
      <c r="R346" s="267"/>
      <c r="S346" s="260"/>
      <c r="T346" s="36"/>
      <c r="U346" s="36"/>
      <c r="V346" s="36"/>
      <c r="W346" s="99"/>
      <c r="X346" s="36"/>
      <c r="Y346" s="36"/>
      <c r="Z346" s="47"/>
      <c r="AA346" s="66"/>
      <c r="AB346" s="36"/>
      <c r="AC346" s="36"/>
      <c r="AD346" s="36"/>
      <c r="AE346" s="113"/>
      <c r="AF346" s="162"/>
      <c r="AG346" s="244"/>
      <c r="AH346" s="358"/>
      <c r="AI346" s="358"/>
      <c r="AJ346" s="358"/>
      <c r="AK346" s="358"/>
      <c r="AL346" s="105"/>
      <c r="AM346" s="29"/>
      <c r="AN346" s="66"/>
      <c r="AO346" s="66"/>
      <c r="AP346" s="66"/>
      <c r="AQ346" s="29"/>
    </row>
    <row r="347" spans="1:43" hidden="1" x14ac:dyDescent="0.2">
      <c r="A347" s="283">
        <v>273</v>
      </c>
      <c r="B347" s="160"/>
      <c r="C347" s="36"/>
      <c r="D347" s="63"/>
      <c r="E347" s="84"/>
      <c r="F347" s="125"/>
      <c r="G347" s="390"/>
      <c r="H347" s="36"/>
      <c r="I347" s="412"/>
      <c r="J347" s="36"/>
      <c r="K347" s="36"/>
      <c r="L347" s="36"/>
      <c r="M347" s="162"/>
      <c r="N347" s="259"/>
      <c r="O347" s="126"/>
      <c r="P347" s="259"/>
      <c r="Q347" s="263"/>
      <c r="R347" s="267"/>
      <c r="S347" s="260"/>
      <c r="T347" s="36"/>
      <c r="U347" s="36"/>
      <c r="V347" s="36"/>
      <c r="W347" s="99"/>
      <c r="X347" s="36"/>
      <c r="Y347" s="36"/>
      <c r="Z347" s="47"/>
      <c r="AA347" s="66"/>
      <c r="AB347" s="36"/>
      <c r="AC347" s="36"/>
      <c r="AD347" s="36"/>
      <c r="AE347" s="113"/>
      <c r="AF347" s="162"/>
      <c r="AG347" s="244"/>
      <c r="AH347" s="358"/>
      <c r="AI347" s="358"/>
      <c r="AJ347" s="358"/>
      <c r="AK347" s="358"/>
      <c r="AL347" s="105"/>
      <c r="AM347" s="29"/>
      <c r="AN347" s="66"/>
      <c r="AO347" s="66"/>
      <c r="AP347" s="66"/>
      <c r="AQ347" s="29"/>
    </row>
    <row r="348" spans="1:43" hidden="1" x14ac:dyDescent="0.2">
      <c r="A348" s="283">
        <v>274</v>
      </c>
      <c r="B348" s="160"/>
      <c r="C348" s="36"/>
      <c r="D348" s="63"/>
      <c r="E348" s="84"/>
      <c r="F348" s="125"/>
      <c r="G348" s="390"/>
      <c r="H348" s="36"/>
      <c r="I348" s="412"/>
      <c r="J348" s="36"/>
      <c r="K348" s="36"/>
      <c r="L348" s="36"/>
      <c r="M348" s="162"/>
      <c r="N348" s="259"/>
      <c r="O348" s="126"/>
      <c r="P348" s="259"/>
      <c r="Q348" s="263"/>
      <c r="R348" s="267"/>
      <c r="S348" s="260"/>
      <c r="T348" s="36"/>
      <c r="U348" s="36"/>
      <c r="V348" s="36"/>
      <c r="W348" s="99"/>
      <c r="X348" s="36"/>
      <c r="Y348" s="36"/>
      <c r="Z348" s="47"/>
      <c r="AA348" s="66"/>
      <c r="AB348" s="36"/>
      <c r="AC348" s="36"/>
      <c r="AD348" s="36"/>
      <c r="AE348" s="113"/>
      <c r="AF348" s="162"/>
      <c r="AG348" s="244"/>
      <c r="AH348" s="358"/>
      <c r="AI348" s="358"/>
      <c r="AJ348" s="358"/>
      <c r="AK348" s="358"/>
      <c r="AL348" s="105"/>
      <c r="AM348" s="29"/>
      <c r="AN348" s="66"/>
      <c r="AO348" s="66"/>
      <c r="AP348" s="66"/>
      <c r="AQ348" s="29"/>
    </row>
    <row r="349" spans="1:43" hidden="1" x14ac:dyDescent="0.2">
      <c r="A349" s="283">
        <v>275</v>
      </c>
      <c r="B349" s="160"/>
      <c r="C349" s="36"/>
      <c r="D349" s="63"/>
      <c r="E349" s="84"/>
      <c r="F349" s="125"/>
      <c r="G349" s="390"/>
      <c r="H349" s="36"/>
      <c r="I349" s="412"/>
      <c r="J349" s="36"/>
      <c r="K349" s="36"/>
      <c r="L349" s="36"/>
      <c r="M349" s="162"/>
      <c r="N349" s="259"/>
      <c r="O349" s="126"/>
      <c r="P349" s="259"/>
      <c r="Q349" s="263"/>
      <c r="R349" s="267"/>
      <c r="S349" s="260"/>
      <c r="T349" s="36"/>
      <c r="U349" s="36"/>
      <c r="V349" s="36"/>
      <c r="W349" s="99"/>
      <c r="X349" s="36"/>
      <c r="Y349" s="36"/>
      <c r="Z349" s="47"/>
      <c r="AA349" s="66"/>
      <c r="AB349" s="36"/>
      <c r="AC349" s="36"/>
      <c r="AD349" s="36"/>
      <c r="AE349" s="113"/>
      <c r="AF349" s="162"/>
      <c r="AG349" s="244"/>
      <c r="AH349" s="358"/>
      <c r="AI349" s="358"/>
      <c r="AJ349" s="358"/>
      <c r="AK349" s="358"/>
      <c r="AL349" s="105"/>
      <c r="AM349" s="29"/>
      <c r="AN349" s="66"/>
      <c r="AO349" s="66"/>
      <c r="AP349" s="66"/>
      <c r="AQ349" s="29"/>
    </row>
    <row r="350" spans="1:43" hidden="1" x14ac:dyDescent="0.2">
      <c r="A350" s="283">
        <v>276</v>
      </c>
      <c r="B350" s="160"/>
      <c r="C350" s="36"/>
      <c r="D350" s="63"/>
      <c r="E350" s="84"/>
      <c r="F350" s="125"/>
      <c r="G350" s="390"/>
      <c r="H350" s="36"/>
      <c r="I350" s="412"/>
      <c r="J350" s="36"/>
      <c r="K350" s="36"/>
      <c r="L350" s="36"/>
      <c r="M350" s="162"/>
      <c r="N350" s="259"/>
      <c r="O350" s="126"/>
      <c r="P350" s="259"/>
      <c r="Q350" s="263"/>
      <c r="R350" s="267"/>
      <c r="S350" s="260"/>
      <c r="T350" s="36"/>
      <c r="U350" s="36"/>
      <c r="V350" s="36"/>
      <c r="W350" s="99"/>
      <c r="X350" s="36"/>
      <c r="Y350" s="36"/>
      <c r="Z350" s="47"/>
      <c r="AA350" s="66"/>
      <c r="AB350" s="36"/>
      <c r="AC350" s="36"/>
      <c r="AD350" s="36"/>
      <c r="AE350" s="113"/>
      <c r="AF350" s="162"/>
      <c r="AG350" s="244"/>
      <c r="AH350" s="358"/>
      <c r="AI350" s="358"/>
      <c r="AJ350" s="358"/>
      <c r="AK350" s="358"/>
      <c r="AL350" s="105"/>
      <c r="AM350" s="29"/>
      <c r="AN350" s="66"/>
      <c r="AO350" s="66"/>
      <c r="AP350" s="66"/>
      <c r="AQ350" s="29"/>
    </row>
    <row r="351" spans="1:43" hidden="1" x14ac:dyDescent="0.2">
      <c r="A351" s="283">
        <v>277</v>
      </c>
      <c r="B351" s="160"/>
      <c r="C351" s="36"/>
      <c r="D351" s="63"/>
      <c r="E351" s="84"/>
      <c r="F351" s="125"/>
      <c r="G351" s="390"/>
      <c r="H351" s="36"/>
      <c r="I351" s="412"/>
      <c r="J351" s="36"/>
      <c r="K351" s="36"/>
      <c r="L351" s="36"/>
      <c r="M351" s="162"/>
      <c r="N351" s="259"/>
      <c r="O351" s="126"/>
      <c r="P351" s="259"/>
      <c r="Q351" s="263"/>
      <c r="R351" s="267"/>
      <c r="S351" s="260"/>
      <c r="T351" s="36"/>
      <c r="U351" s="36"/>
      <c r="V351" s="36"/>
      <c r="W351" s="99"/>
      <c r="X351" s="36"/>
      <c r="Y351" s="36"/>
      <c r="Z351" s="47"/>
      <c r="AA351" s="66"/>
      <c r="AB351" s="36"/>
      <c r="AC351" s="36"/>
      <c r="AD351" s="36"/>
      <c r="AE351" s="113"/>
      <c r="AF351" s="162"/>
      <c r="AG351" s="244"/>
      <c r="AH351" s="358"/>
      <c r="AI351" s="358"/>
      <c r="AJ351" s="358"/>
      <c r="AK351" s="358"/>
      <c r="AL351" s="105"/>
      <c r="AM351" s="29"/>
      <c r="AN351" s="66"/>
      <c r="AO351" s="66"/>
      <c r="AP351" s="66"/>
      <c r="AQ351" s="29"/>
    </row>
    <row r="352" spans="1:43" hidden="1" x14ac:dyDescent="0.2">
      <c r="A352" s="283">
        <v>278</v>
      </c>
      <c r="B352" s="160"/>
      <c r="C352" s="36"/>
      <c r="D352" s="63"/>
      <c r="E352" s="84"/>
      <c r="F352" s="125"/>
      <c r="G352" s="390"/>
      <c r="H352" s="36"/>
      <c r="I352" s="412"/>
      <c r="J352" s="36"/>
      <c r="K352" s="36"/>
      <c r="L352" s="36"/>
      <c r="M352" s="162"/>
      <c r="N352" s="259"/>
      <c r="O352" s="126"/>
      <c r="P352" s="259"/>
      <c r="Q352" s="263"/>
      <c r="R352" s="267"/>
      <c r="S352" s="260"/>
      <c r="T352" s="36"/>
      <c r="U352" s="36"/>
      <c r="V352" s="36"/>
      <c r="W352" s="99"/>
      <c r="X352" s="36"/>
      <c r="Y352" s="36"/>
      <c r="Z352" s="47"/>
      <c r="AA352" s="66"/>
      <c r="AB352" s="36"/>
      <c r="AC352" s="36"/>
      <c r="AD352" s="36"/>
      <c r="AE352" s="113"/>
      <c r="AF352" s="162"/>
      <c r="AG352" s="244"/>
      <c r="AH352" s="358"/>
      <c r="AI352" s="358"/>
      <c r="AJ352" s="358"/>
      <c r="AK352" s="358"/>
      <c r="AL352" s="105"/>
      <c r="AM352" s="29"/>
      <c r="AN352" s="66"/>
      <c r="AO352" s="66"/>
      <c r="AP352" s="66"/>
      <c r="AQ352" s="29"/>
    </row>
    <row r="353" spans="1:43" hidden="1" x14ac:dyDescent="0.2">
      <c r="A353" s="283">
        <v>279</v>
      </c>
      <c r="B353" s="160"/>
      <c r="C353" s="36"/>
      <c r="D353" s="63"/>
      <c r="E353" s="84"/>
      <c r="F353" s="125"/>
      <c r="G353" s="390"/>
      <c r="H353" s="36"/>
      <c r="I353" s="412"/>
      <c r="J353" s="36"/>
      <c r="K353" s="36"/>
      <c r="L353" s="36"/>
      <c r="M353" s="162"/>
      <c r="N353" s="259"/>
      <c r="O353" s="126"/>
      <c r="P353" s="259"/>
      <c r="Q353" s="263"/>
      <c r="R353" s="267"/>
      <c r="S353" s="260"/>
      <c r="T353" s="36"/>
      <c r="U353" s="36"/>
      <c r="V353" s="36"/>
      <c r="W353" s="99"/>
      <c r="X353" s="36"/>
      <c r="Y353" s="36"/>
      <c r="Z353" s="47"/>
      <c r="AA353" s="66"/>
      <c r="AB353" s="36"/>
      <c r="AC353" s="36"/>
      <c r="AD353" s="36"/>
      <c r="AE353" s="113"/>
      <c r="AF353" s="162"/>
      <c r="AG353" s="244"/>
      <c r="AH353" s="358"/>
      <c r="AI353" s="358"/>
      <c r="AJ353" s="358"/>
      <c r="AK353" s="358"/>
      <c r="AL353" s="105"/>
      <c r="AM353" s="29"/>
      <c r="AN353" s="66"/>
      <c r="AO353" s="66"/>
      <c r="AP353" s="66"/>
      <c r="AQ353" s="29"/>
    </row>
    <row r="354" spans="1:43" hidden="1" x14ac:dyDescent="0.2">
      <c r="A354" s="283">
        <v>280</v>
      </c>
      <c r="B354" s="160"/>
      <c r="C354" s="36"/>
      <c r="D354" s="63"/>
      <c r="E354" s="84"/>
      <c r="F354" s="125"/>
      <c r="G354" s="390"/>
      <c r="H354" s="36"/>
      <c r="I354" s="412"/>
      <c r="J354" s="36"/>
      <c r="K354" s="36"/>
      <c r="L354" s="36"/>
      <c r="M354" s="162"/>
      <c r="N354" s="259"/>
      <c r="O354" s="126"/>
      <c r="P354" s="259"/>
      <c r="Q354" s="263"/>
      <c r="R354" s="267"/>
      <c r="S354" s="260"/>
      <c r="T354" s="36"/>
      <c r="U354" s="36"/>
      <c r="V354" s="36"/>
      <c r="W354" s="99"/>
      <c r="X354" s="36"/>
      <c r="Y354" s="36"/>
      <c r="Z354" s="47"/>
      <c r="AA354" s="66"/>
      <c r="AB354" s="36"/>
      <c r="AC354" s="36"/>
      <c r="AD354" s="36"/>
      <c r="AE354" s="113"/>
      <c r="AF354" s="162"/>
      <c r="AG354" s="244"/>
      <c r="AH354" s="358"/>
      <c r="AI354" s="358"/>
      <c r="AJ354" s="358"/>
      <c r="AK354" s="358"/>
      <c r="AL354" s="105"/>
      <c r="AM354" s="29"/>
      <c r="AN354" s="66"/>
      <c r="AO354" s="66"/>
      <c r="AP354" s="66"/>
      <c r="AQ354" s="29"/>
    </row>
    <row r="355" spans="1:43" hidden="1" x14ac:dyDescent="0.2">
      <c r="A355" s="283">
        <v>281</v>
      </c>
      <c r="B355" s="160"/>
      <c r="C355" s="36"/>
      <c r="D355" s="63"/>
      <c r="E355" s="84"/>
      <c r="F355" s="125"/>
      <c r="G355" s="390"/>
      <c r="H355" s="36"/>
      <c r="I355" s="412"/>
      <c r="J355" s="36"/>
      <c r="K355" s="36"/>
      <c r="L355" s="36"/>
      <c r="M355" s="162"/>
      <c r="N355" s="259"/>
      <c r="O355" s="126"/>
      <c r="P355" s="259"/>
      <c r="Q355" s="263"/>
      <c r="R355" s="267"/>
      <c r="S355" s="260"/>
      <c r="T355" s="36"/>
      <c r="U355" s="36"/>
      <c r="V355" s="36"/>
      <c r="W355" s="99"/>
      <c r="X355" s="36"/>
      <c r="Y355" s="36"/>
      <c r="Z355" s="47"/>
      <c r="AA355" s="66"/>
      <c r="AB355" s="36"/>
      <c r="AC355" s="36"/>
      <c r="AD355" s="36"/>
      <c r="AE355" s="113"/>
      <c r="AF355" s="162"/>
      <c r="AG355" s="244"/>
      <c r="AH355" s="358"/>
      <c r="AI355" s="358"/>
      <c r="AJ355" s="358"/>
      <c r="AK355" s="358"/>
      <c r="AL355" s="105"/>
      <c r="AM355" s="29"/>
      <c r="AN355" s="66"/>
      <c r="AO355" s="66"/>
      <c r="AP355" s="66"/>
      <c r="AQ355" s="29"/>
    </row>
    <row r="356" spans="1:43" hidden="1" x14ac:dyDescent="0.2">
      <c r="A356" s="283">
        <v>282</v>
      </c>
      <c r="B356" s="160"/>
      <c r="C356" s="36"/>
      <c r="D356" s="63"/>
      <c r="E356" s="84"/>
      <c r="F356" s="125"/>
      <c r="G356" s="390"/>
      <c r="H356" s="36"/>
      <c r="I356" s="412"/>
      <c r="J356" s="36"/>
      <c r="K356" s="36"/>
      <c r="L356" s="36"/>
      <c r="M356" s="162"/>
      <c r="N356" s="259"/>
      <c r="O356" s="126"/>
      <c r="P356" s="259"/>
      <c r="Q356" s="263"/>
      <c r="R356" s="267"/>
      <c r="S356" s="260"/>
      <c r="T356" s="36"/>
      <c r="U356" s="36"/>
      <c r="V356" s="36"/>
      <c r="W356" s="99"/>
      <c r="X356" s="36"/>
      <c r="Y356" s="36"/>
      <c r="Z356" s="47"/>
      <c r="AA356" s="66"/>
      <c r="AB356" s="36"/>
      <c r="AC356" s="36"/>
      <c r="AD356" s="36"/>
      <c r="AE356" s="113"/>
      <c r="AF356" s="162"/>
      <c r="AG356" s="244"/>
      <c r="AH356" s="358"/>
      <c r="AI356" s="358"/>
      <c r="AJ356" s="358"/>
      <c r="AK356" s="358"/>
      <c r="AL356" s="105"/>
      <c r="AM356" s="29"/>
      <c r="AN356" s="66"/>
      <c r="AO356" s="66"/>
      <c r="AP356" s="66"/>
      <c r="AQ356" s="29"/>
    </row>
    <row r="357" spans="1:43" hidden="1" x14ac:dyDescent="0.2">
      <c r="A357" s="283">
        <v>283</v>
      </c>
      <c r="B357" s="160"/>
      <c r="C357" s="36"/>
      <c r="D357" s="63"/>
      <c r="E357" s="84"/>
      <c r="F357" s="125"/>
      <c r="G357" s="390"/>
      <c r="H357" s="36"/>
      <c r="I357" s="412"/>
      <c r="J357" s="36"/>
      <c r="K357" s="36"/>
      <c r="L357" s="36"/>
      <c r="M357" s="162"/>
      <c r="N357" s="259"/>
      <c r="O357" s="126"/>
      <c r="P357" s="259"/>
      <c r="Q357" s="263"/>
      <c r="R357" s="267"/>
      <c r="S357" s="260"/>
      <c r="T357" s="36"/>
      <c r="U357" s="36"/>
      <c r="V357" s="36"/>
      <c r="W357" s="99"/>
      <c r="X357" s="36"/>
      <c r="Y357" s="36"/>
      <c r="Z357" s="47"/>
      <c r="AA357" s="66"/>
      <c r="AB357" s="36"/>
      <c r="AC357" s="36"/>
      <c r="AD357" s="36"/>
      <c r="AE357" s="113"/>
      <c r="AF357" s="162"/>
      <c r="AG357" s="244"/>
      <c r="AH357" s="358"/>
      <c r="AI357" s="358"/>
      <c r="AJ357" s="358"/>
      <c r="AK357" s="358"/>
      <c r="AL357" s="105"/>
      <c r="AM357" s="29"/>
      <c r="AN357" s="66"/>
      <c r="AO357" s="66"/>
      <c r="AP357" s="66"/>
      <c r="AQ357" s="29"/>
    </row>
    <row r="358" spans="1:43" hidden="1" x14ac:dyDescent="0.2">
      <c r="A358" s="283">
        <v>284</v>
      </c>
      <c r="B358" s="160"/>
      <c r="C358" s="36"/>
      <c r="D358" s="63"/>
      <c r="E358" s="84"/>
      <c r="F358" s="125"/>
      <c r="G358" s="390"/>
      <c r="H358" s="36"/>
      <c r="I358" s="412"/>
      <c r="J358" s="36"/>
      <c r="K358" s="36"/>
      <c r="L358" s="36"/>
      <c r="M358" s="162"/>
      <c r="N358" s="259"/>
      <c r="O358" s="126"/>
      <c r="P358" s="259"/>
      <c r="Q358" s="263"/>
      <c r="R358" s="267"/>
      <c r="S358" s="260"/>
      <c r="T358" s="36"/>
      <c r="U358" s="36"/>
      <c r="V358" s="36"/>
      <c r="W358" s="99"/>
      <c r="X358" s="36"/>
      <c r="Y358" s="36"/>
      <c r="Z358" s="47"/>
      <c r="AA358" s="66"/>
      <c r="AB358" s="36"/>
      <c r="AC358" s="36"/>
      <c r="AD358" s="36"/>
      <c r="AE358" s="113"/>
      <c r="AF358" s="162"/>
      <c r="AG358" s="244"/>
      <c r="AH358" s="358"/>
      <c r="AI358" s="358"/>
      <c r="AJ358" s="358"/>
      <c r="AK358" s="358"/>
      <c r="AL358" s="105"/>
      <c r="AM358" s="29"/>
      <c r="AN358" s="66"/>
      <c r="AO358" s="66"/>
      <c r="AP358" s="66"/>
      <c r="AQ358" s="29"/>
    </row>
    <row r="359" spans="1:43" hidden="1" x14ac:dyDescent="0.2">
      <c r="A359" s="283">
        <v>285</v>
      </c>
      <c r="B359" s="160"/>
      <c r="C359" s="36"/>
      <c r="D359" s="63"/>
      <c r="E359" s="84"/>
      <c r="F359" s="125"/>
      <c r="G359" s="390"/>
      <c r="H359" s="36"/>
      <c r="I359" s="412"/>
      <c r="J359" s="36"/>
      <c r="K359" s="36"/>
      <c r="L359" s="36"/>
      <c r="M359" s="162"/>
      <c r="N359" s="259"/>
      <c r="O359" s="126"/>
      <c r="P359" s="259"/>
      <c r="Q359" s="263"/>
      <c r="R359" s="267"/>
      <c r="S359" s="260"/>
      <c r="T359" s="36"/>
      <c r="U359" s="36"/>
      <c r="V359" s="36"/>
      <c r="W359" s="99"/>
      <c r="X359" s="36"/>
      <c r="Y359" s="36"/>
      <c r="Z359" s="47"/>
      <c r="AA359" s="66"/>
      <c r="AB359" s="36"/>
      <c r="AC359" s="36"/>
      <c r="AD359" s="36"/>
      <c r="AE359" s="113"/>
      <c r="AF359" s="162"/>
      <c r="AG359" s="244"/>
      <c r="AH359" s="358"/>
      <c r="AI359" s="358"/>
      <c r="AJ359" s="358"/>
      <c r="AK359" s="358"/>
      <c r="AL359" s="105"/>
      <c r="AM359" s="29"/>
      <c r="AN359" s="66"/>
      <c r="AO359" s="66"/>
      <c r="AP359" s="66"/>
      <c r="AQ359" s="29"/>
    </row>
    <row r="360" spans="1:43" hidden="1" x14ac:dyDescent="0.2">
      <c r="A360" s="283">
        <v>286</v>
      </c>
      <c r="B360" s="160"/>
      <c r="C360" s="36"/>
      <c r="D360" s="63"/>
      <c r="E360" s="84"/>
      <c r="F360" s="125"/>
      <c r="G360" s="390"/>
      <c r="H360" s="36"/>
      <c r="I360" s="412"/>
      <c r="J360" s="36"/>
      <c r="K360" s="36"/>
      <c r="L360" s="36"/>
      <c r="M360" s="162"/>
      <c r="N360" s="259"/>
      <c r="O360" s="126"/>
      <c r="P360" s="259"/>
      <c r="Q360" s="263"/>
      <c r="R360" s="267"/>
      <c r="S360" s="260"/>
      <c r="T360" s="36"/>
      <c r="U360" s="36"/>
      <c r="V360" s="36"/>
      <c r="W360" s="99"/>
      <c r="X360" s="36"/>
      <c r="Y360" s="36"/>
      <c r="Z360" s="47"/>
      <c r="AA360" s="66"/>
      <c r="AB360" s="36"/>
      <c r="AC360" s="36"/>
      <c r="AD360" s="36"/>
      <c r="AE360" s="113"/>
      <c r="AF360" s="162"/>
      <c r="AG360" s="244"/>
      <c r="AH360" s="358"/>
      <c r="AI360" s="358"/>
      <c r="AJ360" s="358"/>
      <c r="AK360" s="358"/>
      <c r="AL360" s="105"/>
      <c r="AM360" s="29"/>
      <c r="AN360" s="66"/>
      <c r="AO360" s="66"/>
      <c r="AP360" s="66"/>
      <c r="AQ360" s="29"/>
    </row>
    <row r="361" spans="1:43" hidden="1" x14ac:dyDescent="0.2">
      <c r="A361" s="283">
        <v>287</v>
      </c>
      <c r="B361" s="160"/>
      <c r="C361" s="36"/>
      <c r="D361" s="63"/>
      <c r="E361" s="84"/>
      <c r="F361" s="125"/>
      <c r="G361" s="390"/>
      <c r="H361" s="36"/>
      <c r="I361" s="412"/>
      <c r="J361" s="36"/>
      <c r="K361" s="36"/>
      <c r="L361" s="36"/>
      <c r="M361" s="162"/>
      <c r="N361" s="259"/>
      <c r="O361" s="126"/>
      <c r="P361" s="36"/>
      <c r="Q361" s="36"/>
      <c r="R361" s="267"/>
      <c r="S361" s="260"/>
      <c r="T361" s="36"/>
      <c r="U361" s="36"/>
      <c r="V361" s="36"/>
      <c r="W361" s="99"/>
      <c r="X361" s="36"/>
      <c r="Y361" s="36"/>
      <c r="Z361" s="47"/>
      <c r="AA361" s="66"/>
      <c r="AB361" s="36"/>
      <c r="AC361" s="36"/>
      <c r="AD361" s="36"/>
      <c r="AE361" s="113"/>
      <c r="AF361" s="162"/>
      <c r="AG361" s="244"/>
      <c r="AH361" s="358"/>
      <c r="AI361" s="358"/>
      <c r="AJ361" s="358"/>
      <c r="AK361" s="358"/>
      <c r="AL361" s="105"/>
      <c r="AM361" s="29"/>
      <c r="AN361" s="66"/>
      <c r="AO361" s="66"/>
      <c r="AP361" s="66"/>
      <c r="AQ361" s="29"/>
    </row>
    <row r="362" spans="1:43" hidden="1" x14ac:dyDescent="0.2">
      <c r="A362" s="283">
        <v>288</v>
      </c>
      <c r="B362" s="160"/>
      <c r="C362" s="36"/>
      <c r="D362" s="63"/>
      <c r="E362" s="84"/>
      <c r="F362" s="125"/>
      <c r="G362" s="390"/>
      <c r="H362" s="36"/>
      <c r="I362" s="412"/>
      <c r="J362" s="36"/>
      <c r="K362" s="36"/>
      <c r="L362" s="36"/>
      <c r="M362" s="162"/>
      <c r="N362" s="259"/>
      <c r="O362" s="126"/>
      <c r="P362" s="36"/>
      <c r="Q362" s="36"/>
      <c r="R362" s="267"/>
      <c r="S362" s="260"/>
      <c r="T362" s="36"/>
      <c r="U362" s="36"/>
      <c r="V362" s="36"/>
      <c r="W362" s="99"/>
      <c r="X362" s="36"/>
      <c r="Y362" s="36"/>
      <c r="Z362" s="47"/>
      <c r="AA362" s="66"/>
      <c r="AB362" s="36"/>
      <c r="AC362" s="36"/>
      <c r="AD362" s="36"/>
      <c r="AE362" s="113"/>
      <c r="AF362" s="162"/>
      <c r="AG362" s="244"/>
      <c r="AH362" s="358"/>
      <c r="AI362" s="358"/>
      <c r="AJ362" s="358"/>
      <c r="AK362" s="358"/>
      <c r="AL362" s="105"/>
      <c r="AM362" s="29"/>
      <c r="AN362" s="66"/>
      <c r="AO362" s="66"/>
      <c r="AP362" s="66"/>
      <c r="AQ362" s="29"/>
    </row>
    <row r="363" spans="1:43" hidden="1" x14ac:dyDescent="0.2">
      <c r="A363" s="283">
        <v>289</v>
      </c>
      <c r="B363" s="160"/>
      <c r="C363" s="36"/>
      <c r="D363" s="63"/>
      <c r="E363" s="84"/>
      <c r="F363" s="125"/>
      <c r="G363" s="390"/>
      <c r="H363" s="36"/>
      <c r="I363" s="412"/>
      <c r="J363" s="36"/>
      <c r="K363" s="36"/>
      <c r="L363" s="36"/>
      <c r="M363" s="162"/>
      <c r="N363" s="259"/>
      <c r="O363" s="126"/>
      <c r="P363" s="36"/>
      <c r="Q363" s="36"/>
      <c r="R363" s="267"/>
      <c r="S363" s="260"/>
      <c r="T363" s="36"/>
      <c r="U363" s="36"/>
      <c r="V363" s="36"/>
      <c r="W363" s="99"/>
      <c r="X363" s="36"/>
      <c r="Y363" s="36"/>
      <c r="Z363" s="47"/>
      <c r="AA363" s="66"/>
      <c r="AB363" s="36"/>
      <c r="AC363" s="36"/>
      <c r="AD363" s="36"/>
      <c r="AE363" s="113"/>
      <c r="AF363" s="162"/>
      <c r="AG363" s="244"/>
      <c r="AH363" s="358"/>
      <c r="AI363" s="358"/>
      <c r="AJ363" s="358"/>
      <c r="AK363" s="358"/>
      <c r="AL363" s="105"/>
      <c r="AM363" s="29"/>
      <c r="AN363" s="66"/>
      <c r="AO363" s="66"/>
      <c r="AP363" s="66"/>
      <c r="AQ363" s="29"/>
    </row>
    <row r="364" spans="1:43" hidden="1" x14ac:dyDescent="0.2">
      <c r="A364" s="283">
        <v>290</v>
      </c>
      <c r="B364" s="160"/>
      <c r="C364" s="36"/>
      <c r="D364" s="63"/>
      <c r="E364" s="84"/>
      <c r="F364" s="125"/>
      <c r="G364" s="390"/>
      <c r="H364" s="36"/>
      <c r="I364" s="412"/>
      <c r="J364" s="36"/>
      <c r="K364" s="36"/>
      <c r="L364" s="36"/>
      <c r="M364" s="162"/>
      <c r="N364" s="259"/>
      <c r="O364" s="126"/>
      <c r="P364" s="36"/>
      <c r="Q364" s="36"/>
      <c r="R364" s="267"/>
      <c r="S364" s="260"/>
      <c r="T364" s="36"/>
      <c r="U364" s="36"/>
      <c r="V364" s="36"/>
      <c r="W364" s="99"/>
      <c r="X364" s="36"/>
      <c r="Y364" s="36"/>
      <c r="Z364" s="47"/>
      <c r="AA364" s="66"/>
      <c r="AB364" s="36"/>
      <c r="AC364" s="36"/>
      <c r="AD364" s="36"/>
      <c r="AE364" s="113"/>
      <c r="AF364" s="162"/>
      <c r="AG364" s="244"/>
      <c r="AH364" s="358"/>
      <c r="AI364" s="358"/>
      <c r="AJ364" s="358"/>
      <c r="AK364" s="358"/>
      <c r="AL364" s="105"/>
      <c r="AM364" s="29"/>
      <c r="AN364" s="66"/>
      <c r="AO364" s="66"/>
      <c r="AP364" s="66"/>
      <c r="AQ364" s="29"/>
    </row>
    <row r="365" spans="1:43" hidden="1" x14ac:dyDescent="0.2">
      <c r="A365" s="283">
        <v>291</v>
      </c>
      <c r="B365" s="160"/>
      <c r="C365" s="36"/>
      <c r="D365" s="63"/>
      <c r="E365" s="84"/>
      <c r="F365" s="125"/>
      <c r="G365" s="390"/>
      <c r="H365" s="36"/>
      <c r="I365" s="412"/>
      <c r="J365" s="36"/>
      <c r="K365" s="36"/>
      <c r="L365" s="36"/>
      <c r="M365" s="162"/>
      <c r="N365" s="259"/>
      <c r="O365" s="126"/>
      <c r="P365" s="36"/>
      <c r="Q365" s="36"/>
      <c r="R365" s="267"/>
      <c r="S365" s="260"/>
      <c r="T365" s="36"/>
      <c r="U365" s="36"/>
      <c r="V365" s="36"/>
      <c r="W365" s="99"/>
      <c r="X365" s="36"/>
      <c r="Y365" s="36"/>
      <c r="Z365" s="47"/>
      <c r="AA365" s="66"/>
      <c r="AB365" s="36"/>
      <c r="AC365" s="36"/>
      <c r="AD365" s="36"/>
      <c r="AE365" s="113"/>
      <c r="AF365" s="162"/>
      <c r="AG365" s="244"/>
      <c r="AH365" s="358"/>
      <c r="AI365" s="358"/>
      <c r="AJ365" s="358"/>
      <c r="AK365" s="358"/>
      <c r="AL365" s="105"/>
      <c r="AM365" s="29"/>
      <c r="AN365" s="66"/>
      <c r="AO365" s="66"/>
      <c r="AP365" s="66"/>
      <c r="AQ365" s="29"/>
    </row>
    <row r="366" spans="1:43" hidden="1" x14ac:dyDescent="0.2">
      <c r="A366" s="283">
        <v>292</v>
      </c>
      <c r="B366" s="160"/>
      <c r="C366" s="36"/>
      <c r="D366" s="63"/>
      <c r="E366" s="84"/>
      <c r="F366" s="125"/>
      <c r="G366" s="390"/>
      <c r="H366" s="36"/>
      <c r="I366" s="412"/>
      <c r="J366" s="36"/>
      <c r="K366" s="36"/>
      <c r="L366" s="36"/>
      <c r="M366" s="162"/>
      <c r="N366" s="259"/>
      <c r="O366" s="126"/>
      <c r="P366" s="36"/>
      <c r="Q366" s="36"/>
      <c r="R366" s="267"/>
      <c r="S366" s="260"/>
      <c r="T366" s="36"/>
      <c r="U366" s="36"/>
      <c r="V366" s="36"/>
      <c r="W366" s="99"/>
      <c r="X366" s="36"/>
      <c r="Y366" s="36"/>
      <c r="Z366" s="47"/>
      <c r="AA366" s="66"/>
      <c r="AB366" s="36"/>
      <c r="AC366" s="36"/>
      <c r="AD366" s="36"/>
      <c r="AE366" s="113"/>
      <c r="AF366" s="162"/>
      <c r="AG366" s="244"/>
      <c r="AH366" s="358"/>
      <c r="AI366" s="358"/>
      <c r="AJ366" s="358"/>
      <c r="AK366" s="358"/>
      <c r="AL366" s="105"/>
      <c r="AM366" s="29"/>
      <c r="AN366" s="66"/>
      <c r="AO366" s="66"/>
      <c r="AP366" s="66"/>
      <c r="AQ366" s="29"/>
    </row>
    <row r="367" spans="1:43" hidden="1" x14ac:dyDescent="0.2">
      <c r="A367" s="283">
        <v>293</v>
      </c>
      <c r="B367" s="160"/>
      <c r="C367" s="36"/>
      <c r="D367" s="63"/>
      <c r="E367" s="84"/>
      <c r="F367" s="125"/>
      <c r="G367" s="390"/>
      <c r="H367" s="36"/>
      <c r="I367" s="412"/>
      <c r="J367" s="36"/>
      <c r="K367" s="36"/>
      <c r="L367" s="36"/>
      <c r="M367" s="162"/>
      <c r="N367" s="259"/>
      <c r="O367" s="126"/>
      <c r="P367" s="36"/>
      <c r="Q367" s="36"/>
      <c r="R367" s="267"/>
      <c r="S367" s="260"/>
      <c r="T367" s="36"/>
      <c r="U367" s="36"/>
      <c r="V367" s="36"/>
      <c r="W367" s="99"/>
      <c r="X367" s="36"/>
      <c r="Y367" s="36"/>
      <c r="Z367" s="47"/>
      <c r="AA367" s="66"/>
      <c r="AB367" s="36"/>
      <c r="AC367" s="36"/>
      <c r="AD367" s="36"/>
      <c r="AE367" s="113"/>
      <c r="AF367" s="162"/>
      <c r="AG367" s="244"/>
      <c r="AH367" s="358"/>
      <c r="AI367" s="358"/>
      <c r="AJ367" s="358"/>
      <c r="AK367" s="358"/>
      <c r="AL367" s="105"/>
      <c r="AM367" s="29"/>
      <c r="AN367" s="66"/>
      <c r="AO367" s="66"/>
      <c r="AP367" s="66"/>
      <c r="AQ367" s="29"/>
    </row>
    <row r="368" spans="1:43" hidden="1" x14ac:dyDescent="0.2">
      <c r="A368" s="283">
        <v>294</v>
      </c>
      <c r="B368" s="160"/>
      <c r="C368" s="36"/>
      <c r="D368" s="63"/>
      <c r="E368" s="84"/>
      <c r="F368" s="125"/>
      <c r="G368" s="390"/>
      <c r="H368" s="36"/>
      <c r="I368" s="412"/>
      <c r="J368" s="36"/>
      <c r="K368" s="36"/>
      <c r="L368" s="36"/>
      <c r="M368" s="162"/>
      <c r="N368" s="259"/>
      <c r="O368" s="126"/>
      <c r="P368" s="36"/>
      <c r="Q368" s="36"/>
      <c r="R368" s="267"/>
      <c r="S368" s="260"/>
      <c r="T368" s="36"/>
      <c r="U368" s="36"/>
      <c r="V368" s="36"/>
      <c r="W368" s="99"/>
      <c r="X368" s="36"/>
      <c r="Y368" s="36"/>
      <c r="Z368" s="47"/>
      <c r="AA368" s="66"/>
      <c r="AB368" s="36"/>
      <c r="AC368" s="36"/>
      <c r="AD368" s="36"/>
      <c r="AE368" s="113"/>
      <c r="AF368" s="162"/>
      <c r="AG368" s="244"/>
      <c r="AH368" s="358"/>
      <c r="AI368" s="358"/>
      <c r="AJ368" s="358"/>
      <c r="AK368" s="358"/>
      <c r="AL368" s="105"/>
      <c r="AM368" s="29"/>
      <c r="AN368" s="66"/>
      <c r="AO368" s="66"/>
      <c r="AP368" s="66"/>
      <c r="AQ368" s="29"/>
    </row>
    <row r="369" spans="1:43" hidden="1" x14ac:dyDescent="0.2">
      <c r="A369" s="283">
        <v>295</v>
      </c>
      <c r="B369" s="160"/>
      <c r="C369" s="36"/>
      <c r="D369" s="63"/>
      <c r="E369" s="84"/>
      <c r="F369" s="125"/>
      <c r="G369" s="390"/>
      <c r="H369" s="36"/>
      <c r="I369" s="412"/>
      <c r="J369" s="36"/>
      <c r="K369" s="36"/>
      <c r="L369" s="36"/>
      <c r="M369" s="162"/>
      <c r="N369" s="259"/>
      <c r="O369" s="126"/>
      <c r="P369" s="36"/>
      <c r="Q369" s="36"/>
      <c r="R369" s="267"/>
      <c r="S369" s="260"/>
      <c r="T369" s="36"/>
      <c r="U369" s="36"/>
      <c r="V369" s="36"/>
      <c r="W369" s="99"/>
      <c r="X369" s="36"/>
      <c r="Y369" s="36"/>
      <c r="Z369" s="47"/>
      <c r="AA369" s="66"/>
      <c r="AB369" s="36"/>
      <c r="AC369" s="36"/>
      <c r="AD369" s="36"/>
      <c r="AE369" s="113"/>
      <c r="AF369" s="162"/>
      <c r="AG369" s="244"/>
      <c r="AH369" s="358"/>
      <c r="AI369" s="358"/>
      <c r="AJ369" s="358"/>
      <c r="AK369" s="358"/>
      <c r="AL369" s="105"/>
      <c r="AM369" s="29"/>
      <c r="AN369" s="66"/>
      <c r="AO369" s="66"/>
      <c r="AP369" s="66"/>
      <c r="AQ369" s="29"/>
    </row>
    <row r="370" spans="1:43" hidden="1" x14ac:dyDescent="0.2">
      <c r="A370" s="283">
        <v>296</v>
      </c>
      <c r="F370" s="125"/>
      <c r="H370" s="36"/>
      <c r="M370" s="162"/>
      <c r="N370" s="112"/>
      <c r="O370" s="126"/>
      <c r="R370" s="267"/>
      <c r="S370" s="260"/>
      <c r="AA370" s="66"/>
      <c r="AB370" s="36"/>
      <c r="AC370" s="36"/>
      <c r="AD370" s="36"/>
      <c r="AE370" s="113"/>
      <c r="AF370" s="162"/>
      <c r="AG370" s="244"/>
      <c r="AH370" s="360"/>
      <c r="AI370" s="360"/>
      <c r="AJ370" s="360"/>
      <c r="AK370" s="360"/>
      <c r="AL370" s="105"/>
      <c r="AN370" s="66"/>
      <c r="AO370" s="66"/>
      <c r="AP370" s="66"/>
    </row>
    <row r="371" spans="1:43" hidden="1" x14ac:dyDescent="0.2">
      <c r="A371" s="283">
        <v>297</v>
      </c>
      <c r="F371" s="125"/>
      <c r="H371" s="36"/>
      <c r="M371" s="162"/>
      <c r="N371" s="259"/>
      <c r="O371" s="126"/>
      <c r="R371" s="267"/>
      <c r="S371" s="260"/>
      <c r="AA371" s="66"/>
      <c r="AB371" s="36"/>
      <c r="AC371" s="36"/>
      <c r="AD371" s="36"/>
      <c r="AE371" s="113"/>
      <c r="AF371" s="162"/>
      <c r="AG371" s="244"/>
      <c r="AH371" s="360"/>
      <c r="AI371" s="360"/>
      <c r="AJ371" s="360"/>
      <c r="AK371" s="360"/>
      <c r="AL371" s="105"/>
      <c r="AN371" s="66"/>
      <c r="AO371" s="66"/>
      <c r="AP371" s="66"/>
    </row>
    <row r="372" spans="1:43" hidden="1" x14ac:dyDescent="0.2">
      <c r="A372" s="283">
        <v>298</v>
      </c>
      <c r="F372" s="125"/>
      <c r="H372" s="36"/>
      <c r="M372" s="162"/>
      <c r="N372" s="259"/>
      <c r="O372" s="126"/>
      <c r="R372" s="267"/>
      <c r="S372" s="260"/>
      <c r="AA372" s="66"/>
      <c r="AB372" s="36"/>
      <c r="AC372" s="36"/>
      <c r="AD372" s="36"/>
      <c r="AE372" s="113"/>
      <c r="AF372" s="162"/>
      <c r="AG372" s="244"/>
      <c r="AH372" s="360"/>
      <c r="AI372" s="360"/>
      <c r="AJ372" s="360"/>
      <c r="AK372" s="360"/>
      <c r="AL372" s="105"/>
      <c r="AN372" s="66"/>
      <c r="AO372" s="66"/>
      <c r="AP372" s="66"/>
    </row>
    <row r="373" spans="1:43" hidden="1" x14ac:dyDescent="0.2">
      <c r="A373" s="283">
        <v>299</v>
      </c>
      <c r="F373" s="125"/>
      <c r="H373" s="36"/>
      <c r="M373" s="162"/>
      <c r="N373" s="259"/>
      <c r="O373" s="126"/>
      <c r="R373" s="267"/>
      <c r="S373" s="260"/>
      <c r="AA373" s="66"/>
      <c r="AB373" s="36"/>
      <c r="AC373" s="36"/>
      <c r="AD373" s="36"/>
      <c r="AE373" s="113"/>
      <c r="AF373" s="162"/>
      <c r="AG373" s="244"/>
      <c r="AH373" s="360"/>
      <c r="AI373" s="360"/>
      <c r="AJ373" s="360"/>
      <c r="AK373" s="360"/>
      <c r="AL373" s="105"/>
      <c r="AN373" s="66"/>
      <c r="AO373" s="66"/>
      <c r="AP373" s="66"/>
    </row>
    <row r="374" spans="1:43" hidden="1" x14ac:dyDescent="0.2">
      <c r="A374" s="283">
        <v>300</v>
      </c>
      <c r="F374" s="125"/>
      <c r="H374" s="36"/>
      <c r="M374" s="162"/>
      <c r="O374" s="126"/>
      <c r="R374" s="267"/>
      <c r="S374" s="260"/>
      <c r="AA374" s="66"/>
      <c r="AB374" s="36"/>
      <c r="AC374" s="36"/>
      <c r="AD374" s="36"/>
      <c r="AE374" s="113"/>
      <c r="AF374" s="162"/>
      <c r="AG374" s="244"/>
      <c r="AH374" s="360"/>
      <c r="AI374" s="360"/>
      <c r="AJ374" s="360"/>
      <c r="AK374" s="360"/>
      <c r="AL374" s="105"/>
      <c r="AN374" s="66"/>
      <c r="AO374" s="66"/>
      <c r="AP374" s="66"/>
    </row>
    <row r="375" spans="1:43" hidden="1" x14ac:dyDescent="0.2">
      <c r="A375" s="283">
        <v>301</v>
      </c>
      <c r="F375" s="125"/>
      <c r="H375" s="36"/>
      <c r="M375" s="162"/>
      <c r="R375" s="267"/>
      <c r="S375" s="260"/>
      <c r="AA375" s="66"/>
      <c r="AB375" s="36"/>
      <c r="AC375" s="36"/>
      <c r="AD375" s="36"/>
      <c r="AE375" s="113"/>
      <c r="AF375" s="162"/>
      <c r="AG375" s="244"/>
      <c r="AH375" s="360"/>
      <c r="AI375" s="360"/>
      <c r="AJ375" s="360"/>
      <c r="AK375" s="360"/>
      <c r="AL375" s="105"/>
      <c r="AN375" s="66"/>
      <c r="AO375" s="66"/>
      <c r="AP375" s="66"/>
    </row>
    <row r="376" spans="1:43" hidden="1" x14ac:dyDescent="0.2">
      <c r="A376" s="283">
        <v>302</v>
      </c>
      <c r="F376" s="125"/>
      <c r="H376" s="36"/>
      <c r="M376" s="162"/>
      <c r="R376" s="267"/>
      <c r="S376" s="260"/>
      <c r="AA376" s="66"/>
      <c r="AB376" s="36"/>
      <c r="AC376" s="36"/>
      <c r="AD376" s="36"/>
      <c r="AE376" s="113"/>
      <c r="AF376" s="162"/>
      <c r="AG376" s="244"/>
      <c r="AH376" s="360"/>
      <c r="AI376" s="360"/>
      <c r="AJ376" s="360"/>
      <c r="AK376" s="360"/>
      <c r="AL376" s="105"/>
      <c r="AN376" s="66"/>
      <c r="AO376" s="66"/>
      <c r="AP376" s="66"/>
    </row>
    <row r="377" spans="1:43" hidden="1" x14ac:dyDescent="0.2">
      <c r="A377" s="283">
        <v>303</v>
      </c>
      <c r="F377" s="125"/>
      <c r="H377" s="36"/>
      <c r="M377" s="162"/>
      <c r="R377" s="267"/>
      <c r="S377" s="260"/>
      <c r="AA377" s="66"/>
      <c r="AB377" s="36"/>
      <c r="AC377" s="36"/>
      <c r="AD377" s="36"/>
      <c r="AE377" s="113"/>
      <c r="AF377" s="162"/>
      <c r="AG377" s="244"/>
      <c r="AH377" s="360"/>
      <c r="AI377" s="360"/>
      <c r="AJ377" s="360"/>
      <c r="AK377" s="360"/>
      <c r="AL377" s="105"/>
      <c r="AN377" s="66"/>
      <c r="AO377" s="66"/>
      <c r="AP377" s="66"/>
    </row>
    <row r="378" spans="1:43" hidden="1" x14ac:dyDescent="0.2">
      <c r="A378" s="283">
        <v>304</v>
      </c>
      <c r="F378" s="125"/>
      <c r="H378" s="36"/>
      <c r="M378" s="162"/>
      <c r="R378" s="267"/>
      <c r="S378" s="260"/>
      <c r="AA378" s="66"/>
      <c r="AB378" s="36"/>
      <c r="AC378" s="36"/>
      <c r="AD378" s="36"/>
      <c r="AE378" s="113"/>
      <c r="AF378" s="162"/>
      <c r="AG378" s="244"/>
      <c r="AH378" s="360"/>
      <c r="AI378" s="360"/>
      <c r="AJ378" s="360"/>
      <c r="AK378" s="360"/>
      <c r="AL378" s="105"/>
      <c r="AN378" s="66"/>
      <c r="AO378" s="66"/>
      <c r="AP378" s="66"/>
    </row>
    <row r="379" spans="1:43" hidden="1" x14ac:dyDescent="0.2">
      <c r="A379" s="283">
        <v>305</v>
      </c>
      <c r="F379" s="125"/>
      <c r="H379" s="36"/>
      <c r="M379" s="162"/>
      <c r="R379" s="267"/>
      <c r="S379" s="260"/>
      <c r="AA379" s="66"/>
      <c r="AB379" s="36"/>
      <c r="AC379" s="36"/>
      <c r="AD379" s="36"/>
      <c r="AE379" s="113"/>
      <c r="AF379" s="162"/>
      <c r="AG379" s="244"/>
      <c r="AH379" s="360"/>
      <c r="AI379" s="360"/>
      <c r="AJ379" s="360"/>
      <c r="AK379" s="360"/>
      <c r="AL379" s="105"/>
      <c r="AN379" s="66"/>
      <c r="AO379" s="66"/>
      <c r="AP379" s="66"/>
    </row>
    <row r="380" spans="1:43" hidden="1" x14ac:dyDescent="0.2">
      <c r="A380" s="283">
        <v>306</v>
      </c>
      <c r="F380" s="125"/>
      <c r="H380" s="36"/>
      <c r="M380" s="162"/>
      <c r="R380" s="267"/>
      <c r="S380" s="260"/>
      <c r="AA380" s="66"/>
      <c r="AB380" s="36"/>
      <c r="AC380" s="36"/>
      <c r="AD380" s="36"/>
      <c r="AE380" s="113"/>
      <c r="AF380" s="162"/>
      <c r="AG380" s="244"/>
      <c r="AH380" s="360"/>
      <c r="AI380" s="360"/>
      <c r="AJ380" s="360"/>
      <c r="AK380" s="360"/>
      <c r="AL380" s="105"/>
      <c r="AN380" s="66"/>
      <c r="AO380" s="66"/>
      <c r="AP380" s="66"/>
    </row>
    <row r="381" spans="1:43" hidden="1" x14ac:dyDescent="0.2">
      <c r="A381" s="283">
        <v>307</v>
      </c>
      <c r="F381" s="125"/>
      <c r="H381" s="36"/>
      <c r="M381" s="162"/>
      <c r="R381" s="267"/>
      <c r="S381" s="260"/>
      <c r="AA381" s="66"/>
      <c r="AB381" s="36"/>
      <c r="AC381" s="36"/>
      <c r="AD381" s="36"/>
      <c r="AE381" s="113"/>
      <c r="AF381" s="162"/>
      <c r="AG381" s="244"/>
      <c r="AH381" s="360"/>
      <c r="AI381" s="360"/>
      <c r="AJ381" s="360"/>
      <c r="AK381" s="360"/>
      <c r="AL381" s="105"/>
      <c r="AN381" s="66"/>
      <c r="AO381" s="66"/>
      <c r="AP381" s="66"/>
    </row>
    <row r="382" spans="1:43" hidden="1" x14ac:dyDescent="0.2">
      <c r="A382" s="283">
        <v>308</v>
      </c>
      <c r="F382" s="125"/>
      <c r="H382" s="36"/>
      <c r="M382" s="162"/>
      <c r="R382" s="267"/>
      <c r="S382" s="260"/>
      <c r="AA382" s="66"/>
      <c r="AB382" s="36"/>
      <c r="AC382" s="36"/>
      <c r="AD382" s="36"/>
      <c r="AE382" s="113"/>
      <c r="AF382" s="162"/>
      <c r="AG382" s="244"/>
      <c r="AH382" s="360"/>
      <c r="AI382" s="360"/>
      <c r="AJ382" s="360"/>
      <c r="AK382" s="360"/>
      <c r="AL382" s="105"/>
      <c r="AN382" s="66"/>
      <c r="AO382" s="66"/>
      <c r="AP382" s="66"/>
    </row>
    <row r="383" spans="1:43" hidden="1" x14ac:dyDescent="0.2">
      <c r="A383" s="283">
        <v>309</v>
      </c>
      <c r="F383" s="125"/>
      <c r="H383" s="36"/>
      <c r="M383" s="162"/>
      <c r="R383" s="267"/>
      <c r="S383" s="260"/>
      <c r="AA383" s="66"/>
      <c r="AB383" s="36"/>
      <c r="AC383" s="36"/>
      <c r="AD383" s="36"/>
      <c r="AE383" s="113"/>
      <c r="AF383" s="162"/>
      <c r="AG383" s="244"/>
      <c r="AH383" s="360"/>
      <c r="AI383" s="360"/>
      <c r="AJ383" s="360"/>
      <c r="AK383" s="360"/>
      <c r="AL383" s="105"/>
      <c r="AN383" s="66"/>
      <c r="AO383" s="66"/>
      <c r="AP383" s="66"/>
    </row>
    <row r="384" spans="1:43" hidden="1" x14ac:dyDescent="0.2">
      <c r="A384" s="283">
        <v>310</v>
      </c>
      <c r="F384" s="125"/>
      <c r="H384" s="36"/>
      <c r="M384" s="162"/>
      <c r="R384" s="267"/>
      <c r="S384" s="260"/>
      <c r="AA384" s="66"/>
      <c r="AB384" s="36"/>
      <c r="AC384" s="36"/>
      <c r="AD384" s="36"/>
      <c r="AE384" s="113"/>
      <c r="AF384" s="162"/>
      <c r="AG384" s="244"/>
      <c r="AH384" s="360"/>
      <c r="AI384" s="360"/>
      <c r="AJ384" s="360"/>
      <c r="AK384" s="360"/>
      <c r="AL384" s="105"/>
      <c r="AN384" s="66"/>
      <c r="AO384" s="66"/>
      <c r="AP384" s="66"/>
    </row>
    <row r="385" spans="1:42" hidden="1" x14ac:dyDescent="0.2">
      <c r="A385" s="283">
        <v>311</v>
      </c>
      <c r="F385" s="125"/>
      <c r="H385" s="36"/>
      <c r="M385" s="162"/>
      <c r="R385" s="267"/>
      <c r="S385" s="260"/>
      <c r="AA385" s="66"/>
      <c r="AB385" s="36"/>
      <c r="AC385" s="36"/>
      <c r="AD385" s="36"/>
      <c r="AE385" s="113"/>
      <c r="AF385" s="162"/>
      <c r="AG385" s="244"/>
      <c r="AH385" s="360"/>
      <c r="AI385" s="360"/>
      <c r="AJ385" s="360"/>
      <c r="AK385" s="360"/>
      <c r="AL385" s="105"/>
      <c r="AN385" s="66"/>
      <c r="AO385" s="66"/>
      <c r="AP385" s="66"/>
    </row>
    <row r="386" spans="1:42" hidden="1" x14ac:dyDescent="0.2">
      <c r="A386" s="283">
        <v>312</v>
      </c>
      <c r="F386" s="125"/>
      <c r="H386" s="36"/>
      <c r="M386" s="162"/>
      <c r="R386" s="267"/>
      <c r="S386" s="260"/>
      <c r="AA386" s="66"/>
      <c r="AB386" s="36"/>
      <c r="AC386" s="36"/>
      <c r="AD386" s="36"/>
      <c r="AE386" s="113"/>
      <c r="AF386" s="162"/>
      <c r="AG386" s="244"/>
      <c r="AH386" s="360"/>
      <c r="AI386" s="360"/>
      <c r="AJ386" s="360"/>
      <c r="AK386" s="360"/>
      <c r="AL386" s="105"/>
      <c r="AN386" s="66"/>
      <c r="AO386" s="66"/>
      <c r="AP386" s="66"/>
    </row>
    <row r="387" spans="1:42" hidden="1" x14ac:dyDescent="0.2">
      <c r="A387" s="283">
        <v>313</v>
      </c>
      <c r="F387" s="125"/>
      <c r="H387" s="36"/>
      <c r="M387" s="162"/>
      <c r="R387" s="267"/>
      <c r="S387" s="260"/>
      <c r="AA387" s="66"/>
      <c r="AB387" s="36"/>
      <c r="AC387" s="36"/>
      <c r="AD387" s="36"/>
      <c r="AE387" s="113"/>
      <c r="AF387" s="162"/>
      <c r="AG387" s="244"/>
      <c r="AH387" s="360"/>
      <c r="AI387" s="360"/>
      <c r="AJ387" s="360"/>
      <c r="AK387" s="360"/>
      <c r="AL387" s="105"/>
      <c r="AN387" s="66"/>
      <c r="AO387" s="66"/>
      <c r="AP387" s="66"/>
    </row>
    <row r="388" spans="1:42" hidden="1" x14ac:dyDescent="0.2">
      <c r="A388" s="283">
        <v>314</v>
      </c>
      <c r="F388" s="125"/>
      <c r="H388" s="36"/>
      <c r="M388" s="162"/>
      <c r="R388" s="267"/>
      <c r="S388" s="260"/>
      <c r="AA388" s="66"/>
      <c r="AB388" s="36"/>
      <c r="AC388" s="36"/>
      <c r="AD388" s="36"/>
      <c r="AE388" s="113"/>
      <c r="AF388" s="162"/>
      <c r="AG388" s="244"/>
      <c r="AH388" s="360"/>
      <c r="AI388" s="360"/>
      <c r="AJ388" s="360"/>
      <c r="AK388" s="360"/>
      <c r="AL388" s="105"/>
      <c r="AN388" s="66"/>
      <c r="AO388" s="66"/>
      <c r="AP388" s="66"/>
    </row>
    <row r="389" spans="1:42" hidden="1" x14ac:dyDescent="0.2">
      <c r="A389" s="283">
        <v>315</v>
      </c>
      <c r="F389" s="125"/>
      <c r="H389" s="36"/>
      <c r="M389" s="162"/>
      <c r="R389" s="267"/>
      <c r="S389" s="260"/>
      <c r="AA389" s="66"/>
      <c r="AB389" s="36"/>
      <c r="AC389" s="36"/>
      <c r="AD389" s="36"/>
      <c r="AE389" s="113"/>
      <c r="AF389" s="162"/>
      <c r="AG389" s="244"/>
      <c r="AH389" s="360"/>
      <c r="AI389" s="360"/>
      <c r="AJ389" s="360"/>
      <c r="AK389" s="360"/>
      <c r="AL389" s="105"/>
      <c r="AN389" s="66"/>
      <c r="AO389" s="66"/>
      <c r="AP389" s="66"/>
    </row>
    <row r="390" spans="1:42" hidden="1" x14ac:dyDescent="0.2">
      <c r="A390" s="283">
        <v>316</v>
      </c>
      <c r="F390" s="125"/>
      <c r="H390" s="36"/>
      <c r="M390" s="162"/>
      <c r="R390" s="267"/>
      <c r="S390" s="260"/>
      <c r="AA390" s="66"/>
      <c r="AB390" s="36"/>
      <c r="AC390" s="36"/>
      <c r="AD390" s="36"/>
      <c r="AE390" s="113"/>
      <c r="AF390" s="162"/>
      <c r="AG390" s="244"/>
      <c r="AH390" s="360"/>
      <c r="AI390" s="360"/>
      <c r="AJ390" s="360"/>
      <c r="AK390" s="360"/>
      <c r="AL390" s="105"/>
      <c r="AN390" s="66"/>
      <c r="AO390" s="66"/>
      <c r="AP390" s="66"/>
    </row>
    <row r="391" spans="1:42" hidden="1" x14ac:dyDescent="0.2">
      <c r="A391" s="283">
        <v>317</v>
      </c>
      <c r="F391" s="125"/>
      <c r="H391" s="36"/>
      <c r="M391" s="162"/>
      <c r="R391" s="267"/>
      <c r="S391" s="260"/>
      <c r="AA391" s="66"/>
      <c r="AB391" s="36"/>
      <c r="AC391" s="36"/>
      <c r="AD391" s="36"/>
      <c r="AE391" s="113"/>
      <c r="AF391" s="162"/>
      <c r="AG391" s="244"/>
      <c r="AH391" s="360"/>
      <c r="AI391" s="360"/>
      <c r="AJ391" s="360"/>
      <c r="AK391" s="360"/>
      <c r="AL391" s="105"/>
      <c r="AN391" s="66"/>
      <c r="AO391" s="66"/>
      <c r="AP391" s="66"/>
    </row>
    <row r="392" spans="1:42" hidden="1" x14ac:dyDescent="0.2">
      <c r="A392" s="283">
        <v>318</v>
      </c>
      <c r="F392" s="125"/>
      <c r="H392" s="36"/>
      <c r="M392" s="162"/>
      <c r="R392" s="267"/>
      <c r="S392" s="260"/>
      <c r="AA392" s="66"/>
      <c r="AB392" s="36"/>
      <c r="AC392" s="36"/>
      <c r="AD392" s="36"/>
      <c r="AE392" s="113"/>
      <c r="AF392" s="162"/>
      <c r="AG392" s="244"/>
      <c r="AH392" s="360"/>
      <c r="AI392" s="360"/>
      <c r="AJ392" s="360"/>
      <c r="AK392" s="360"/>
      <c r="AL392" s="105"/>
      <c r="AN392" s="66"/>
      <c r="AO392" s="66"/>
      <c r="AP392" s="66"/>
    </row>
    <row r="393" spans="1:42" hidden="1" x14ac:dyDescent="0.2">
      <c r="A393" s="283">
        <v>319</v>
      </c>
      <c r="F393" s="125"/>
      <c r="H393" s="36"/>
      <c r="M393" s="162"/>
      <c r="R393" s="267"/>
      <c r="S393" s="260"/>
      <c r="AA393" s="66"/>
      <c r="AB393" s="36"/>
      <c r="AC393" s="36"/>
      <c r="AD393" s="36"/>
      <c r="AE393" s="113"/>
      <c r="AF393" s="162"/>
      <c r="AG393" s="244"/>
      <c r="AH393" s="360"/>
      <c r="AI393" s="360"/>
      <c r="AJ393" s="360"/>
      <c r="AK393" s="360"/>
      <c r="AL393" s="105"/>
      <c r="AN393" s="66"/>
      <c r="AO393" s="66"/>
      <c r="AP393" s="66"/>
    </row>
    <row r="394" spans="1:42" hidden="1" x14ac:dyDescent="0.2">
      <c r="A394" s="283">
        <v>320</v>
      </c>
      <c r="F394" s="125"/>
      <c r="H394" s="36"/>
      <c r="M394" s="162"/>
      <c r="R394" s="267"/>
      <c r="S394" s="260"/>
      <c r="AA394" s="66"/>
      <c r="AB394" s="36"/>
      <c r="AC394" s="36"/>
      <c r="AD394" s="36"/>
      <c r="AE394" s="113"/>
      <c r="AF394" s="162"/>
      <c r="AG394" s="244"/>
      <c r="AH394" s="360"/>
      <c r="AI394" s="360"/>
      <c r="AJ394" s="360"/>
      <c r="AK394" s="360"/>
      <c r="AL394" s="105"/>
      <c r="AN394" s="66"/>
      <c r="AO394" s="66"/>
      <c r="AP394" s="66"/>
    </row>
    <row r="395" spans="1:42" hidden="1" x14ac:dyDescent="0.2">
      <c r="A395" s="283">
        <v>321</v>
      </c>
      <c r="F395" s="125"/>
      <c r="H395" s="36"/>
      <c r="M395" s="162"/>
      <c r="R395" s="267"/>
      <c r="S395" s="260"/>
      <c r="AA395" s="66"/>
      <c r="AB395" s="36"/>
      <c r="AC395" s="36"/>
      <c r="AD395" s="36"/>
      <c r="AE395" s="113"/>
      <c r="AF395" s="162"/>
      <c r="AG395" s="244"/>
      <c r="AH395" s="360"/>
      <c r="AI395" s="360"/>
      <c r="AJ395" s="360"/>
      <c r="AK395" s="360"/>
      <c r="AL395" s="105"/>
      <c r="AN395" s="66"/>
      <c r="AO395" s="66"/>
      <c r="AP395" s="66"/>
    </row>
    <row r="396" spans="1:42" hidden="1" x14ac:dyDescent="0.2">
      <c r="A396" s="283">
        <v>322</v>
      </c>
      <c r="F396" s="125"/>
      <c r="H396" s="36"/>
      <c r="M396" s="162"/>
      <c r="R396" s="267"/>
      <c r="S396" s="260"/>
      <c r="AA396" s="66"/>
      <c r="AB396" s="36"/>
      <c r="AC396" s="36"/>
      <c r="AD396" s="36"/>
      <c r="AE396" s="113"/>
      <c r="AF396" s="162"/>
      <c r="AG396" s="244"/>
      <c r="AH396" s="360"/>
      <c r="AI396" s="360"/>
      <c r="AJ396" s="360"/>
      <c r="AK396" s="360"/>
      <c r="AL396" s="105"/>
      <c r="AN396" s="66"/>
      <c r="AO396" s="66"/>
      <c r="AP396" s="66"/>
    </row>
    <row r="397" spans="1:42" hidden="1" x14ac:dyDescent="0.2">
      <c r="A397" s="283">
        <v>323</v>
      </c>
      <c r="F397" s="125"/>
      <c r="H397" s="36"/>
      <c r="M397" s="162"/>
      <c r="R397" s="267"/>
      <c r="S397" s="260"/>
      <c r="AA397" s="66"/>
      <c r="AB397" s="36"/>
      <c r="AC397" s="36"/>
      <c r="AD397" s="36"/>
      <c r="AE397" s="113"/>
      <c r="AF397" s="162"/>
      <c r="AG397" s="244"/>
      <c r="AH397" s="360"/>
      <c r="AI397" s="360"/>
      <c r="AJ397" s="360"/>
      <c r="AK397" s="360"/>
      <c r="AL397" s="105"/>
      <c r="AN397" s="66"/>
      <c r="AO397" s="66"/>
      <c r="AP397" s="66"/>
    </row>
    <row r="398" spans="1:42" hidden="1" x14ac:dyDescent="0.2">
      <c r="A398" s="283">
        <v>324</v>
      </c>
      <c r="F398" s="125"/>
      <c r="H398" s="36"/>
      <c r="M398" s="162"/>
      <c r="R398" s="267"/>
      <c r="S398" s="260"/>
      <c r="AA398" s="66"/>
      <c r="AB398" s="36"/>
      <c r="AC398" s="36"/>
      <c r="AD398" s="36"/>
      <c r="AE398" s="113"/>
      <c r="AF398" s="162"/>
      <c r="AG398" s="244"/>
      <c r="AH398" s="360"/>
      <c r="AI398" s="360"/>
      <c r="AJ398" s="360"/>
      <c r="AK398" s="360"/>
      <c r="AL398" s="105"/>
      <c r="AN398" s="66"/>
      <c r="AO398" s="66"/>
      <c r="AP398" s="66"/>
    </row>
    <row r="399" spans="1:42" hidden="1" x14ac:dyDescent="0.2">
      <c r="A399" s="283">
        <v>325</v>
      </c>
      <c r="F399" s="125"/>
      <c r="H399" s="36"/>
      <c r="M399" s="162"/>
      <c r="R399" s="267"/>
      <c r="S399" s="260"/>
      <c r="AA399" s="66"/>
      <c r="AB399" s="36"/>
      <c r="AC399" s="36"/>
      <c r="AD399" s="36"/>
      <c r="AE399" s="113"/>
      <c r="AF399" s="162"/>
      <c r="AG399" s="244"/>
      <c r="AH399" s="360"/>
      <c r="AI399" s="360"/>
      <c r="AJ399" s="360"/>
      <c r="AK399" s="360"/>
      <c r="AL399" s="105"/>
      <c r="AN399" s="66"/>
      <c r="AO399" s="66"/>
      <c r="AP399" s="66"/>
    </row>
    <row r="400" spans="1:42" hidden="1" x14ac:dyDescent="0.2">
      <c r="A400" s="283">
        <v>326</v>
      </c>
      <c r="F400" s="125"/>
      <c r="H400" s="36"/>
      <c r="M400" s="162"/>
      <c r="R400" s="267"/>
      <c r="S400" s="260"/>
      <c r="AA400" s="66"/>
      <c r="AB400" s="36"/>
      <c r="AC400" s="36"/>
      <c r="AD400" s="36"/>
      <c r="AE400" s="113"/>
      <c r="AF400" s="162"/>
      <c r="AG400" s="244"/>
      <c r="AH400" s="360"/>
      <c r="AI400" s="360"/>
      <c r="AJ400" s="360"/>
      <c r="AK400" s="360"/>
      <c r="AL400" s="105"/>
      <c r="AN400" s="66"/>
      <c r="AO400" s="66"/>
      <c r="AP400" s="66"/>
    </row>
    <row r="401" spans="1:42" hidden="1" x14ac:dyDescent="0.2">
      <c r="A401" s="283">
        <v>327</v>
      </c>
      <c r="F401" s="125"/>
      <c r="H401" s="36"/>
      <c r="M401" s="162"/>
      <c r="R401" s="267"/>
      <c r="S401" s="260"/>
      <c r="AA401" s="66"/>
      <c r="AB401" s="36"/>
      <c r="AC401" s="36"/>
      <c r="AD401" s="36"/>
      <c r="AE401" s="113"/>
      <c r="AF401" s="162"/>
      <c r="AG401" s="244"/>
      <c r="AH401" s="360"/>
      <c r="AI401" s="360"/>
      <c r="AJ401" s="360"/>
      <c r="AK401" s="360"/>
      <c r="AL401" s="105"/>
      <c r="AN401" s="66"/>
      <c r="AO401" s="66"/>
      <c r="AP401" s="66"/>
    </row>
    <row r="402" spans="1:42" hidden="1" x14ac:dyDescent="0.2">
      <c r="A402" s="283">
        <v>328</v>
      </c>
      <c r="F402" s="125"/>
      <c r="H402" s="36"/>
      <c r="M402" s="162"/>
      <c r="R402" s="267"/>
      <c r="S402" s="260"/>
      <c r="AA402" s="66"/>
      <c r="AB402" s="36"/>
      <c r="AC402" s="36"/>
      <c r="AD402" s="36"/>
      <c r="AE402" s="113"/>
      <c r="AF402" s="162"/>
      <c r="AG402" s="244"/>
      <c r="AH402" s="360"/>
      <c r="AI402" s="360"/>
      <c r="AJ402" s="360"/>
      <c r="AK402" s="360"/>
      <c r="AL402" s="105"/>
      <c r="AN402" s="66"/>
      <c r="AO402" s="66"/>
      <c r="AP402" s="66"/>
    </row>
    <row r="403" spans="1:42" hidden="1" x14ac:dyDescent="0.2">
      <c r="A403" s="283">
        <v>329</v>
      </c>
      <c r="F403" s="125"/>
      <c r="H403" s="36"/>
      <c r="M403" s="162"/>
      <c r="R403" s="267"/>
      <c r="S403" s="260"/>
      <c r="AA403" s="66"/>
      <c r="AB403" s="36"/>
      <c r="AC403" s="36"/>
      <c r="AD403" s="36"/>
      <c r="AE403" s="113"/>
      <c r="AF403" s="162"/>
      <c r="AG403" s="244"/>
      <c r="AH403" s="360"/>
      <c r="AI403" s="360"/>
      <c r="AJ403" s="360"/>
      <c r="AK403" s="360"/>
      <c r="AL403" s="105"/>
      <c r="AN403" s="66"/>
      <c r="AO403" s="66"/>
      <c r="AP403" s="66"/>
    </row>
    <row r="404" spans="1:42" hidden="1" x14ac:dyDescent="0.2">
      <c r="A404" s="283">
        <v>330</v>
      </c>
      <c r="F404" s="125"/>
      <c r="H404" s="36"/>
      <c r="M404" s="162"/>
      <c r="R404" s="267"/>
      <c r="S404" s="260"/>
      <c r="AA404" s="66"/>
      <c r="AB404" s="36"/>
      <c r="AC404" s="36"/>
      <c r="AD404" s="36"/>
      <c r="AE404" s="113"/>
      <c r="AF404" s="162"/>
      <c r="AG404" s="244"/>
      <c r="AH404" s="360"/>
      <c r="AI404" s="360"/>
      <c r="AJ404" s="360"/>
      <c r="AK404" s="360"/>
      <c r="AL404" s="105"/>
      <c r="AN404" s="66"/>
      <c r="AO404" s="66"/>
      <c r="AP404" s="66"/>
    </row>
    <row r="405" spans="1:42" hidden="1" x14ac:dyDescent="0.2">
      <c r="A405" s="283">
        <v>331</v>
      </c>
      <c r="F405" s="125"/>
      <c r="H405" s="36"/>
      <c r="M405" s="162"/>
      <c r="R405" s="267"/>
      <c r="S405" s="260"/>
      <c r="AA405" s="66"/>
      <c r="AB405" s="36"/>
      <c r="AC405" s="36"/>
      <c r="AD405" s="36"/>
      <c r="AE405" s="113"/>
      <c r="AF405" s="162"/>
      <c r="AG405" s="244"/>
      <c r="AH405" s="360"/>
      <c r="AI405" s="360"/>
      <c r="AJ405" s="360"/>
      <c r="AK405" s="360"/>
      <c r="AL405" s="105"/>
      <c r="AN405" s="66"/>
      <c r="AO405" s="66"/>
      <c r="AP405" s="66"/>
    </row>
    <row r="406" spans="1:42" hidden="1" x14ac:dyDescent="0.2">
      <c r="A406" s="283">
        <v>332</v>
      </c>
      <c r="F406" s="125"/>
      <c r="H406" s="36"/>
      <c r="M406" s="162"/>
      <c r="R406" s="267"/>
      <c r="S406" s="260"/>
      <c r="AA406" s="66"/>
      <c r="AB406" s="36"/>
      <c r="AC406" s="36"/>
      <c r="AD406" s="36"/>
      <c r="AE406" s="113"/>
      <c r="AF406" s="162"/>
      <c r="AG406" s="244"/>
      <c r="AH406" s="360"/>
      <c r="AI406" s="360"/>
      <c r="AJ406" s="360"/>
      <c r="AK406" s="360"/>
      <c r="AL406" s="105"/>
      <c r="AN406" s="66"/>
      <c r="AO406" s="66"/>
      <c r="AP406" s="66"/>
    </row>
    <row r="407" spans="1:42" hidden="1" x14ac:dyDescent="0.2">
      <c r="A407" s="283">
        <v>333</v>
      </c>
      <c r="F407" s="125"/>
      <c r="H407" s="36"/>
      <c r="M407" s="162"/>
      <c r="R407" s="267"/>
      <c r="S407" s="260"/>
      <c r="AA407" s="66"/>
      <c r="AB407" s="36"/>
      <c r="AC407" s="36"/>
      <c r="AD407" s="36"/>
      <c r="AE407" s="113"/>
      <c r="AF407" s="162"/>
      <c r="AG407" s="244"/>
      <c r="AH407" s="360"/>
      <c r="AI407" s="360"/>
      <c r="AJ407" s="360"/>
      <c r="AK407" s="360"/>
      <c r="AL407" s="105"/>
      <c r="AN407" s="66"/>
      <c r="AO407" s="66"/>
      <c r="AP407" s="66"/>
    </row>
    <row r="408" spans="1:42" hidden="1" x14ac:dyDescent="0.2">
      <c r="A408" s="283">
        <v>334</v>
      </c>
      <c r="F408" s="125"/>
      <c r="H408" s="36"/>
      <c r="M408" s="162"/>
      <c r="R408" s="267"/>
      <c r="S408" s="260"/>
      <c r="AA408" s="66"/>
      <c r="AB408" s="36"/>
      <c r="AC408" s="36"/>
      <c r="AD408" s="36"/>
      <c r="AE408" s="113"/>
      <c r="AF408" s="162"/>
      <c r="AG408" s="244"/>
      <c r="AH408" s="360"/>
      <c r="AI408" s="360"/>
      <c r="AJ408" s="360"/>
      <c r="AK408" s="360"/>
      <c r="AL408" s="105"/>
      <c r="AN408" s="66"/>
      <c r="AO408" s="66"/>
      <c r="AP408" s="66"/>
    </row>
    <row r="409" spans="1:42" hidden="1" x14ac:dyDescent="0.2">
      <c r="A409" s="283">
        <v>335</v>
      </c>
      <c r="F409" s="125"/>
      <c r="H409" s="36"/>
      <c r="M409" s="162"/>
      <c r="R409" s="267"/>
      <c r="S409" s="260"/>
      <c r="AA409" s="66"/>
      <c r="AB409" s="36"/>
      <c r="AC409" s="36"/>
      <c r="AD409" s="36"/>
      <c r="AE409" s="113"/>
      <c r="AF409" s="162"/>
      <c r="AG409" s="244"/>
      <c r="AH409" s="360"/>
      <c r="AI409" s="360"/>
      <c r="AJ409" s="360"/>
      <c r="AK409" s="360"/>
      <c r="AL409" s="105"/>
      <c r="AN409" s="66"/>
      <c r="AO409" s="66"/>
      <c r="AP409" s="66"/>
    </row>
    <row r="410" spans="1:42" hidden="1" x14ac:dyDescent="0.2">
      <c r="A410" s="283">
        <v>336</v>
      </c>
      <c r="F410" s="125"/>
      <c r="H410" s="36"/>
      <c r="M410" s="162"/>
      <c r="R410" s="267"/>
      <c r="S410" s="260"/>
      <c r="AA410" s="66"/>
      <c r="AB410" s="36"/>
      <c r="AC410" s="36"/>
      <c r="AD410" s="36"/>
      <c r="AE410" s="113"/>
      <c r="AF410" s="162"/>
      <c r="AG410" s="244"/>
      <c r="AH410" s="360"/>
      <c r="AI410" s="360"/>
      <c r="AJ410" s="360"/>
      <c r="AK410" s="360"/>
      <c r="AL410" s="105"/>
      <c r="AN410" s="66"/>
      <c r="AO410" s="66"/>
      <c r="AP410" s="66"/>
    </row>
    <row r="411" spans="1:42" hidden="1" x14ac:dyDescent="0.2">
      <c r="A411" s="283">
        <v>337</v>
      </c>
      <c r="F411" s="125"/>
      <c r="H411" s="36"/>
      <c r="M411" s="162"/>
      <c r="R411" s="267"/>
      <c r="S411" s="260"/>
      <c r="AA411" s="66"/>
      <c r="AF411" s="162"/>
      <c r="AG411" s="244"/>
      <c r="AH411" s="360"/>
      <c r="AI411" s="360"/>
      <c r="AJ411" s="360"/>
      <c r="AK411" s="360"/>
      <c r="AL411" s="105"/>
      <c r="AN411" s="66"/>
      <c r="AO411" s="66"/>
      <c r="AP411" s="66"/>
    </row>
    <row r="412" spans="1:42" hidden="1" x14ac:dyDescent="0.2">
      <c r="A412" s="283">
        <v>338</v>
      </c>
      <c r="F412" s="125"/>
      <c r="H412" s="36"/>
      <c r="M412" s="162"/>
      <c r="R412" s="267"/>
      <c r="S412" s="260"/>
      <c r="AA412" s="66"/>
      <c r="AF412" s="162"/>
      <c r="AG412" s="244"/>
      <c r="AH412" s="360"/>
      <c r="AI412" s="360"/>
      <c r="AJ412" s="360"/>
      <c r="AK412" s="360"/>
      <c r="AL412" s="105"/>
      <c r="AN412" s="66"/>
      <c r="AO412" s="66"/>
      <c r="AP412" s="66"/>
    </row>
    <row r="413" spans="1:42" hidden="1" x14ac:dyDescent="0.2">
      <c r="A413" s="283">
        <v>339</v>
      </c>
      <c r="F413" s="125"/>
      <c r="H413" s="36"/>
      <c r="M413" s="162"/>
      <c r="R413" s="267"/>
      <c r="S413" s="260"/>
      <c r="AA413" s="66"/>
      <c r="AF413" s="162"/>
      <c r="AG413" s="244"/>
      <c r="AH413" s="360"/>
      <c r="AI413" s="360"/>
      <c r="AJ413" s="360"/>
      <c r="AK413" s="360"/>
      <c r="AL413" s="105"/>
      <c r="AN413" s="66"/>
      <c r="AO413" s="66"/>
      <c r="AP413" s="66"/>
    </row>
    <row r="414" spans="1:42" hidden="1" x14ac:dyDescent="0.2">
      <c r="A414" s="283">
        <v>340</v>
      </c>
      <c r="F414" s="125"/>
      <c r="H414" s="36"/>
      <c r="M414" s="162"/>
      <c r="R414" s="267"/>
      <c r="S414" s="260"/>
      <c r="AA414" s="66"/>
      <c r="AF414" s="162"/>
      <c r="AG414" s="244"/>
      <c r="AH414" s="360"/>
      <c r="AI414" s="360"/>
      <c r="AJ414" s="360"/>
      <c r="AK414" s="360"/>
      <c r="AL414" s="105"/>
      <c r="AN414" s="66"/>
      <c r="AO414" s="66"/>
      <c r="AP414" s="66"/>
    </row>
    <row r="415" spans="1:42" hidden="1" x14ac:dyDescent="0.2">
      <c r="A415" s="283">
        <v>341</v>
      </c>
      <c r="F415" s="125"/>
      <c r="H415" s="36"/>
      <c r="M415" s="162"/>
      <c r="R415" s="267"/>
      <c r="S415" s="260"/>
      <c r="AA415" s="66"/>
      <c r="AF415" s="162"/>
      <c r="AG415" s="244"/>
      <c r="AH415" s="360"/>
      <c r="AI415" s="360"/>
      <c r="AJ415" s="360"/>
      <c r="AK415" s="360"/>
      <c r="AL415" s="105"/>
      <c r="AN415" s="66"/>
      <c r="AO415" s="66"/>
      <c r="AP415" s="66"/>
    </row>
    <row r="416" spans="1:42" hidden="1" x14ac:dyDescent="0.2">
      <c r="A416" s="283">
        <v>342</v>
      </c>
      <c r="F416" s="125"/>
      <c r="H416" s="36"/>
      <c r="M416" s="162"/>
      <c r="R416" s="267"/>
      <c r="S416" s="260"/>
      <c r="AA416" s="66"/>
      <c r="AF416" s="162"/>
      <c r="AG416" s="244"/>
      <c r="AH416" s="360"/>
      <c r="AI416" s="360"/>
      <c r="AJ416" s="360"/>
      <c r="AK416" s="360"/>
      <c r="AL416" s="105"/>
      <c r="AN416" s="66"/>
      <c r="AO416" s="66"/>
      <c r="AP416" s="66"/>
    </row>
    <row r="417" spans="1:42" hidden="1" x14ac:dyDescent="0.2">
      <c r="A417" s="283">
        <v>343</v>
      </c>
      <c r="F417" s="125"/>
      <c r="H417" s="36"/>
      <c r="M417" s="162"/>
      <c r="R417" s="267"/>
      <c r="S417" s="260"/>
      <c r="AA417" s="66"/>
      <c r="AF417" s="162"/>
      <c r="AG417" s="244"/>
      <c r="AH417" s="360"/>
      <c r="AI417" s="360"/>
      <c r="AJ417" s="360"/>
      <c r="AK417" s="360"/>
      <c r="AL417" s="105"/>
      <c r="AN417" s="66"/>
      <c r="AO417" s="66"/>
      <c r="AP417" s="66"/>
    </row>
    <row r="418" spans="1:42" hidden="1" x14ac:dyDescent="0.2">
      <c r="A418" s="283">
        <v>344</v>
      </c>
      <c r="F418" s="125"/>
      <c r="H418" s="36"/>
      <c r="M418" s="162"/>
      <c r="R418" s="267"/>
      <c r="S418" s="260"/>
      <c r="AA418" s="66"/>
      <c r="AF418" s="162"/>
      <c r="AG418" s="244"/>
      <c r="AH418" s="360"/>
      <c r="AI418" s="360"/>
      <c r="AJ418" s="360"/>
      <c r="AK418" s="360"/>
      <c r="AL418" s="105"/>
      <c r="AN418" s="66"/>
      <c r="AO418" s="66"/>
      <c r="AP418" s="66"/>
    </row>
    <row r="419" spans="1:42" hidden="1" x14ac:dyDescent="0.2">
      <c r="A419" s="283">
        <v>345</v>
      </c>
      <c r="F419" s="125"/>
      <c r="H419" s="36"/>
      <c r="M419" s="162"/>
      <c r="R419" s="267"/>
      <c r="S419" s="260"/>
      <c r="AA419" s="66"/>
      <c r="AF419" s="162"/>
      <c r="AG419" s="244"/>
      <c r="AH419" s="360"/>
      <c r="AI419" s="360"/>
      <c r="AJ419" s="360"/>
      <c r="AK419" s="360"/>
      <c r="AL419" s="105"/>
      <c r="AN419" s="66"/>
      <c r="AO419" s="66"/>
      <c r="AP419" s="66"/>
    </row>
    <row r="420" spans="1:42" hidden="1" x14ac:dyDescent="0.2">
      <c r="A420" s="283">
        <v>346</v>
      </c>
      <c r="F420" s="125"/>
      <c r="H420" s="36"/>
      <c r="M420" s="162"/>
      <c r="R420" s="267"/>
      <c r="S420" s="260"/>
      <c r="AA420" s="66"/>
      <c r="AF420" s="162"/>
      <c r="AG420" s="244"/>
      <c r="AH420" s="360"/>
      <c r="AI420" s="360"/>
      <c r="AJ420" s="360"/>
      <c r="AK420" s="360"/>
      <c r="AL420" s="105"/>
      <c r="AN420" s="66"/>
      <c r="AO420" s="66"/>
      <c r="AP420" s="66"/>
    </row>
    <row r="421" spans="1:42" hidden="1" x14ac:dyDescent="0.2">
      <c r="A421" s="283">
        <v>347</v>
      </c>
      <c r="F421" s="125"/>
      <c r="H421" s="36"/>
      <c r="M421" s="162"/>
      <c r="R421" s="267"/>
      <c r="S421" s="260"/>
      <c r="AA421" s="66"/>
      <c r="AF421" s="162"/>
      <c r="AG421" s="244"/>
      <c r="AH421" s="360"/>
      <c r="AI421" s="360"/>
      <c r="AJ421" s="360"/>
      <c r="AK421" s="360"/>
      <c r="AL421" s="105"/>
      <c r="AN421" s="66"/>
      <c r="AO421" s="66"/>
      <c r="AP421" s="66"/>
    </row>
    <row r="422" spans="1:42" hidden="1" x14ac:dyDescent="0.2">
      <c r="A422" s="283">
        <v>348</v>
      </c>
      <c r="F422" s="125"/>
      <c r="H422" s="36"/>
      <c r="M422" s="162"/>
      <c r="R422" s="267"/>
      <c r="S422" s="260"/>
      <c r="AA422" s="66"/>
      <c r="AF422" s="162"/>
      <c r="AG422" s="244"/>
      <c r="AH422" s="360"/>
      <c r="AI422" s="360"/>
      <c r="AJ422" s="360"/>
      <c r="AK422" s="360"/>
      <c r="AL422" s="105"/>
      <c r="AN422" s="66"/>
      <c r="AO422" s="66"/>
      <c r="AP422" s="66"/>
    </row>
    <row r="423" spans="1:42" hidden="1" x14ac:dyDescent="0.2">
      <c r="A423" s="283">
        <v>349</v>
      </c>
      <c r="F423" s="125"/>
      <c r="H423" s="36"/>
      <c r="M423" s="162"/>
      <c r="R423" s="267"/>
      <c r="S423" s="260"/>
      <c r="AA423" s="66"/>
      <c r="AF423" s="162"/>
      <c r="AG423" s="244"/>
      <c r="AH423" s="360"/>
      <c r="AI423" s="360"/>
      <c r="AJ423" s="360"/>
      <c r="AK423" s="360"/>
      <c r="AL423" s="105"/>
      <c r="AN423" s="66"/>
      <c r="AO423" s="66"/>
      <c r="AP423" s="66"/>
    </row>
    <row r="424" spans="1:42" hidden="1" x14ac:dyDescent="0.2">
      <c r="A424" s="283">
        <v>350</v>
      </c>
      <c r="F424" s="125"/>
      <c r="H424" s="36"/>
      <c r="M424" s="162"/>
      <c r="R424" s="267"/>
      <c r="S424" s="260"/>
      <c r="AA424" s="66"/>
      <c r="AF424" s="162"/>
      <c r="AG424" s="244"/>
      <c r="AH424" s="360"/>
      <c r="AI424" s="360"/>
      <c r="AJ424" s="360"/>
      <c r="AK424" s="360"/>
      <c r="AL424" s="105"/>
      <c r="AN424" s="66"/>
      <c r="AO424" s="66"/>
      <c r="AP424" s="66"/>
    </row>
    <row r="425" spans="1:42" hidden="1" x14ac:dyDescent="0.2">
      <c r="A425" s="283">
        <v>351</v>
      </c>
      <c r="F425" s="125"/>
      <c r="H425" s="36"/>
      <c r="M425" s="162"/>
      <c r="R425" s="267"/>
      <c r="S425" s="260"/>
      <c r="AA425" s="66"/>
      <c r="AF425" s="162"/>
      <c r="AG425" s="244"/>
      <c r="AH425" s="360"/>
      <c r="AI425" s="360"/>
      <c r="AJ425" s="360"/>
      <c r="AK425" s="360"/>
      <c r="AL425" s="105"/>
      <c r="AN425" s="66"/>
      <c r="AO425" s="66"/>
      <c r="AP425" s="66"/>
    </row>
    <row r="426" spans="1:42" hidden="1" x14ac:dyDescent="0.2">
      <c r="A426" s="283">
        <v>352</v>
      </c>
      <c r="F426" s="125"/>
      <c r="H426" s="36"/>
      <c r="M426" s="162"/>
      <c r="R426" s="267"/>
      <c r="S426" s="260"/>
      <c r="AA426" s="66"/>
      <c r="AF426" s="162"/>
      <c r="AG426" s="244"/>
      <c r="AH426" s="360"/>
      <c r="AI426" s="360"/>
      <c r="AJ426" s="360"/>
      <c r="AK426" s="360"/>
      <c r="AL426" s="105"/>
      <c r="AN426" s="66"/>
      <c r="AO426" s="66"/>
      <c r="AP426" s="66"/>
    </row>
    <row r="427" spans="1:42" hidden="1" x14ac:dyDescent="0.2">
      <c r="A427" s="283">
        <v>353</v>
      </c>
      <c r="F427" s="125"/>
      <c r="H427" s="36"/>
      <c r="M427" s="162"/>
      <c r="R427" s="267"/>
      <c r="S427" s="260"/>
      <c r="AA427" s="66"/>
      <c r="AF427" s="162"/>
      <c r="AG427" s="244"/>
      <c r="AH427" s="360"/>
      <c r="AI427" s="360"/>
      <c r="AJ427" s="360"/>
      <c r="AK427" s="360"/>
      <c r="AL427" s="105"/>
      <c r="AN427" s="66"/>
      <c r="AO427" s="66"/>
      <c r="AP427" s="66"/>
    </row>
    <row r="428" spans="1:42" hidden="1" x14ac:dyDescent="0.2">
      <c r="A428" s="283">
        <v>354</v>
      </c>
      <c r="F428" s="125"/>
      <c r="H428" s="36"/>
      <c r="M428" s="162"/>
      <c r="R428" s="267"/>
      <c r="S428" s="260"/>
      <c r="AA428" s="66"/>
      <c r="AF428" s="162"/>
      <c r="AG428" s="244"/>
      <c r="AH428" s="360"/>
      <c r="AI428" s="360"/>
      <c r="AJ428" s="360"/>
      <c r="AK428" s="360"/>
      <c r="AL428" s="105"/>
      <c r="AN428" s="66"/>
      <c r="AO428" s="66"/>
      <c r="AP428" s="66"/>
    </row>
    <row r="429" spans="1:42" hidden="1" x14ac:dyDescent="0.2">
      <c r="A429" s="283">
        <v>355</v>
      </c>
      <c r="F429" s="125"/>
      <c r="H429" s="36"/>
      <c r="M429" s="162"/>
      <c r="R429" s="267"/>
      <c r="S429" s="260"/>
      <c r="AA429" s="66"/>
      <c r="AF429" s="162"/>
      <c r="AG429" s="244"/>
      <c r="AH429" s="360"/>
      <c r="AI429" s="360"/>
      <c r="AJ429" s="360"/>
      <c r="AK429" s="360"/>
      <c r="AL429" s="105"/>
      <c r="AN429" s="66"/>
      <c r="AO429" s="66"/>
      <c r="AP429" s="66"/>
    </row>
    <row r="430" spans="1:42" hidden="1" x14ac:dyDescent="0.2">
      <c r="A430" s="283">
        <v>356</v>
      </c>
      <c r="F430" s="125"/>
      <c r="H430" s="36"/>
      <c r="M430" s="162"/>
      <c r="R430" s="267"/>
      <c r="S430" s="260"/>
      <c r="AA430" s="66"/>
      <c r="AF430" s="162"/>
      <c r="AG430" s="244"/>
      <c r="AH430" s="360"/>
      <c r="AI430" s="360"/>
      <c r="AJ430" s="360"/>
      <c r="AK430" s="360"/>
      <c r="AL430" s="105"/>
      <c r="AN430" s="66"/>
      <c r="AO430" s="66"/>
      <c r="AP430" s="66"/>
    </row>
    <row r="431" spans="1:42" hidden="1" x14ac:dyDescent="0.2">
      <c r="A431" s="283">
        <v>357</v>
      </c>
      <c r="F431" s="125"/>
      <c r="H431" s="36"/>
      <c r="M431" s="162"/>
      <c r="R431" s="267"/>
      <c r="S431" s="260"/>
      <c r="AA431" s="66"/>
      <c r="AF431" s="162"/>
      <c r="AG431" s="244"/>
      <c r="AH431" s="360"/>
      <c r="AI431" s="360"/>
      <c r="AJ431" s="360"/>
      <c r="AK431" s="360"/>
      <c r="AL431" s="105"/>
      <c r="AN431" s="66"/>
      <c r="AO431" s="66"/>
      <c r="AP431" s="66"/>
    </row>
    <row r="432" spans="1:42" hidden="1" x14ac:dyDescent="0.2">
      <c r="A432" s="283">
        <v>358</v>
      </c>
      <c r="F432" s="125"/>
      <c r="H432" s="36"/>
      <c r="M432" s="162"/>
      <c r="R432" s="267"/>
      <c r="S432" s="260"/>
      <c r="AA432" s="66"/>
      <c r="AF432" s="162"/>
      <c r="AG432" s="244"/>
      <c r="AH432" s="360"/>
      <c r="AI432" s="360"/>
      <c r="AJ432" s="360"/>
      <c r="AK432" s="360"/>
      <c r="AL432" s="105"/>
      <c r="AN432" s="66"/>
      <c r="AO432" s="66"/>
      <c r="AP432" s="66"/>
    </row>
    <row r="433" spans="1:42" hidden="1" x14ac:dyDescent="0.2">
      <c r="A433" s="283">
        <v>359</v>
      </c>
      <c r="F433" s="125"/>
      <c r="H433" s="36"/>
      <c r="M433" s="162"/>
      <c r="R433" s="267"/>
      <c r="S433" s="260"/>
      <c r="AA433" s="66"/>
      <c r="AF433" s="162"/>
      <c r="AG433" s="244"/>
      <c r="AH433" s="360"/>
      <c r="AI433" s="360"/>
      <c r="AJ433" s="360"/>
      <c r="AK433" s="360"/>
      <c r="AL433" s="105"/>
      <c r="AN433" s="66"/>
      <c r="AO433" s="66"/>
      <c r="AP433" s="66"/>
    </row>
    <row r="434" spans="1:42" hidden="1" x14ac:dyDescent="0.2">
      <c r="A434" s="283">
        <v>360</v>
      </c>
      <c r="F434" s="125"/>
      <c r="H434" s="36"/>
      <c r="M434" s="162"/>
      <c r="R434" s="267"/>
      <c r="S434" s="260"/>
      <c r="AA434" s="66"/>
      <c r="AF434" s="162"/>
      <c r="AG434" s="244"/>
      <c r="AH434" s="360"/>
      <c r="AI434" s="360"/>
      <c r="AJ434" s="360"/>
      <c r="AK434" s="360"/>
      <c r="AL434" s="105"/>
      <c r="AN434" s="66"/>
      <c r="AO434" s="66"/>
      <c r="AP434" s="66"/>
    </row>
    <row r="435" spans="1:42" hidden="1" x14ac:dyDescent="0.2">
      <c r="A435" s="283">
        <v>361</v>
      </c>
      <c r="F435" s="125"/>
      <c r="H435" s="36"/>
      <c r="M435" s="162"/>
      <c r="R435" s="267"/>
      <c r="S435" s="260"/>
      <c r="AA435" s="66"/>
      <c r="AF435" s="162"/>
      <c r="AG435" s="244"/>
      <c r="AH435" s="360"/>
      <c r="AI435" s="360"/>
      <c r="AJ435" s="360"/>
      <c r="AK435" s="360"/>
      <c r="AL435" s="105"/>
      <c r="AN435" s="66"/>
      <c r="AO435" s="66"/>
      <c r="AP435" s="66"/>
    </row>
    <row r="436" spans="1:42" hidden="1" x14ac:dyDescent="0.2">
      <c r="A436" s="283">
        <v>362</v>
      </c>
      <c r="F436" s="125"/>
      <c r="H436" s="36"/>
      <c r="M436" s="162"/>
      <c r="R436" s="267"/>
      <c r="S436" s="260"/>
      <c r="AA436" s="66"/>
      <c r="AF436" s="162"/>
      <c r="AG436" s="244"/>
      <c r="AH436" s="360"/>
      <c r="AI436" s="360"/>
      <c r="AJ436" s="360"/>
      <c r="AK436" s="360"/>
      <c r="AL436" s="105"/>
      <c r="AN436" s="66"/>
      <c r="AO436" s="66"/>
      <c r="AP436" s="66"/>
    </row>
    <row r="437" spans="1:42" hidden="1" x14ac:dyDescent="0.2">
      <c r="A437" s="283">
        <v>363</v>
      </c>
      <c r="F437" s="125"/>
      <c r="H437" s="36"/>
      <c r="M437" s="162"/>
      <c r="R437" s="267"/>
      <c r="S437" s="260"/>
      <c r="AA437" s="66"/>
      <c r="AF437" s="162"/>
      <c r="AG437" s="244"/>
      <c r="AH437" s="360"/>
      <c r="AI437" s="360"/>
      <c r="AJ437" s="360"/>
      <c r="AK437" s="360"/>
      <c r="AL437" s="105"/>
      <c r="AN437" s="66"/>
      <c r="AO437" s="66"/>
      <c r="AP437" s="66"/>
    </row>
    <row r="438" spans="1:42" hidden="1" x14ac:dyDescent="0.2">
      <c r="A438" s="283">
        <v>364</v>
      </c>
      <c r="F438" s="125"/>
      <c r="H438" s="36"/>
      <c r="M438" s="162"/>
      <c r="R438" s="267"/>
      <c r="S438" s="260"/>
      <c r="AA438" s="66"/>
      <c r="AF438" s="162"/>
      <c r="AG438" s="244"/>
      <c r="AH438" s="360"/>
      <c r="AI438" s="360"/>
      <c r="AJ438" s="360"/>
      <c r="AK438" s="360"/>
      <c r="AL438" s="105"/>
      <c r="AN438" s="66"/>
      <c r="AO438" s="66"/>
      <c r="AP438" s="66"/>
    </row>
    <row r="439" spans="1:42" hidden="1" x14ac:dyDescent="0.2">
      <c r="A439" s="283">
        <v>365</v>
      </c>
      <c r="F439" s="125"/>
      <c r="H439" s="36"/>
      <c r="M439" s="162"/>
      <c r="R439" s="267"/>
      <c r="S439" s="260"/>
      <c r="AA439" s="66"/>
      <c r="AF439" s="162"/>
      <c r="AG439" s="244"/>
      <c r="AH439" s="360"/>
      <c r="AI439" s="360"/>
      <c r="AJ439" s="360"/>
      <c r="AK439" s="360"/>
      <c r="AL439" s="105"/>
      <c r="AN439" s="66"/>
      <c r="AO439" s="66"/>
      <c r="AP439" s="66"/>
    </row>
    <row r="440" spans="1:42" hidden="1" x14ac:dyDescent="0.2">
      <c r="A440" s="283">
        <v>366</v>
      </c>
      <c r="F440" s="125"/>
      <c r="H440" s="36"/>
      <c r="M440" s="162"/>
      <c r="R440" s="267"/>
      <c r="S440" s="260"/>
      <c r="AA440" s="66"/>
      <c r="AF440" s="162"/>
      <c r="AG440" s="244"/>
      <c r="AH440" s="360"/>
      <c r="AI440" s="360"/>
      <c r="AJ440" s="360"/>
      <c r="AK440" s="360"/>
      <c r="AL440" s="105"/>
      <c r="AN440" s="66"/>
      <c r="AO440" s="66"/>
      <c r="AP440" s="66"/>
    </row>
    <row r="441" spans="1:42" hidden="1" x14ac:dyDescent="0.2">
      <c r="A441" s="283">
        <v>367</v>
      </c>
      <c r="F441" s="125"/>
      <c r="H441" s="36"/>
      <c r="M441" s="162"/>
      <c r="R441" s="267"/>
      <c r="S441" s="260"/>
      <c r="AA441" s="66"/>
      <c r="AF441" s="162"/>
      <c r="AG441" s="244"/>
      <c r="AH441" s="360"/>
      <c r="AI441" s="360"/>
      <c r="AJ441" s="360"/>
      <c r="AK441" s="360"/>
      <c r="AL441" s="105"/>
      <c r="AN441" s="66"/>
      <c r="AO441" s="66"/>
      <c r="AP441" s="66"/>
    </row>
    <row r="442" spans="1:42" hidden="1" x14ac:dyDescent="0.2">
      <c r="A442" s="283">
        <v>368</v>
      </c>
      <c r="F442" s="125"/>
      <c r="H442" s="36"/>
      <c r="M442" s="162"/>
      <c r="R442" s="267"/>
      <c r="S442" s="260"/>
      <c r="AA442" s="66"/>
      <c r="AF442" s="162"/>
      <c r="AG442" s="244"/>
      <c r="AH442" s="360"/>
      <c r="AI442" s="360"/>
      <c r="AJ442" s="360"/>
      <c r="AK442" s="360"/>
      <c r="AL442" s="105"/>
      <c r="AN442" s="66"/>
      <c r="AO442" s="66"/>
      <c r="AP442" s="66"/>
    </row>
    <row r="443" spans="1:42" hidden="1" x14ac:dyDescent="0.2">
      <c r="A443" s="283">
        <v>369</v>
      </c>
      <c r="F443" s="125"/>
      <c r="H443" s="36"/>
      <c r="M443" s="162"/>
      <c r="R443" s="267"/>
      <c r="S443" s="260"/>
      <c r="AA443" s="66"/>
      <c r="AF443" s="162"/>
      <c r="AG443" s="244"/>
      <c r="AH443" s="360"/>
      <c r="AI443" s="360"/>
      <c r="AJ443" s="360"/>
      <c r="AK443" s="360"/>
      <c r="AL443" s="105"/>
      <c r="AN443" s="66"/>
      <c r="AO443" s="66"/>
      <c r="AP443" s="66"/>
    </row>
    <row r="444" spans="1:42" hidden="1" x14ac:dyDescent="0.2">
      <c r="A444" s="283">
        <v>370</v>
      </c>
      <c r="F444" s="125"/>
      <c r="H444" s="36"/>
      <c r="M444" s="162"/>
      <c r="R444" s="267"/>
      <c r="S444" s="260"/>
      <c r="AA444" s="66"/>
      <c r="AF444" s="162"/>
      <c r="AG444" s="244"/>
      <c r="AH444" s="360"/>
      <c r="AI444" s="360"/>
      <c r="AJ444" s="360"/>
      <c r="AK444" s="360"/>
      <c r="AL444" s="105"/>
      <c r="AN444" s="66"/>
      <c r="AO444" s="66"/>
      <c r="AP444" s="66"/>
    </row>
    <row r="445" spans="1:42" hidden="1" x14ac:dyDescent="0.2">
      <c r="A445" s="283">
        <v>371</v>
      </c>
      <c r="F445" s="125"/>
      <c r="H445" s="36"/>
      <c r="M445" s="162"/>
      <c r="R445" s="267"/>
      <c r="S445" s="260"/>
      <c r="AA445" s="66"/>
      <c r="AF445" s="162"/>
      <c r="AG445" s="244"/>
      <c r="AH445" s="360"/>
      <c r="AI445" s="360"/>
      <c r="AJ445" s="360"/>
      <c r="AK445" s="360"/>
      <c r="AL445" s="105"/>
      <c r="AN445" s="66"/>
      <c r="AO445" s="66"/>
      <c r="AP445" s="66"/>
    </row>
    <row r="446" spans="1:42" hidden="1" x14ac:dyDescent="0.2">
      <c r="A446" s="283">
        <v>372</v>
      </c>
      <c r="F446" s="125"/>
      <c r="H446" s="36"/>
      <c r="M446" s="162"/>
      <c r="R446" s="267"/>
      <c r="S446" s="260"/>
      <c r="AA446" s="66"/>
      <c r="AF446" s="162"/>
      <c r="AG446" s="244"/>
      <c r="AH446" s="360"/>
      <c r="AI446" s="360"/>
      <c r="AJ446" s="360"/>
      <c r="AK446" s="360"/>
      <c r="AL446" s="105"/>
      <c r="AN446" s="66"/>
      <c r="AO446" s="66"/>
      <c r="AP446" s="66"/>
    </row>
    <row r="447" spans="1:42" hidden="1" x14ac:dyDescent="0.2">
      <c r="A447" s="283">
        <v>373</v>
      </c>
      <c r="F447" s="125"/>
      <c r="H447" s="36"/>
      <c r="M447" s="162"/>
      <c r="R447" s="267"/>
      <c r="S447" s="260"/>
      <c r="AA447" s="66"/>
      <c r="AF447" s="162"/>
      <c r="AG447" s="244"/>
      <c r="AH447" s="360"/>
      <c r="AI447" s="360"/>
      <c r="AJ447" s="360"/>
      <c r="AK447" s="360"/>
      <c r="AL447" s="105"/>
      <c r="AN447" s="66"/>
      <c r="AO447" s="66"/>
      <c r="AP447" s="66"/>
    </row>
    <row r="448" spans="1:42" hidden="1" x14ac:dyDescent="0.2">
      <c r="A448" s="283">
        <v>374</v>
      </c>
      <c r="F448" s="125"/>
      <c r="H448" s="36"/>
      <c r="M448" s="162"/>
      <c r="R448" s="267"/>
      <c r="S448" s="260"/>
      <c r="AA448" s="66"/>
      <c r="AF448" s="162"/>
      <c r="AG448" s="244"/>
      <c r="AH448" s="360"/>
      <c r="AI448" s="360"/>
      <c r="AJ448" s="360"/>
      <c r="AK448" s="360"/>
      <c r="AL448" s="105"/>
      <c r="AN448" s="66"/>
      <c r="AO448" s="66"/>
      <c r="AP448" s="66"/>
    </row>
    <row r="449" spans="1:42" hidden="1" x14ac:dyDescent="0.2">
      <c r="A449" s="283">
        <v>375</v>
      </c>
      <c r="F449" s="125"/>
      <c r="H449" s="36"/>
      <c r="M449" s="162"/>
      <c r="R449" s="267"/>
      <c r="S449" s="260"/>
      <c r="AA449" s="66"/>
      <c r="AF449" s="162"/>
      <c r="AG449" s="244"/>
      <c r="AH449" s="360"/>
      <c r="AI449" s="360"/>
      <c r="AJ449" s="360"/>
      <c r="AK449" s="360"/>
      <c r="AL449" s="105"/>
      <c r="AN449" s="66"/>
      <c r="AO449" s="66"/>
      <c r="AP449" s="66"/>
    </row>
    <row r="450" spans="1:42" hidden="1" x14ac:dyDescent="0.2">
      <c r="A450" s="283">
        <v>376</v>
      </c>
      <c r="F450" s="125"/>
      <c r="H450" s="36"/>
      <c r="M450" s="162"/>
      <c r="R450" s="267"/>
      <c r="S450" s="260"/>
      <c r="AA450" s="66"/>
      <c r="AF450" s="162"/>
      <c r="AG450" s="244"/>
      <c r="AH450" s="360"/>
      <c r="AI450" s="360"/>
      <c r="AJ450" s="360"/>
      <c r="AK450" s="360"/>
      <c r="AL450" s="105"/>
      <c r="AN450" s="66"/>
      <c r="AO450" s="66"/>
      <c r="AP450" s="66"/>
    </row>
    <row r="451" spans="1:42" hidden="1" x14ac:dyDescent="0.2">
      <c r="A451" s="283">
        <v>377</v>
      </c>
      <c r="F451" s="125"/>
      <c r="H451" s="36"/>
      <c r="M451" s="162"/>
      <c r="R451" s="267"/>
      <c r="S451" s="260"/>
      <c r="AA451" s="66"/>
      <c r="AF451" s="162"/>
      <c r="AG451" s="244"/>
      <c r="AH451" s="360"/>
      <c r="AI451" s="360"/>
      <c r="AJ451" s="360"/>
      <c r="AK451" s="360"/>
      <c r="AL451" s="105"/>
      <c r="AN451" s="66"/>
      <c r="AO451" s="66"/>
      <c r="AP451" s="66"/>
    </row>
    <row r="452" spans="1:42" hidden="1" x14ac:dyDescent="0.2">
      <c r="A452" s="283">
        <v>378</v>
      </c>
      <c r="F452" s="125"/>
      <c r="H452" s="36"/>
      <c r="M452" s="162"/>
      <c r="R452" s="267"/>
      <c r="S452" s="260"/>
      <c r="AA452" s="66"/>
      <c r="AF452" s="162"/>
      <c r="AG452" s="244"/>
      <c r="AH452" s="360"/>
      <c r="AI452" s="360"/>
      <c r="AJ452" s="360"/>
      <c r="AK452" s="360"/>
      <c r="AL452" s="105"/>
      <c r="AN452" s="66"/>
      <c r="AO452" s="66"/>
      <c r="AP452" s="66"/>
    </row>
    <row r="453" spans="1:42" hidden="1" x14ac:dyDescent="0.2">
      <c r="A453" s="283">
        <v>379</v>
      </c>
      <c r="F453" s="125"/>
      <c r="H453" s="36"/>
      <c r="M453" s="162"/>
      <c r="R453" s="267"/>
      <c r="S453" s="260"/>
      <c r="AA453" s="66"/>
      <c r="AF453" s="162"/>
      <c r="AG453" s="244"/>
      <c r="AH453" s="360"/>
      <c r="AI453" s="360"/>
      <c r="AJ453" s="360"/>
      <c r="AK453" s="360"/>
      <c r="AL453" s="105"/>
      <c r="AN453" s="66"/>
      <c r="AO453" s="66"/>
      <c r="AP453" s="66"/>
    </row>
    <row r="454" spans="1:42" hidden="1" x14ac:dyDescent="0.2">
      <c r="A454" s="283">
        <v>380</v>
      </c>
      <c r="F454" s="125"/>
      <c r="H454" s="36"/>
      <c r="M454" s="162"/>
      <c r="R454" s="267"/>
      <c r="S454" s="260"/>
      <c r="AA454" s="66"/>
      <c r="AF454" s="162"/>
      <c r="AG454" s="244"/>
      <c r="AH454" s="360"/>
      <c r="AI454" s="360"/>
      <c r="AJ454" s="360"/>
      <c r="AK454" s="360"/>
      <c r="AL454" s="105"/>
      <c r="AN454" s="66"/>
      <c r="AO454" s="66"/>
      <c r="AP454" s="66"/>
    </row>
    <row r="455" spans="1:42" hidden="1" x14ac:dyDescent="0.2">
      <c r="A455" s="283">
        <v>381</v>
      </c>
      <c r="F455" s="125"/>
      <c r="H455" s="36"/>
      <c r="M455" s="162"/>
      <c r="R455" s="267"/>
      <c r="S455" s="260"/>
      <c r="AA455" s="66"/>
      <c r="AF455" s="162"/>
      <c r="AG455" s="244"/>
      <c r="AH455" s="360"/>
      <c r="AI455" s="360"/>
      <c r="AJ455" s="360"/>
      <c r="AK455" s="360"/>
      <c r="AL455" s="105"/>
      <c r="AN455" s="66"/>
      <c r="AO455" s="66"/>
      <c r="AP455" s="66"/>
    </row>
    <row r="456" spans="1:42" hidden="1" x14ac:dyDescent="0.2">
      <c r="A456" s="283">
        <v>382</v>
      </c>
      <c r="F456" s="125"/>
      <c r="H456" s="36"/>
      <c r="M456" s="162"/>
      <c r="R456" s="267"/>
      <c r="S456" s="260"/>
      <c r="AA456" s="66"/>
      <c r="AF456" s="162"/>
      <c r="AG456" s="244"/>
      <c r="AH456" s="360"/>
      <c r="AI456" s="360"/>
      <c r="AJ456" s="360"/>
      <c r="AK456" s="360"/>
      <c r="AL456" s="105"/>
      <c r="AN456" s="66"/>
      <c r="AO456" s="66"/>
      <c r="AP456" s="66"/>
    </row>
    <row r="457" spans="1:42" hidden="1" x14ac:dyDescent="0.2">
      <c r="A457" s="283">
        <v>383</v>
      </c>
      <c r="F457" s="125"/>
      <c r="H457" s="36"/>
      <c r="M457" s="162"/>
      <c r="R457" s="267"/>
      <c r="S457" s="260"/>
      <c r="AA457" s="66"/>
      <c r="AF457" s="162"/>
      <c r="AG457" s="244"/>
      <c r="AH457" s="360"/>
      <c r="AI457" s="360"/>
      <c r="AJ457" s="360"/>
      <c r="AK457" s="360"/>
      <c r="AL457" s="105"/>
      <c r="AN457" s="66"/>
      <c r="AO457" s="66"/>
      <c r="AP457" s="66"/>
    </row>
    <row r="458" spans="1:42" hidden="1" x14ac:dyDescent="0.2">
      <c r="A458" s="283">
        <v>384</v>
      </c>
      <c r="F458" s="125"/>
      <c r="H458" s="36"/>
      <c r="M458" s="162"/>
      <c r="R458" s="267"/>
      <c r="S458" s="260"/>
      <c r="AA458" s="66"/>
      <c r="AF458" s="162"/>
      <c r="AG458" s="244"/>
      <c r="AH458" s="360"/>
      <c r="AI458" s="360"/>
      <c r="AJ458" s="360"/>
      <c r="AK458" s="360"/>
      <c r="AL458" s="105"/>
      <c r="AN458" s="66"/>
      <c r="AO458" s="66"/>
      <c r="AP458" s="66"/>
    </row>
    <row r="459" spans="1:42" hidden="1" x14ac:dyDescent="0.2">
      <c r="A459" s="283">
        <v>385</v>
      </c>
      <c r="F459" s="125"/>
      <c r="H459" s="36"/>
      <c r="M459" s="162"/>
      <c r="R459" s="267"/>
      <c r="S459" s="260"/>
      <c r="AA459" s="66"/>
      <c r="AF459" s="162"/>
      <c r="AG459" s="244"/>
      <c r="AH459" s="360"/>
      <c r="AI459" s="360"/>
      <c r="AJ459" s="360"/>
      <c r="AK459" s="360"/>
      <c r="AL459" s="105"/>
      <c r="AN459" s="66"/>
      <c r="AO459" s="66"/>
      <c r="AP459" s="66"/>
    </row>
    <row r="460" spans="1:42" hidden="1" x14ac:dyDescent="0.2">
      <c r="A460" s="283">
        <v>386</v>
      </c>
      <c r="F460" s="125"/>
      <c r="H460" s="36"/>
      <c r="M460" s="162"/>
      <c r="R460" s="267"/>
      <c r="S460" s="260"/>
      <c r="AA460" s="66"/>
      <c r="AF460" s="162"/>
      <c r="AG460" s="244"/>
      <c r="AH460" s="360"/>
      <c r="AI460" s="360"/>
      <c r="AJ460" s="360"/>
      <c r="AK460" s="360"/>
      <c r="AL460" s="105"/>
      <c r="AN460" s="66"/>
      <c r="AO460" s="66"/>
      <c r="AP460" s="66"/>
    </row>
    <row r="461" spans="1:42" hidden="1" x14ac:dyDescent="0.2">
      <c r="A461" s="283">
        <v>387</v>
      </c>
      <c r="F461" s="125"/>
      <c r="H461" s="36"/>
      <c r="M461" s="162"/>
      <c r="R461" s="267"/>
      <c r="S461" s="260"/>
      <c r="AA461" s="66"/>
      <c r="AF461" s="162"/>
      <c r="AG461" s="244"/>
      <c r="AH461" s="360"/>
      <c r="AI461" s="360"/>
      <c r="AJ461" s="360"/>
      <c r="AK461" s="360"/>
      <c r="AL461" s="105"/>
      <c r="AN461" s="66"/>
      <c r="AO461" s="66"/>
      <c r="AP461" s="66"/>
    </row>
    <row r="462" spans="1:42" hidden="1" x14ac:dyDescent="0.2">
      <c r="A462" s="283">
        <v>388</v>
      </c>
      <c r="F462" s="125"/>
      <c r="H462" s="36"/>
      <c r="M462" s="162"/>
      <c r="R462" s="267"/>
      <c r="S462" s="260"/>
      <c r="AA462" s="66"/>
      <c r="AF462" s="162"/>
      <c r="AG462" s="244"/>
      <c r="AH462" s="360"/>
      <c r="AI462" s="360"/>
      <c r="AJ462" s="360"/>
      <c r="AK462" s="360"/>
      <c r="AL462" s="105"/>
      <c r="AN462" s="66"/>
      <c r="AO462" s="66"/>
      <c r="AP462" s="66"/>
    </row>
    <row r="463" spans="1:42" hidden="1" x14ac:dyDescent="0.2">
      <c r="A463" s="283">
        <v>389</v>
      </c>
      <c r="F463" s="125"/>
      <c r="H463" s="36"/>
      <c r="M463" s="162"/>
      <c r="R463" s="267"/>
      <c r="S463" s="260"/>
      <c r="AA463" s="66"/>
      <c r="AF463" s="162"/>
      <c r="AG463" s="244"/>
      <c r="AH463" s="360"/>
      <c r="AI463" s="360"/>
      <c r="AJ463" s="360"/>
      <c r="AK463" s="360"/>
      <c r="AL463" s="105"/>
      <c r="AN463" s="66"/>
      <c r="AO463" s="66"/>
      <c r="AP463" s="66"/>
    </row>
    <row r="464" spans="1:42" hidden="1" x14ac:dyDescent="0.2">
      <c r="A464" s="283">
        <v>390</v>
      </c>
      <c r="F464" s="125"/>
      <c r="H464" s="36"/>
      <c r="M464" s="162"/>
      <c r="R464" s="267"/>
      <c r="S464" s="260"/>
      <c r="AA464" s="66"/>
      <c r="AF464" s="162"/>
      <c r="AG464" s="244"/>
      <c r="AH464" s="360"/>
      <c r="AI464" s="360"/>
      <c r="AJ464" s="360"/>
      <c r="AK464" s="360"/>
      <c r="AL464" s="105"/>
      <c r="AN464" s="66"/>
      <c r="AO464" s="66"/>
      <c r="AP464" s="66"/>
    </row>
    <row r="465" spans="1:42" hidden="1" x14ac:dyDescent="0.2">
      <c r="A465" s="283">
        <v>391</v>
      </c>
      <c r="F465" s="125"/>
      <c r="H465" s="36"/>
      <c r="M465" s="162"/>
      <c r="R465" s="267"/>
      <c r="S465" s="260"/>
      <c r="AA465" s="66"/>
      <c r="AF465" s="162"/>
      <c r="AG465" s="244"/>
      <c r="AH465" s="360"/>
      <c r="AI465" s="360"/>
      <c r="AJ465" s="360"/>
      <c r="AK465" s="360"/>
      <c r="AL465" s="105"/>
      <c r="AN465" s="66"/>
      <c r="AO465" s="66"/>
      <c r="AP465" s="66"/>
    </row>
    <row r="466" spans="1:42" hidden="1" x14ac:dyDescent="0.2">
      <c r="A466" s="283">
        <v>392</v>
      </c>
      <c r="F466" s="125"/>
      <c r="H466" s="36"/>
      <c r="M466" s="162"/>
      <c r="R466" s="267"/>
      <c r="S466" s="260"/>
      <c r="AA466" s="66"/>
      <c r="AF466" s="162"/>
      <c r="AG466" s="244"/>
      <c r="AH466" s="360"/>
      <c r="AI466" s="360"/>
      <c r="AJ466" s="360"/>
      <c r="AK466" s="360"/>
      <c r="AL466" s="105"/>
      <c r="AN466" s="66"/>
      <c r="AO466" s="66"/>
      <c r="AP466" s="66"/>
    </row>
    <row r="467" spans="1:42" hidden="1" x14ac:dyDescent="0.2">
      <c r="A467" s="283">
        <v>393</v>
      </c>
      <c r="F467" s="125"/>
      <c r="H467" s="36"/>
      <c r="M467" s="162"/>
      <c r="R467" s="267"/>
      <c r="S467" s="260"/>
      <c r="AA467" s="66"/>
      <c r="AF467" s="162"/>
      <c r="AG467" s="244"/>
      <c r="AH467" s="360"/>
      <c r="AI467" s="360"/>
      <c r="AJ467" s="360"/>
      <c r="AK467" s="360"/>
      <c r="AL467" s="105"/>
      <c r="AN467" s="66"/>
      <c r="AO467" s="66"/>
      <c r="AP467" s="66"/>
    </row>
    <row r="468" spans="1:42" hidden="1" x14ac:dyDescent="0.2">
      <c r="A468" s="283">
        <v>394</v>
      </c>
      <c r="F468" s="125"/>
      <c r="H468" s="36"/>
      <c r="M468" s="162"/>
      <c r="R468" s="267"/>
      <c r="S468" s="260"/>
      <c r="AA468" s="66"/>
      <c r="AF468" s="162"/>
      <c r="AG468" s="244"/>
      <c r="AH468" s="360"/>
      <c r="AI468" s="360"/>
      <c r="AJ468" s="360"/>
      <c r="AK468" s="360"/>
      <c r="AL468" s="105"/>
      <c r="AN468" s="66"/>
      <c r="AO468" s="66"/>
      <c r="AP468" s="66"/>
    </row>
    <row r="469" spans="1:42" hidden="1" x14ac:dyDescent="0.2">
      <c r="A469" s="283">
        <v>395</v>
      </c>
      <c r="F469" s="125"/>
      <c r="H469" s="36"/>
      <c r="M469" s="162"/>
      <c r="R469" s="267"/>
      <c r="S469" s="260"/>
      <c r="AA469" s="66"/>
      <c r="AF469" s="162"/>
      <c r="AG469" s="244"/>
      <c r="AH469" s="360"/>
      <c r="AI469" s="360"/>
      <c r="AJ469" s="360"/>
      <c r="AK469" s="360"/>
      <c r="AL469" s="105"/>
      <c r="AN469" s="66"/>
      <c r="AO469" s="66"/>
      <c r="AP469" s="66"/>
    </row>
    <row r="470" spans="1:42" hidden="1" x14ac:dyDescent="0.2">
      <c r="A470" s="283">
        <v>396</v>
      </c>
      <c r="F470" s="125"/>
      <c r="H470" s="36"/>
      <c r="M470" s="162"/>
      <c r="R470" s="267"/>
      <c r="S470" s="260"/>
      <c r="AA470" s="66"/>
      <c r="AF470" s="162"/>
      <c r="AG470" s="244"/>
      <c r="AH470" s="360"/>
      <c r="AI470" s="360"/>
      <c r="AJ470" s="360"/>
      <c r="AK470" s="360"/>
      <c r="AL470" s="105"/>
      <c r="AN470" s="66"/>
      <c r="AO470" s="66"/>
      <c r="AP470" s="66"/>
    </row>
    <row r="471" spans="1:42" hidden="1" x14ac:dyDescent="0.2">
      <c r="A471" s="283">
        <v>397</v>
      </c>
      <c r="F471" s="125"/>
      <c r="H471" s="36"/>
      <c r="M471" s="162"/>
      <c r="R471" s="267"/>
      <c r="S471" s="260"/>
      <c r="AA471" s="66"/>
      <c r="AF471" s="162"/>
      <c r="AG471" s="244"/>
      <c r="AH471" s="360"/>
      <c r="AI471" s="360"/>
      <c r="AJ471" s="360"/>
      <c r="AK471" s="360"/>
      <c r="AL471" s="105"/>
      <c r="AN471" s="66"/>
      <c r="AO471" s="66"/>
      <c r="AP471" s="66"/>
    </row>
    <row r="472" spans="1:42" hidden="1" x14ac:dyDescent="0.2">
      <c r="A472" s="283">
        <v>398</v>
      </c>
      <c r="F472" s="125"/>
      <c r="H472" s="36"/>
      <c r="M472" s="162"/>
      <c r="R472" s="267"/>
      <c r="S472" s="260"/>
      <c r="AA472" s="66"/>
      <c r="AF472" s="162"/>
      <c r="AG472" s="244"/>
      <c r="AH472" s="360"/>
      <c r="AI472" s="360"/>
      <c r="AJ472" s="360"/>
      <c r="AK472" s="360"/>
      <c r="AL472" s="105"/>
      <c r="AN472" s="66"/>
      <c r="AO472" s="66"/>
      <c r="AP472" s="66"/>
    </row>
    <row r="473" spans="1:42" hidden="1" x14ac:dyDescent="0.2">
      <c r="A473" s="283">
        <v>399</v>
      </c>
      <c r="F473" s="125"/>
      <c r="H473" s="36"/>
      <c r="M473" s="162"/>
      <c r="R473" s="267"/>
      <c r="S473" s="260"/>
      <c r="AA473" s="66"/>
      <c r="AF473" s="162"/>
      <c r="AG473" s="244"/>
      <c r="AH473" s="360"/>
      <c r="AI473" s="360"/>
      <c r="AJ473" s="360"/>
      <c r="AK473" s="360"/>
      <c r="AL473" s="105"/>
      <c r="AN473" s="66"/>
      <c r="AO473" s="66"/>
      <c r="AP473" s="66"/>
    </row>
    <row r="474" spans="1:42" hidden="1" x14ac:dyDescent="0.2">
      <c r="A474" s="283">
        <v>400</v>
      </c>
      <c r="F474" s="125"/>
      <c r="H474" s="36"/>
      <c r="M474" s="162"/>
      <c r="R474" s="267"/>
      <c r="S474" s="260"/>
      <c r="AA474" s="66"/>
      <c r="AF474" s="162"/>
      <c r="AG474" s="244"/>
      <c r="AH474" s="360"/>
      <c r="AI474" s="360"/>
      <c r="AJ474" s="360"/>
      <c r="AK474" s="360"/>
      <c r="AL474" s="105"/>
      <c r="AN474" s="66"/>
      <c r="AO474" s="66"/>
      <c r="AP474" s="66"/>
    </row>
    <row r="475" spans="1:42" hidden="1" x14ac:dyDescent="0.2">
      <c r="A475" s="283">
        <v>401</v>
      </c>
      <c r="F475" s="125"/>
      <c r="H475" s="36"/>
      <c r="M475" s="162"/>
      <c r="R475" s="267"/>
      <c r="S475" s="260"/>
      <c r="AA475" s="66"/>
      <c r="AF475" s="162"/>
      <c r="AG475" s="244"/>
      <c r="AH475" s="360"/>
      <c r="AI475" s="360"/>
      <c r="AJ475" s="360"/>
      <c r="AK475" s="360"/>
      <c r="AL475" s="105"/>
      <c r="AN475" s="66"/>
      <c r="AO475" s="66"/>
      <c r="AP475" s="66"/>
    </row>
    <row r="476" spans="1:42" hidden="1" x14ac:dyDescent="0.2">
      <c r="A476" s="283">
        <v>402</v>
      </c>
      <c r="F476" s="125"/>
      <c r="H476" s="36"/>
      <c r="M476" s="162"/>
      <c r="R476" s="267"/>
      <c r="S476" s="260"/>
      <c r="AA476" s="66"/>
      <c r="AF476" s="162"/>
      <c r="AG476" s="244"/>
      <c r="AH476" s="360"/>
      <c r="AI476" s="360"/>
      <c r="AJ476" s="360"/>
      <c r="AK476" s="360"/>
      <c r="AL476" s="105"/>
      <c r="AN476" s="66"/>
      <c r="AO476" s="66"/>
      <c r="AP476" s="66"/>
    </row>
    <row r="477" spans="1:42" hidden="1" x14ac:dyDescent="0.2">
      <c r="A477" s="283">
        <v>403</v>
      </c>
      <c r="F477" s="125"/>
      <c r="H477" s="36"/>
      <c r="M477" s="162"/>
      <c r="R477" s="267"/>
      <c r="S477" s="260"/>
      <c r="AA477" s="66"/>
      <c r="AF477" s="162"/>
      <c r="AG477" s="244"/>
      <c r="AH477" s="360"/>
      <c r="AI477" s="360"/>
      <c r="AJ477" s="360"/>
      <c r="AK477" s="360"/>
      <c r="AL477" s="105"/>
      <c r="AN477" s="66"/>
      <c r="AO477" s="66"/>
      <c r="AP477" s="66"/>
    </row>
    <row r="478" spans="1:42" hidden="1" x14ac:dyDescent="0.2">
      <c r="A478" s="283">
        <v>404</v>
      </c>
      <c r="F478" s="125"/>
      <c r="H478" s="36"/>
      <c r="M478" s="162"/>
      <c r="R478" s="267"/>
      <c r="S478" s="260"/>
      <c r="AA478" s="66"/>
      <c r="AF478" s="162"/>
      <c r="AG478" s="244"/>
      <c r="AH478" s="360"/>
      <c r="AI478" s="360"/>
      <c r="AJ478" s="360"/>
      <c r="AK478" s="360"/>
      <c r="AL478" s="105"/>
      <c r="AN478" s="66"/>
      <c r="AO478" s="66"/>
      <c r="AP478" s="66"/>
    </row>
    <row r="479" spans="1:42" hidden="1" x14ac:dyDescent="0.2">
      <c r="A479" s="283">
        <v>405</v>
      </c>
      <c r="F479" s="125"/>
      <c r="H479" s="36"/>
      <c r="M479" s="162"/>
      <c r="R479" s="267"/>
      <c r="S479" s="260"/>
      <c r="AA479" s="66"/>
      <c r="AF479" s="162"/>
      <c r="AG479" s="244"/>
      <c r="AH479" s="360"/>
      <c r="AI479" s="360"/>
      <c r="AJ479" s="360"/>
      <c r="AK479" s="360"/>
      <c r="AL479" s="105"/>
      <c r="AN479" s="66"/>
      <c r="AO479" s="66"/>
      <c r="AP479" s="66"/>
    </row>
    <row r="480" spans="1:42" hidden="1" x14ac:dyDescent="0.2">
      <c r="A480" s="283">
        <v>406</v>
      </c>
      <c r="F480" s="125"/>
      <c r="H480" s="36"/>
      <c r="M480" s="162"/>
      <c r="R480" s="267"/>
      <c r="S480" s="260"/>
      <c r="AA480" s="66"/>
      <c r="AF480" s="162"/>
      <c r="AG480" s="244"/>
      <c r="AH480" s="360"/>
      <c r="AI480" s="360"/>
      <c r="AJ480" s="360"/>
      <c r="AK480" s="360"/>
      <c r="AL480" s="105"/>
      <c r="AN480" s="66"/>
      <c r="AO480" s="66"/>
      <c r="AP480" s="66"/>
    </row>
    <row r="481" spans="1:42" hidden="1" x14ac:dyDescent="0.2">
      <c r="A481" s="283">
        <v>407</v>
      </c>
      <c r="F481" s="125"/>
      <c r="H481" s="36"/>
      <c r="M481" s="162"/>
      <c r="R481" s="267"/>
      <c r="S481" s="260"/>
      <c r="AA481" s="66"/>
      <c r="AF481" s="162"/>
      <c r="AG481" s="244"/>
      <c r="AH481" s="360"/>
      <c r="AI481" s="360"/>
      <c r="AJ481" s="360"/>
      <c r="AK481" s="360"/>
      <c r="AL481" s="105"/>
      <c r="AN481" s="66"/>
      <c r="AO481" s="66"/>
      <c r="AP481" s="66"/>
    </row>
    <row r="482" spans="1:42" hidden="1" x14ac:dyDescent="0.2">
      <c r="A482" s="283">
        <v>408</v>
      </c>
      <c r="F482" s="125"/>
      <c r="H482" s="36"/>
      <c r="M482" s="162"/>
      <c r="R482" s="267"/>
      <c r="S482" s="260"/>
      <c r="AA482" s="66"/>
      <c r="AF482" s="162"/>
      <c r="AG482" s="244"/>
      <c r="AH482" s="360"/>
      <c r="AI482" s="360"/>
      <c r="AJ482" s="360"/>
      <c r="AK482" s="360"/>
      <c r="AL482" s="105"/>
      <c r="AN482" s="66"/>
      <c r="AO482" s="66"/>
      <c r="AP482" s="66"/>
    </row>
    <row r="483" spans="1:42" hidden="1" x14ac:dyDescent="0.2">
      <c r="A483" s="283">
        <v>409</v>
      </c>
      <c r="F483" s="125"/>
      <c r="H483" s="36"/>
      <c r="M483" s="162"/>
      <c r="R483" s="267"/>
      <c r="S483" s="260"/>
      <c r="AA483" s="66"/>
      <c r="AF483" s="162"/>
      <c r="AG483" s="244"/>
      <c r="AH483" s="360"/>
      <c r="AI483" s="360"/>
      <c r="AJ483" s="360"/>
      <c r="AK483" s="360"/>
      <c r="AL483" s="105"/>
      <c r="AN483" s="66"/>
      <c r="AO483" s="66"/>
      <c r="AP483" s="66"/>
    </row>
    <row r="484" spans="1:42" hidden="1" x14ac:dyDescent="0.2">
      <c r="A484" s="283">
        <v>410</v>
      </c>
      <c r="F484" s="125"/>
      <c r="H484" s="36"/>
      <c r="M484" s="162"/>
      <c r="R484" s="267"/>
      <c r="S484" s="260"/>
      <c r="AA484" s="66"/>
      <c r="AF484" s="162"/>
      <c r="AG484" s="244"/>
      <c r="AH484" s="360"/>
      <c r="AI484" s="360"/>
      <c r="AJ484" s="360"/>
      <c r="AK484" s="360"/>
      <c r="AL484" s="105"/>
      <c r="AN484" s="66"/>
      <c r="AO484" s="66"/>
      <c r="AP484" s="66"/>
    </row>
    <row r="485" spans="1:42" hidden="1" x14ac:dyDescent="0.2">
      <c r="A485" s="283">
        <v>411</v>
      </c>
      <c r="F485" s="125"/>
      <c r="H485" s="36"/>
      <c r="M485" s="162"/>
      <c r="R485" s="267"/>
      <c r="S485" s="260"/>
      <c r="AA485" s="66"/>
      <c r="AF485" s="162"/>
      <c r="AG485" s="244"/>
      <c r="AH485" s="360"/>
      <c r="AI485" s="360"/>
      <c r="AJ485" s="360"/>
      <c r="AK485" s="360"/>
      <c r="AL485" s="105"/>
      <c r="AN485" s="66"/>
      <c r="AO485" s="66"/>
      <c r="AP485" s="66"/>
    </row>
    <row r="486" spans="1:42" hidden="1" x14ac:dyDescent="0.2">
      <c r="A486" s="283">
        <v>412</v>
      </c>
      <c r="F486" s="125"/>
      <c r="H486" s="36"/>
      <c r="M486" s="162"/>
      <c r="R486" s="267"/>
      <c r="S486" s="260"/>
      <c r="AA486" s="66"/>
      <c r="AF486" s="162"/>
      <c r="AG486" s="244"/>
      <c r="AH486" s="360"/>
      <c r="AI486" s="360"/>
      <c r="AJ486" s="360"/>
      <c r="AK486" s="360"/>
      <c r="AL486" s="105"/>
      <c r="AN486" s="66"/>
      <c r="AO486" s="66"/>
      <c r="AP486" s="66"/>
    </row>
    <row r="487" spans="1:42" hidden="1" x14ac:dyDescent="0.2">
      <c r="A487" s="283">
        <v>413</v>
      </c>
      <c r="F487" s="125"/>
      <c r="H487" s="36"/>
      <c r="M487" s="162"/>
      <c r="R487" s="267"/>
      <c r="S487" s="260"/>
      <c r="AA487" s="66"/>
      <c r="AF487" s="162"/>
      <c r="AG487" s="244"/>
      <c r="AH487" s="360"/>
      <c r="AI487" s="360"/>
      <c r="AJ487" s="360"/>
      <c r="AK487" s="360"/>
      <c r="AL487" s="105"/>
      <c r="AN487" s="66"/>
      <c r="AO487" s="66"/>
      <c r="AP487" s="66"/>
    </row>
    <row r="488" spans="1:42" hidden="1" x14ac:dyDescent="0.2">
      <c r="A488" s="283">
        <v>414</v>
      </c>
      <c r="F488" s="125"/>
      <c r="H488" s="36"/>
      <c r="M488" s="162"/>
      <c r="R488" s="267"/>
      <c r="S488" s="260"/>
      <c r="AA488" s="66"/>
      <c r="AF488" s="162"/>
      <c r="AG488" s="244"/>
      <c r="AH488" s="360"/>
      <c r="AI488" s="360"/>
      <c r="AJ488" s="360"/>
      <c r="AK488" s="360"/>
      <c r="AL488" s="105"/>
      <c r="AN488" s="66"/>
      <c r="AO488" s="66"/>
      <c r="AP488" s="66"/>
    </row>
    <row r="489" spans="1:42" hidden="1" x14ac:dyDescent="0.2">
      <c r="A489" s="283">
        <v>415</v>
      </c>
      <c r="F489" s="125"/>
      <c r="H489" s="36"/>
      <c r="M489" s="162"/>
      <c r="R489" s="267"/>
      <c r="S489" s="260"/>
      <c r="AA489" s="66"/>
      <c r="AF489" s="162"/>
      <c r="AG489" s="244"/>
      <c r="AH489" s="360"/>
      <c r="AI489" s="360"/>
      <c r="AJ489" s="360"/>
      <c r="AK489" s="360"/>
      <c r="AL489" s="105"/>
      <c r="AN489" s="66"/>
      <c r="AO489" s="66"/>
      <c r="AP489" s="66"/>
    </row>
    <row r="490" spans="1:42" hidden="1" x14ac:dyDescent="0.2">
      <c r="A490" s="283">
        <v>416</v>
      </c>
      <c r="F490" s="125"/>
      <c r="H490" s="36"/>
      <c r="M490" s="162"/>
      <c r="R490" s="267"/>
      <c r="S490" s="260"/>
      <c r="AA490" s="66"/>
      <c r="AF490" s="162"/>
      <c r="AG490" s="244"/>
      <c r="AH490" s="360"/>
      <c r="AI490" s="360"/>
      <c r="AJ490" s="360"/>
      <c r="AK490" s="360"/>
      <c r="AL490" s="105"/>
      <c r="AN490" s="66"/>
      <c r="AO490" s="66"/>
      <c r="AP490" s="66"/>
    </row>
    <row r="491" spans="1:42" hidden="1" x14ac:dyDescent="0.2">
      <c r="A491" s="283">
        <v>417</v>
      </c>
      <c r="F491" s="125"/>
      <c r="H491" s="36"/>
      <c r="M491" s="162"/>
      <c r="R491" s="267"/>
      <c r="S491" s="260"/>
      <c r="AA491" s="66"/>
      <c r="AF491" s="162"/>
      <c r="AG491" s="244"/>
      <c r="AH491" s="360"/>
      <c r="AI491" s="360"/>
      <c r="AJ491" s="360"/>
      <c r="AK491" s="360"/>
      <c r="AL491" s="105"/>
      <c r="AN491" s="66"/>
      <c r="AO491" s="66"/>
      <c r="AP491" s="66"/>
    </row>
    <row r="492" spans="1:42" hidden="1" x14ac:dyDescent="0.2">
      <c r="A492" s="283">
        <v>418</v>
      </c>
      <c r="F492" s="125"/>
      <c r="H492" s="36"/>
      <c r="M492" s="162"/>
      <c r="R492" s="267"/>
      <c r="S492" s="260"/>
      <c r="AA492" s="66"/>
      <c r="AF492" s="162"/>
      <c r="AG492" s="244"/>
      <c r="AH492" s="360"/>
      <c r="AI492" s="360"/>
      <c r="AJ492" s="360"/>
      <c r="AK492" s="360"/>
      <c r="AL492" s="105"/>
      <c r="AN492" s="66"/>
      <c r="AO492" s="66"/>
      <c r="AP492" s="66"/>
    </row>
    <row r="493" spans="1:42" hidden="1" x14ac:dyDescent="0.2">
      <c r="A493" s="283">
        <v>419</v>
      </c>
      <c r="F493" s="125"/>
      <c r="H493" s="36"/>
      <c r="M493" s="162"/>
      <c r="R493" s="267"/>
      <c r="S493" s="260"/>
      <c r="AA493" s="66"/>
      <c r="AF493" s="162"/>
      <c r="AG493" s="244"/>
      <c r="AH493" s="360"/>
      <c r="AI493" s="360"/>
      <c r="AJ493" s="360"/>
      <c r="AK493" s="360"/>
      <c r="AL493" s="105"/>
      <c r="AN493" s="66"/>
      <c r="AO493" s="66"/>
      <c r="AP493" s="66"/>
    </row>
    <row r="494" spans="1:42" hidden="1" x14ac:dyDescent="0.2">
      <c r="A494" s="283">
        <v>420</v>
      </c>
      <c r="F494" s="125"/>
      <c r="H494" s="36"/>
      <c r="M494" s="162"/>
      <c r="R494" s="267"/>
      <c r="S494" s="260"/>
      <c r="AA494" s="66"/>
      <c r="AF494" s="162"/>
      <c r="AG494" s="244"/>
      <c r="AH494" s="360"/>
      <c r="AI494" s="360"/>
      <c r="AJ494" s="360"/>
      <c r="AK494" s="360"/>
      <c r="AL494" s="105"/>
      <c r="AN494" s="66"/>
      <c r="AO494" s="66"/>
      <c r="AP494" s="66"/>
    </row>
    <row r="495" spans="1:42" hidden="1" x14ac:dyDescent="0.2">
      <c r="A495" s="283">
        <v>421</v>
      </c>
      <c r="F495" s="125"/>
      <c r="H495" s="36"/>
      <c r="M495" s="162"/>
      <c r="R495" s="267"/>
      <c r="S495" s="260"/>
      <c r="AA495" s="66"/>
      <c r="AF495" s="162"/>
      <c r="AG495" s="244"/>
      <c r="AH495" s="360"/>
      <c r="AI495" s="360"/>
      <c r="AJ495" s="360"/>
      <c r="AK495" s="360"/>
      <c r="AL495" s="105"/>
      <c r="AN495" s="66"/>
      <c r="AO495" s="66"/>
      <c r="AP495" s="66"/>
    </row>
    <row r="496" spans="1:42" hidden="1" x14ac:dyDescent="0.2">
      <c r="A496" s="283">
        <v>422</v>
      </c>
      <c r="F496" s="125"/>
      <c r="H496" s="36"/>
      <c r="M496" s="162"/>
      <c r="R496" s="267"/>
      <c r="S496" s="260"/>
      <c r="AA496" s="66"/>
      <c r="AF496" s="162"/>
      <c r="AG496" s="244"/>
      <c r="AH496" s="360"/>
      <c r="AI496" s="360"/>
      <c r="AJ496" s="360"/>
      <c r="AK496" s="360"/>
      <c r="AL496" s="105"/>
      <c r="AN496" s="66"/>
      <c r="AO496" s="66"/>
      <c r="AP496" s="66"/>
    </row>
    <row r="497" spans="1:42" hidden="1" x14ac:dyDescent="0.2">
      <c r="A497" s="283">
        <v>423</v>
      </c>
      <c r="F497" s="125"/>
      <c r="H497" s="36"/>
      <c r="M497" s="162"/>
      <c r="R497" s="267"/>
      <c r="S497" s="260"/>
      <c r="AA497" s="66"/>
      <c r="AF497" s="162"/>
      <c r="AG497" s="244"/>
      <c r="AH497" s="360"/>
      <c r="AI497" s="360"/>
      <c r="AJ497" s="360"/>
      <c r="AK497" s="360"/>
      <c r="AL497" s="105"/>
      <c r="AN497" s="66"/>
      <c r="AO497" s="66"/>
      <c r="AP497" s="66"/>
    </row>
    <row r="498" spans="1:42" hidden="1" x14ac:dyDescent="0.2">
      <c r="A498" s="283">
        <v>424</v>
      </c>
      <c r="F498" s="125"/>
      <c r="H498" s="36"/>
      <c r="M498" s="162"/>
      <c r="R498" s="267"/>
      <c r="S498" s="260"/>
      <c r="AA498" s="66"/>
      <c r="AF498" s="162"/>
      <c r="AG498" s="244"/>
      <c r="AH498" s="360"/>
      <c r="AI498" s="360"/>
      <c r="AJ498" s="360"/>
      <c r="AK498" s="360"/>
      <c r="AL498" s="105"/>
      <c r="AN498" s="66"/>
      <c r="AO498" s="66"/>
      <c r="AP498" s="66"/>
    </row>
    <row r="499" spans="1:42" hidden="1" x14ac:dyDescent="0.2">
      <c r="A499" s="283">
        <v>425</v>
      </c>
      <c r="F499" s="125"/>
      <c r="H499" s="36"/>
      <c r="M499" s="162"/>
      <c r="R499" s="267"/>
      <c r="S499" s="260"/>
      <c r="AA499" s="66"/>
      <c r="AF499" s="162"/>
      <c r="AG499" s="244"/>
      <c r="AL499" s="105"/>
      <c r="AN499" s="66"/>
      <c r="AO499" s="66"/>
      <c r="AP499" s="66"/>
    </row>
    <row r="500" spans="1:42" hidden="1" x14ac:dyDescent="0.2">
      <c r="A500" s="283">
        <v>426</v>
      </c>
      <c r="F500" s="125"/>
      <c r="H500" s="36"/>
      <c r="M500" s="162"/>
      <c r="R500" s="267"/>
      <c r="S500" s="260"/>
      <c r="AA500" s="66"/>
      <c r="AF500" s="162"/>
      <c r="AG500" s="244"/>
      <c r="AL500" s="105"/>
      <c r="AN500" s="66"/>
      <c r="AO500" s="66"/>
      <c r="AP500" s="66"/>
    </row>
    <row r="501" spans="1:42" hidden="1" x14ac:dyDescent="0.2">
      <c r="A501" s="283">
        <v>427</v>
      </c>
      <c r="F501" s="125"/>
      <c r="H501" s="36"/>
      <c r="M501" s="162"/>
      <c r="R501" s="267"/>
      <c r="S501" s="260"/>
      <c r="AA501" s="66"/>
      <c r="AF501" s="162"/>
      <c r="AG501" s="244"/>
      <c r="AL501" s="105"/>
      <c r="AN501" s="66"/>
      <c r="AO501" s="66"/>
      <c r="AP501" s="66"/>
    </row>
    <row r="502" spans="1:42" hidden="1" x14ac:dyDescent="0.2">
      <c r="A502" s="283">
        <v>428</v>
      </c>
      <c r="F502" s="125"/>
      <c r="H502" s="36"/>
      <c r="M502" s="162"/>
      <c r="R502" s="267"/>
      <c r="S502" s="260"/>
      <c r="AA502" s="66"/>
      <c r="AF502" s="162"/>
      <c r="AG502" s="244"/>
      <c r="AL502" s="105"/>
      <c r="AN502" s="66"/>
      <c r="AO502" s="66"/>
      <c r="AP502" s="66"/>
    </row>
    <row r="503" spans="1:42" hidden="1" x14ac:dyDescent="0.2">
      <c r="A503" s="283">
        <v>429</v>
      </c>
      <c r="F503" s="125"/>
      <c r="H503" s="36"/>
      <c r="M503" s="162"/>
      <c r="R503" s="267"/>
      <c r="S503" s="260"/>
      <c r="AA503" s="66"/>
      <c r="AF503" s="162"/>
      <c r="AG503" s="244"/>
      <c r="AL503" s="105"/>
      <c r="AN503" s="66"/>
      <c r="AO503" s="66"/>
      <c r="AP503" s="66"/>
    </row>
    <row r="504" spans="1:42" hidden="1" x14ac:dyDescent="0.2">
      <c r="A504" s="283">
        <v>430</v>
      </c>
      <c r="F504" s="125"/>
      <c r="H504" s="36"/>
      <c r="M504" s="162"/>
      <c r="R504" s="267"/>
      <c r="S504" s="260"/>
      <c r="AA504" s="66"/>
      <c r="AF504" s="162"/>
      <c r="AG504" s="244"/>
      <c r="AL504" s="105"/>
      <c r="AN504" s="66"/>
      <c r="AO504" s="66"/>
      <c r="AP504" s="66"/>
    </row>
    <row r="505" spans="1:42" hidden="1" x14ac:dyDescent="0.2">
      <c r="A505" s="283">
        <v>431</v>
      </c>
      <c r="F505" s="125"/>
      <c r="H505" s="36"/>
      <c r="M505" s="162"/>
      <c r="R505" s="267"/>
      <c r="S505" s="260"/>
      <c r="AA505" s="66"/>
      <c r="AF505" s="162"/>
      <c r="AG505" s="244"/>
      <c r="AL505" s="105"/>
      <c r="AN505" s="66"/>
      <c r="AO505" s="66"/>
      <c r="AP505" s="66"/>
    </row>
    <row r="506" spans="1:42" hidden="1" x14ac:dyDescent="0.2">
      <c r="A506" s="283">
        <v>432</v>
      </c>
      <c r="F506" s="125"/>
      <c r="H506" s="36"/>
      <c r="M506" s="162"/>
      <c r="R506" s="267"/>
      <c r="S506" s="260"/>
      <c r="AA506" s="66"/>
      <c r="AF506" s="162"/>
      <c r="AG506" s="244"/>
      <c r="AL506" s="105"/>
      <c r="AN506" s="66"/>
      <c r="AO506" s="66"/>
      <c r="AP506" s="66"/>
    </row>
    <row r="507" spans="1:42" hidden="1" x14ac:dyDescent="0.2">
      <c r="A507" s="283">
        <v>433</v>
      </c>
      <c r="F507" s="125"/>
      <c r="H507" s="36"/>
      <c r="M507" s="162"/>
      <c r="R507" s="267"/>
      <c r="S507" s="260"/>
      <c r="AA507" s="66"/>
      <c r="AF507" s="162"/>
      <c r="AG507" s="244"/>
      <c r="AL507" s="105"/>
      <c r="AN507" s="66"/>
      <c r="AO507" s="66"/>
      <c r="AP507" s="66"/>
    </row>
    <row r="508" spans="1:42" hidden="1" x14ac:dyDescent="0.2">
      <c r="A508" s="283">
        <v>434</v>
      </c>
      <c r="F508" s="125"/>
      <c r="H508" s="36"/>
      <c r="M508" s="162"/>
      <c r="R508" s="267"/>
      <c r="S508" s="260"/>
      <c r="AA508" s="66"/>
      <c r="AF508" s="162"/>
      <c r="AG508" s="244"/>
      <c r="AL508" s="105"/>
      <c r="AN508" s="66"/>
      <c r="AO508" s="66"/>
      <c r="AP508" s="66"/>
    </row>
    <row r="509" spans="1:42" hidden="1" x14ac:dyDescent="0.2">
      <c r="A509" s="283">
        <v>435</v>
      </c>
      <c r="F509" s="125"/>
      <c r="H509" s="36"/>
      <c r="M509" s="162"/>
      <c r="R509" s="267"/>
      <c r="S509" s="260"/>
      <c r="AA509" s="66"/>
      <c r="AF509" s="162"/>
      <c r="AG509" s="244"/>
      <c r="AL509" s="105"/>
      <c r="AN509" s="66"/>
      <c r="AO509" s="66"/>
      <c r="AP509" s="66"/>
    </row>
    <row r="510" spans="1:42" hidden="1" x14ac:dyDescent="0.2">
      <c r="A510" s="283">
        <v>436</v>
      </c>
      <c r="F510" s="125"/>
      <c r="H510" s="36"/>
      <c r="M510" s="162"/>
      <c r="R510" s="267"/>
      <c r="S510" s="260"/>
      <c r="AA510" s="66"/>
      <c r="AF510" s="162"/>
      <c r="AG510" s="244"/>
      <c r="AL510" s="105"/>
      <c r="AN510" s="66"/>
      <c r="AO510" s="66"/>
      <c r="AP510" s="66"/>
    </row>
    <row r="511" spans="1:42" hidden="1" x14ac:dyDescent="0.2">
      <c r="A511" s="283">
        <v>437</v>
      </c>
      <c r="F511" s="125"/>
      <c r="H511" s="36"/>
      <c r="M511" s="162"/>
      <c r="R511" s="267"/>
      <c r="S511" s="260"/>
      <c r="AA511" s="66"/>
      <c r="AF511" s="162"/>
      <c r="AG511" s="244"/>
      <c r="AL511" s="105"/>
      <c r="AN511" s="66"/>
      <c r="AO511" s="66"/>
      <c r="AP511" s="66"/>
    </row>
    <row r="512" spans="1:42" hidden="1" x14ac:dyDescent="0.2">
      <c r="A512" s="283">
        <v>438</v>
      </c>
      <c r="F512" s="125"/>
      <c r="H512" s="36"/>
      <c r="M512" s="162"/>
      <c r="R512" s="267"/>
      <c r="S512" s="260"/>
      <c r="AA512" s="66"/>
      <c r="AF512" s="162"/>
      <c r="AG512" s="244"/>
      <c r="AL512" s="105"/>
      <c r="AN512" s="66"/>
      <c r="AO512" s="66"/>
      <c r="AP512" s="66"/>
    </row>
    <row r="513" spans="1:42" hidden="1" x14ac:dyDescent="0.2">
      <c r="A513" s="283">
        <v>439</v>
      </c>
      <c r="F513" s="125"/>
      <c r="H513" s="36"/>
      <c r="M513" s="162"/>
      <c r="R513" s="267"/>
      <c r="S513" s="260"/>
      <c r="AA513" s="66"/>
      <c r="AF513" s="162"/>
      <c r="AG513" s="244"/>
      <c r="AL513" s="105"/>
      <c r="AN513" s="66"/>
      <c r="AO513" s="66"/>
      <c r="AP513" s="66"/>
    </row>
    <row r="514" spans="1:42" hidden="1" x14ac:dyDescent="0.2">
      <c r="A514" s="283">
        <v>440</v>
      </c>
      <c r="F514" s="125"/>
      <c r="H514" s="36"/>
      <c r="M514" s="162"/>
      <c r="R514" s="267"/>
      <c r="S514" s="260"/>
      <c r="AA514" s="66"/>
      <c r="AF514" s="162"/>
      <c r="AG514" s="244"/>
      <c r="AL514" s="105"/>
      <c r="AN514" s="66"/>
      <c r="AO514" s="66"/>
      <c r="AP514" s="66"/>
    </row>
    <row r="515" spans="1:42" hidden="1" x14ac:dyDescent="0.2">
      <c r="A515" s="283">
        <v>441</v>
      </c>
      <c r="F515" s="125"/>
      <c r="H515" s="36"/>
      <c r="M515" s="162"/>
      <c r="R515" s="267"/>
      <c r="S515" s="260"/>
      <c r="AA515" s="66"/>
      <c r="AF515" s="162"/>
      <c r="AG515" s="244"/>
      <c r="AL515" s="105"/>
      <c r="AN515" s="66"/>
      <c r="AO515" s="66"/>
      <c r="AP515" s="66"/>
    </row>
    <row r="516" spans="1:42" hidden="1" x14ac:dyDescent="0.2">
      <c r="A516" s="283">
        <v>442</v>
      </c>
      <c r="F516" s="125"/>
      <c r="H516" s="36"/>
      <c r="M516" s="162"/>
      <c r="R516" s="267"/>
      <c r="S516" s="260"/>
      <c r="AA516" s="66"/>
      <c r="AF516" s="162"/>
      <c r="AG516" s="244"/>
      <c r="AL516" s="105"/>
      <c r="AN516" s="66"/>
      <c r="AO516" s="66"/>
      <c r="AP516" s="66"/>
    </row>
    <row r="517" spans="1:42" hidden="1" x14ac:dyDescent="0.2">
      <c r="A517" s="283">
        <v>443</v>
      </c>
      <c r="F517" s="125"/>
      <c r="H517" s="36"/>
      <c r="M517" s="162"/>
      <c r="R517" s="267"/>
      <c r="S517" s="260"/>
      <c r="AA517" s="66"/>
      <c r="AF517" s="162"/>
      <c r="AG517" s="244"/>
      <c r="AL517" s="105"/>
      <c r="AN517" s="66"/>
      <c r="AO517" s="66"/>
      <c r="AP517" s="66"/>
    </row>
    <row r="518" spans="1:42" hidden="1" x14ac:dyDescent="0.2">
      <c r="A518" s="283">
        <v>444</v>
      </c>
      <c r="F518" s="125"/>
      <c r="H518" s="36"/>
      <c r="M518" s="162"/>
      <c r="R518" s="267"/>
      <c r="S518" s="260"/>
      <c r="AA518" s="66"/>
      <c r="AF518" s="162"/>
      <c r="AG518" s="244"/>
      <c r="AL518" s="105"/>
      <c r="AN518" s="66"/>
      <c r="AO518" s="66"/>
      <c r="AP518" s="66"/>
    </row>
    <row r="519" spans="1:42" hidden="1" x14ac:dyDescent="0.2">
      <c r="A519" s="283">
        <v>445</v>
      </c>
      <c r="F519" s="125"/>
      <c r="H519" s="36"/>
      <c r="M519" s="162"/>
      <c r="R519" s="267"/>
      <c r="S519" s="260"/>
      <c r="AA519" s="66"/>
      <c r="AF519" s="162"/>
      <c r="AG519" s="244"/>
      <c r="AL519" s="105"/>
      <c r="AN519" s="66"/>
      <c r="AO519" s="66"/>
      <c r="AP519" s="66"/>
    </row>
    <row r="520" spans="1:42" hidden="1" x14ac:dyDescent="0.2">
      <c r="A520" s="283">
        <v>446</v>
      </c>
      <c r="F520" s="125"/>
      <c r="H520" s="36"/>
      <c r="M520" s="162"/>
      <c r="R520" s="267"/>
      <c r="S520" s="260"/>
      <c r="AA520" s="66"/>
      <c r="AF520" s="162"/>
      <c r="AG520" s="244"/>
      <c r="AL520" s="105"/>
      <c r="AN520" s="66"/>
      <c r="AO520" s="66"/>
      <c r="AP520" s="66"/>
    </row>
    <row r="521" spans="1:42" hidden="1" x14ac:dyDescent="0.2">
      <c r="A521" s="283">
        <v>447</v>
      </c>
      <c r="F521" s="125"/>
      <c r="H521" s="36"/>
      <c r="M521" s="162"/>
      <c r="R521" s="267"/>
      <c r="S521" s="260"/>
      <c r="AA521" s="66"/>
      <c r="AF521" s="162"/>
      <c r="AG521" s="244"/>
      <c r="AL521" s="105"/>
      <c r="AN521" s="66"/>
      <c r="AO521" s="66"/>
      <c r="AP521" s="66"/>
    </row>
    <row r="522" spans="1:42" hidden="1" x14ac:dyDescent="0.2">
      <c r="A522" s="283">
        <v>448</v>
      </c>
      <c r="F522" s="125"/>
      <c r="H522" s="36"/>
      <c r="M522" s="162"/>
      <c r="R522" s="267"/>
      <c r="S522" s="260"/>
      <c r="AA522" s="66"/>
      <c r="AF522" s="162"/>
      <c r="AG522" s="244"/>
      <c r="AL522" s="105"/>
      <c r="AN522" s="66"/>
      <c r="AO522" s="66"/>
      <c r="AP522" s="66"/>
    </row>
    <row r="523" spans="1:42" hidden="1" x14ac:dyDescent="0.2">
      <c r="A523" s="283">
        <v>449</v>
      </c>
      <c r="F523" s="125"/>
      <c r="H523" s="36"/>
      <c r="M523" s="162"/>
      <c r="R523" s="267"/>
      <c r="S523" s="260"/>
      <c r="AA523" s="66"/>
      <c r="AF523" s="162"/>
      <c r="AG523" s="244"/>
      <c r="AL523" s="105"/>
      <c r="AN523" s="66"/>
      <c r="AO523" s="66"/>
      <c r="AP523" s="66"/>
    </row>
    <row r="524" spans="1:42" hidden="1" x14ac:dyDescent="0.2">
      <c r="A524" s="283">
        <v>450</v>
      </c>
      <c r="F524" s="125"/>
      <c r="H524" s="36"/>
      <c r="M524" s="162"/>
      <c r="R524" s="267"/>
      <c r="S524" s="260"/>
      <c r="AA524" s="66"/>
      <c r="AF524" s="162"/>
      <c r="AG524" s="244"/>
      <c r="AL524" s="105"/>
      <c r="AN524" s="66"/>
      <c r="AO524" s="66"/>
      <c r="AP524" s="66"/>
    </row>
    <row r="525" spans="1:42" hidden="1" x14ac:dyDescent="0.2">
      <c r="A525" s="283">
        <v>451</v>
      </c>
      <c r="F525" s="125"/>
      <c r="H525" s="36"/>
      <c r="M525" s="162"/>
      <c r="R525" s="267"/>
      <c r="S525" s="260"/>
      <c r="AA525" s="66"/>
      <c r="AF525" s="162"/>
      <c r="AG525" s="244"/>
      <c r="AL525" s="105"/>
      <c r="AN525" s="66"/>
      <c r="AO525" s="66"/>
      <c r="AP525" s="66"/>
    </row>
    <row r="526" spans="1:42" hidden="1" x14ac:dyDescent="0.2">
      <c r="A526" s="283">
        <v>452</v>
      </c>
      <c r="F526" s="125"/>
      <c r="H526" s="36"/>
      <c r="M526" s="162"/>
      <c r="R526" s="267"/>
      <c r="S526" s="260"/>
      <c r="AA526" s="66"/>
      <c r="AF526" s="162"/>
      <c r="AG526" s="244"/>
      <c r="AL526" s="105"/>
      <c r="AN526" s="66"/>
      <c r="AO526" s="66"/>
      <c r="AP526" s="66"/>
    </row>
    <row r="527" spans="1:42" hidden="1" x14ac:dyDescent="0.2">
      <c r="A527" s="283">
        <v>453</v>
      </c>
      <c r="F527" s="125"/>
      <c r="H527" s="36"/>
      <c r="M527" s="162"/>
      <c r="R527" s="267"/>
      <c r="S527" s="260"/>
      <c r="AA527" s="66"/>
      <c r="AF527" s="162"/>
      <c r="AG527" s="244"/>
      <c r="AL527" s="105"/>
      <c r="AN527" s="66"/>
      <c r="AO527" s="66"/>
      <c r="AP527" s="66"/>
    </row>
    <row r="528" spans="1:42" hidden="1" x14ac:dyDescent="0.2">
      <c r="A528" s="283">
        <v>454</v>
      </c>
      <c r="F528" s="125"/>
      <c r="H528" s="36"/>
      <c r="M528" s="162"/>
      <c r="R528" s="267"/>
      <c r="S528" s="260"/>
      <c r="AA528" s="66"/>
      <c r="AF528" s="162"/>
      <c r="AG528" s="244"/>
      <c r="AL528" s="105"/>
      <c r="AN528" s="66"/>
      <c r="AO528" s="66"/>
      <c r="AP528" s="66"/>
    </row>
    <row r="529" spans="1:42" hidden="1" x14ac:dyDescent="0.2">
      <c r="A529" s="283">
        <v>455</v>
      </c>
      <c r="F529" s="125"/>
      <c r="H529" s="36"/>
      <c r="M529" s="162"/>
      <c r="R529" s="267"/>
      <c r="S529" s="260"/>
      <c r="AA529" s="66"/>
      <c r="AF529" s="162"/>
      <c r="AG529" s="244"/>
      <c r="AL529" s="105"/>
      <c r="AN529" s="66"/>
      <c r="AO529" s="66"/>
      <c r="AP529" s="66"/>
    </row>
    <row r="530" spans="1:42" hidden="1" x14ac:dyDescent="0.2">
      <c r="A530" s="283">
        <v>456</v>
      </c>
      <c r="F530" s="125"/>
      <c r="H530" s="36"/>
      <c r="M530" s="162"/>
      <c r="R530" s="267"/>
      <c r="S530" s="260"/>
      <c r="AA530" s="66"/>
      <c r="AF530" s="162"/>
      <c r="AG530" s="244"/>
      <c r="AL530" s="105"/>
      <c r="AN530" s="66"/>
      <c r="AO530" s="66"/>
      <c r="AP530" s="66"/>
    </row>
    <row r="531" spans="1:42" hidden="1" x14ac:dyDescent="0.2">
      <c r="A531" s="283">
        <v>457</v>
      </c>
      <c r="F531" s="125"/>
      <c r="H531" s="36"/>
      <c r="M531" s="162"/>
      <c r="R531" s="267"/>
      <c r="S531" s="260"/>
      <c r="AA531" s="66"/>
      <c r="AF531" s="162"/>
      <c r="AG531" s="244"/>
      <c r="AL531" s="105"/>
      <c r="AN531" s="66"/>
      <c r="AO531" s="66"/>
      <c r="AP531" s="66"/>
    </row>
    <row r="532" spans="1:42" hidden="1" x14ac:dyDescent="0.2">
      <c r="A532" s="283">
        <v>458</v>
      </c>
      <c r="F532" s="125"/>
      <c r="H532" s="36"/>
      <c r="M532" s="162"/>
      <c r="R532" s="267"/>
      <c r="S532" s="260"/>
      <c r="AA532" s="66"/>
      <c r="AF532" s="162"/>
      <c r="AG532" s="244"/>
      <c r="AL532" s="105"/>
      <c r="AN532" s="66"/>
      <c r="AO532" s="66"/>
      <c r="AP532" s="66"/>
    </row>
    <row r="533" spans="1:42" hidden="1" x14ac:dyDescent="0.2">
      <c r="A533" s="283">
        <v>459</v>
      </c>
      <c r="F533" s="125"/>
      <c r="H533" s="36"/>
      <c r="M533" s="162"/>
      <c r="R533" s="267"/>
      <c r="S533" s="260"/>
      <c r="AA533" s="66"/>
      <c r="AF533" s="162"/>
      <c r="AG533" s="244"/>
      <c r="AL533" s="105"/>
      <c r="AN533" s="66"/>
      <c r="AO533" s="66"/>
      <c r="AP533" s="66"/>
    </row>
    <row r="534" spans="1:42" hidden="1" x14ac:dyDescent="0.2">
      <c r="A534" s="283">
        <v>460</v>
      </c>
      <c r="F534" s="125"/>
      <c r="H534" s="36"/>
      <c r="M534" s="162"/>
      <c r="R534" s="267"/>
      <c r="S534" s="260"/>
      <c r="AA534" s="66"/>
      <c r="AF534" s="162"/>
      <c r="AG534" s="244"/>
      <c r="AL534" s="105"/>
      <c r="AN534" s="66"/>
      <c r="AO534" s="66"/>
      <c r="AP534" s="66"/>
    </row>
    <row r="535" spans="1:42" hidden="1" x14ac:dyDescent="0.2">
      <c r="A535" s="283">
        <v>461</v>
      </c>
      <c r="F535" s="125"/>
      <c r="H535" s="36"/>
      <c r="M535" s="162"/>
      <c r="R535" s="267"/>
      <c r="S535" s="260"/>
      <c r="AA535" s="66"/>
      <c r="AF535" s="162"/>
      <c r="AG535" s="244"/>
      <c r="AL535" s="105"/>
      <c r="AN535" s="66"/>
      <c r="AO535" s="66"/>
      <c r="AP535" s="66"/>
    </row>
    <row r="536" spans="1:42" hidden="1" x14ac:dyDescent="0.2">
      <c r="A536" s="283">
        <v>462</v>
      </c>
      <c r="F536" s="125"/>
      <c r="H536" s="36"/>
      <c r="M536" s="162"/>
      <c r="R536" s="267"/>
      <c r="S536" s="260"/>
      <c r="AA536" s="66"/>
      <c r="AF536" s="162"/>
      <c r="AG536" s="244"/>
      <c r="AL536" s="105"/>
      <c r="AN536" s="66"/>
      <c r="AO536" s="66"/>
      <c r="AP536" s="66"/>
    </row>
    <row r="537" spans="1:42" hidden="1" x14ac:dyDescent="0.2">
      <c r="A537" s="283">
        <v>463</v>
      </c>
      <c r="F537" s="125"/>
      <c r="H537" s="36"/>
      <c r="M537" s="162"/>
      <c r="R537" s="267"/>
      <c r="S537" s="260"/>
      <c r="AA537" s="66"/>
      <c r="AF537" s="162"/>
      <c r="AG537" s="244"/>
      <c r="AL537" s="105"/>
      <c r="AN537" s="66"/>
      <c r="AO537" s="66"/>
      <c r="AP537" s="66"/>
    </row>
    <row r="538" spans="1:42" hidden="1" x14ac:dyDescent="0.2">
      <c r="A538" s="283">
        <v>464</v>
      </c>
      <c r="F538" s="125"/>
      <c r="H538" s="36"/>
      <c r="M538" s="162"/>
      <c r="R538" s="267"/>
      <c r="S538" s="260"/>
      <c r="AA538" s="66"/>
      <c r="AF538" s="162"/>
      <c r="AG538" s="244"/>
      <c r="AL538" s="105"/>
      <c r="AN538" s="66"/>
      <c r="AO538" s="66"/>
      <c r="AP538" s="66"/>
    </row>
    <row r="539" spans="1:42" hidden="1" x14ac:dyDescent="0.2">
      <c r="A539" s="283">
        <v>465</v>
      </c>
      <c r="F539" s="125"/>
      <c r="H539" s="36"/>
      <c r="M539" s="162"/>
      <c r="R539" s="267"/>
      <c r="S539" s="260"/>
      <c r="AA539" s="66"/>
      <c r="AF539" s="162"/>
      <c r="AG539" s="244"/>
      <c r="AL539" s="105"/>
      <c r="AN539" s="66"/>
      <c r="AO539" s="66"/>
      <c r="AP539" s="66"/>
    </row>
    <row r="540" spans="1:42" hidden="1" x14ac:dyDescent="0.2">
      <c r="A540" s="283">
        <v>466</v>
      </c>
      <c r="F540" s="125"/>
      <c r="H540" s="36"/>
      <c r="M540" s="162"/>
      <c r="R540" s="267"/>
      <c r="S540" s="260"/>
      <c r="AA540" s="66"/>
      <c r="AF540" s="162"/>
      <c r="AG540" s="244"/>
      <c r="AL540" s="105"/>
      <c r="AN540" s="66"/>
      <c r="AO540" s="66"/>
      <c r="AP540" s="66"/>
    </row>
    <row r="541" spans="1:42" hidden="1" x14ac:dyDescent="0.2">
      <c r="A541" s="283">
        <v>467</v>
      </c>
      <c r="F541" s="125"/>
      <c r="H541" s="36"/>
      <c r="M541" s="162"/>
      <c r="R541" s="267"/>
      <c r="S541" s="260"/>
      <c r="AA541" s="66"/>
      <c r="AF541" s="162"/>
      <c r="AG541" s="244"/>
      <c r="AL541" s="105"/>
      <c r="AN541" s="66"/>
      <c r="AO541" s="66"/>
      <c r="AP541" s="66"/>
    </row>
    <row r="542" spans="1:42" hidden="1" x14ac:dyDescent="0.2">
      <c r="A542" s="283">
        <v>468</v>
      </c>
      <c r="F542" s="125"/>
      <c r="H542" s="36"/>
      <c r="M542" s="162"/>
      <c r="R542" s="267"/>
      <c r="S542" s="260"/>
      <c r="AA542" s="66"/>
      <c r="AF542" s="162"/>
      <c r="AG542" s="244"/>
      <c r="AL542" s="105"/>
      <c r="AN542" s="66"/>
      <c r="AO542" s="66"/>
      <c r="AP542" s="66"/>
    </row>
    <row r="543" spans="1:42" hidden="1" x14ac:dyDescent="0.2">
      <c r="A543" s="283">
        <v>469</v>
      </c>
      <c r="F543" s="125"/>
      <c r="H543" s="36"/>
      <c r="M543" s="162"/>
      <c r="R543" s="267"/>
      <c r="S543" s="260"/>
      <c r="AA543" s="66"/>
      <c r="AF543" s="162"/>
      <c r="AG543" s="244"/>
      <c r="AL543" s="105"/>
      <c r="AN543" s="66"/>
      <c r="AO543" s="66"/>
      <c r="AP543" s="66"/>
    </row>
    <row r="544" spans="1:42" hidden="1" x14ac:dyDescent="0.2">
      <c r="A544" s="283">
        <v>470</v>
      </c>
      <c r="F544" s="125"/>
      <c r="H544" s="36"/>
      <c r="M544" s="162"/>
      <c r="R544" s="267"/>
      <c r="S544" s="260"/>
      <c r="AA544" s="66"/>
      <c r="AF544" s="162"/>
      <c r="AG544" s="244"/>
      <c r="AL544" s="105"/>
      <c r="AN544" s="66"/>
      <c r="AO544" s="66"/>
      <c r="AP544" s="66"/>
    </row>
    <row r="545" spans="1:42" hidden="1" x14ac:dyDescent="0.2">
      <c r="A545" s="283">
        <v>471</v>
      </c>
      <c r="F545" s="125"/>
      <c r="H545" s="36"/>
      <c r="M545" s="162"/>
      <c r="R545" s="267"/>
      <c r="S545" s="260"/>
      <c r="AA545" s="66"/>
      <c r="AF545" s="162"/>
      <c r="AG545" s="244"/>
      <c r="AL545" s="105"/>
      <c r="AN545" s="66"/>
      <c r="AO545" s="66"/>
      <c r="AP545" s="66"/>
    </row>
    <row r="546" spans="1:42" hidden="1" x14ac:dyDescent="0.2">
      <c r="A546" s="283">
        <v>472</v>
      </c>
      <c r="F546" s="125"/>
      <c r="H546" s="36"/>
      <c r="M546" s="162"/>
      <c r="R546" s="267"/>
      <c r="S546" s="260"/>
      <c r="AA546" s="66"/>
      <c r="AF546" s="162"/>
      <c r="AG546" s="244"/>
      <c r="AL546" s="105"/>
      <c r="AN546" s="66"/>
      <c r="AO546" s="66"/>
      <c r="AP546" s="66"/>
    </row>
    <row r="547" spans="1:42" hidden="1" x14ac:dyDescent="0.2">
      <c r="A547" s="283">
        <v>473</v>
      </c>
      <c r="F547" s="125"/>
      <c r="H547" s="36"/>
      <c r="M547" s="162"/>
      <c r="R547" s="267"/>
      <c r="S547" s="260"/>
      <c r="AA547" s="66"/>
      <c r="AF547" s="162"/>
      <c r="AG547" s="244"/>
      <c r="AL547" s="105"/>
      <c r="AN547" s="66"/>
      <c r="AO547" s="66"/>
      <c r="AP547" s="66"/>
    </row>
    <row r="548" spans="1:42" hidden="1" x14ac:dyDescent="0.2">
      <c r="A548" s="283">
        <v>474</v>
      </c>
      <c r="F548" s="125"/>
      <c r="H548" s="36"/>
      <c r="M548" s="162"/>
      <c r="R548" s="267"/>
      <c r="S548" s="260"/>
      <c r="AA548" s="66"/>
      <c r="AF548" s="162"/>
      <c r="AG548" s="244"/>
      <c r="AL548" s="105"/>
      <c r="AN548" s="66"/>
      <c r="AO548" s="66"/>
      <c r="AP548" s="66"/>
    </row>
    <row r="549" spans="1:42" hidden="1" x14ac:dyDescent="0.2">
      <c r="A549" s="283">
        <v>475</v>
      </c>
      <c r="F549" s="125"/>
      <c r="H549" s="36"/>
      <c r="M549" s="162"/>
      <c r="R549" s="267"/>
      <c r="S549" s="260"/>
      <c r="AA549" s="66"/>
      <c r="AF549" s="162"/>
      <c r="AG549" s="244"/>
      <c r="AL549" s="105"/>
      <c r="AN549" s="66"/>
      <c r="AO549" s="66"/>
      <c r="AP549" s="66"/>
    </row>
    <row r="550" spans="1:42" hidden="1" x14ac:dyDescent="0.2">
      <c r="A550" s="283">
        <v>476</v>
      </c>
      <c r="F550" s="125"/>
      <c r="H550" s="36"/>
      <c r="M550" s="162"/>
      <c r="R550" s="267"/>
      <c r="S550" s="260"/>
      <c r="AA550" s="66"/>
      <c r="AF550" s="162"/>
      <c r="AG550" s="244"/>
      <c r="AL550" s="105"/>
      <c r="AN550" s="66"/>
      <c r="AO550" s="66"/>
      <c r="AP550" s="66"/>
    </row>
    <row r="551" spans="1:42" hidden="1" x14ac:dyDescent="0.2">
      <c r="A551" s="283">
        <v>477</v>
      </c>
      <c r="F551" s="125"/>
      <c r="H551" s="36"/>
      <c r="M551" s="162"/>
      <c r="R551" s="267"/>
      <c r="S551" s="260"/>
      <c r="AA551" s="66"/>
      <c r="AF551" s="162"/>
      <c r="AG551" s="244"/>
      <c r="AL551" s="105"/>
      <c r="AN551" s="66"/>
      <c r="AO551" s="66"/>
      <c r="AP551" s="66"/>
    </row>
    <row r="552" spans="1:42" hidden="1" x14ac:dyDescent="0.2">
      <c r="A552" s="283">
        <v>478</v>
      </c>
      <c r="F552" s="125"/>
      <c r="H552" s="36"/>
      <c r="M552" s="162"/>
      <c r="R552" s="267"/>
      <c r="S552" s="260"/>
      <c r="AA552" s="66"/>
      <c r="AF552" s="162"/>
      <c r="AG552" s="244"/>
      <c r="AL552" s="105"/>
      <c r="AN552" s="66"/>
      <c r="AO552" s="66"/>
      <c r="AP552" s="66"/>
    </row>
    <row r="553" spans="1:42" hidden="1" x14ac:dyDescent="0.2">
      <c r="A553" s="283">
        <v>479</v>
      </c>
      <c r="F553" s="125"/>
      <c r="H553" s="36"/>
      <c r="M553" s="162"/>
      <c r="R553" s="267"/>
      <c r="S553" s="260"/>
      <c r="AA553" s="66"/>
      <c r="AF553" s="162"/>
      <c r="AG553" s="244"/>
      <c r="AL553" s="105"/>
      <c r="AN553" s="66"/>
      <c r="AO553" s="66"/>
      <c r="AP553" s="66"/>
    </row>
    <row r="554" spans="1:42" hidden="1" x14ac:dyDescent="0.2">
      <c r="A554" s="283">
        <v>480</v>
      </c>
      <c r="F554" s="125"/>
      <c r="H554" s="36"/>
      <c r="M554" s="162"/>
      <c r="R554" s="267"/>
      <c r="S554" s="260"/>
      <c r="AA554" s="66"/>
      <c r="AF554" s="162"/>
      <c r="AG554" s="244"/>
      <c r="AL554" s="105"/>
      <c r="AN554" s="66"/>
      <c r="AO554" s="66"/>
      <c r="AP554" s="66"/>
    </row>
    <row r="555" spans="1:42" hidden="1" x14ac:dyDescent="0.2">
      <c r="A555" s="283">
        <v>481</v>
      </c>
      <c r="F555" s="125"/>
      <c r="H555" s="36"/>
      <c r="M555" s="162"/>
      <c r="R555" s="267"/>
      <c r="S555" s="260"/>
      <c r="AA555" s="66"/>
      <c r="AF555" s="162"/>
      <c r="AG555" s="244"/>
      <c r="AL555" s="105"/>
      <c r="AN555" s="66"/>
      <c r="AO555" s="66"/>
      <c r="AP555" s="66"/>
    </row>
    <row r="556" spans="1:42" hidden="1" x14ac:dyDescent="0.2">
      <c r="A556" s="283">
        <v>482</v>
      </c>
      <c r="F556" s="125"/>
      <c r="H556" s="36"/>
      <c r="M556" s="162"/>
      <c r="R556" s="267"/>
      <c r="S556" s="260"/>
      <c r="AA556" s="66"/>
      <c r="AF556" s="162"/>
      <c r="AG556" s="244"/>
      <c r="AL556" s="105"/>
      <c r="AN556" s="66"/>
      <c r="AO556" s="66"/>
      <c r="AP556" s="66"/>
    </row>
    <row r="557" spans="1:42" hidden="1" x14ac:dyDescent="0.2">
      <c r="A557" s="283">
        <v>483</v>
      </c>
      <c r="F557" s="125"/>
      <c r="H557" s="36"/>
      <c r="M557" s="162"/>
      <c r="R557" s="267"/>
      <c r="S557" s="260"/>
      <c r="AA557" s="66"/>
      <c r="AF557" s="162"/>
      <c r="AG557" s="244"/>
      <c r="AL557" s="105"/>
      <c r="AN557" s="66"/>
      <c r="AO557" s="66"/>
      <c r="AP557" s="66"/>
    </row>
    <row r="558" spans="1:42" hidden="1" x14ac:dyDescent="0.2">
      <c r="A558" s="283">
        <v>484</v>
      </c>
      <c r="F558" s="125"/>
      <c r="H558" s="36"/>
      <c r="M558" s="162"/>
      <c r="R558" s="267"/>
      <c r="S558" s="260"/>
      <c r="AA558" s="66"/>
      <c r="AF558" s="162"/>
      <c r="AG558" s="244"/>
      <c r="AL558" s="105"/>
      <c r="AN558" s="66"/>
      <c r="AO558" s="66"/>
      <c r="AP558" s="66"/>
    </row>
    <row r="559" spans="1:42" hidden="1" x14ac:dyDescent="0.2">
      <c r="A559" s="283">
        <v>485</v>
      </c>
      <c r="F559" s="125"/>
      <c r="H559" s="36"/>
      <c r="M559" s="162"/>
      <c r="R559" s="267"/>
      <c r="S559" s="260"/>
      <c r="AA559" s="66"/>
      <c r="AF559" s="162"/>
      <c r="AG559" s="244"/>
      <c r="AL559" s="105"/>
      <c r="AN559" s="66"/>
      <c r="AO559" s="66"/>
      <c r="AP559" s="66"/>
    </row>
    <row r="560" spans="1:42" hidden="1" x14ac:dyDescent="0.2">
      <c r="A560" s="283">
        <v>486</v>
      </c>
      <c r="F560" s="125"/>
      <c r="H560" s="36"/>
      <c r="M560" s="162"/>
      <c r="R560" s="267"/>
      <c r="S560" s="260"/>
      <c r="AA560" s="66"/>
      <c r="AF560" s="162"/>
      <c r="AG560" s="244"/>
      <c r="AL560" s="105"/>
      <c r="AN560" s="66"/>
      <c r="AO560" s="66"/>
      <c r="AP560" s="66"/>
    </row>
    <row r="561" spans="1:42" hidden="1" x14ac:dyDescent="0.2">
      <c r="A561" s="283">
        <v>487</v>
      </c>
      <c r="F561" s="125"/>
      <c r="H561" s="36"/>
      <c r="M561" s="162"/>
      <c r="R561" s="267"/>
      <c r="S561" s="260"/>
      <c r="AA561" s="66"/>
      <c r="AF561" s="162"/>
      <c r="AG561" s="244"/>
      <c r="AL561" s="105"/>
      <c r="AN561" s="66"/>
      <c r="AO561" s="66"/>
      <c r="AP561" s="66"/>
    </row>
    <row r="562" spans="1:42" hidden="1" x14ac:dyDescent="0.2">
      <c r="A562" s="283">
        <v>488</v>
      </c>
      <c r="F562" s="125"/>
      <c r="H562" s="36"/>
      <c r="M562" s="162"/>
      <c r="R562" s="267"/>
      <c r="S562" s="260"/>
      <c r="AA562" s="66"/>
      <c r="AF562" s="162"/>
      <c r="AG562" s="244"/>
      <c r="AL562" s="105"/>
      <c r="AN562" s="66"/>
      <c r="AO562" s="66"/>
      <c r="AP562" s="66"/>
    </row>
    <row r="563" spans="1:42" hidden="1" x14ac:dyDescent="0.2">
      <c r="A563" s="283">
        <v>489</v>
      </c>
      <c r="F563" s="125"/>
      <c r="H563" s="36"/>
      <c r="M563" s="162"/>
      <c r="R563" s="267"/>
      <c r="S563" s="260"/>
      <c r="AA563" s="66"/>
      <c r="AF563" s="162"/>
      <c r="AG563" s="244"/>
      <c r="AL563" s="105"/>
      <c r="AN563" s="66"/>
      <c r="AO563" s="66"/>
      <c r="AP563" s="66"/>
    </row>
    <row r="564" spans="1:42" hidden="1" x14ac:dyDescent="0.2">
      <c r="A564" s="283">
        <v>490</v>
      </c>
      <c r="F564" s="125"/>
      <c r="H564" s="36"/>
      <c r="M564" s="162"/>
      <c r="R564" s="267"/>
      <c r="S564" s="260"/>
      <c r="AA564" s="66"/>
      <c r="AF564" s="162"/>
      <c r="AG564" s="244"/>
      <c r="AL564" s="105"/>
      <c r="AN564" s="66"/>
      <c r="AO564" s="66"/>
      <c r="AP564" s="66"/>
    </row>
    <row r="565" spans="1:42" hidden="1" x14ac:dyDescent="0.2">
      <c r="A565" s="283">
        <v>491</v>
      </c>
      <c r="F565" s="125"/>
      <c r="H565" s="36"/>
      <c r="M565" s="162"/>
      <c r="R565" s="267"/>
      <c r="S565" s="260"/>
      <c r="AA565" s="66"/>
      <c r="AF565" s="162"/>
      <c r="AG565" s="244"/>
      <c r="AL565" s="105"/>
      <c r="AN565" s="66"/>
      <c r="AO565" s="66"/>
      <c r="AP565" s="66"/>
    </row>
    <row r="566" spans="1:42" hidden="1" x14ac:dyDescent="0.2">
      <c r="A566" s="283">
        <v>492</v>
      </c>
      <c r="F566" s="125"/>
      <c r="H566" s="36"/>
      <c r="M566" s="162"/>
      <c r="R566" s="267"/>
      <c r="S566" s="260"/>
      <c r="AA566" s="66"/>
      <c r="AF566" s="162"/>
      <c r="AG566" s="244"/>
      <c r="AL566" s="105"/>
      <c r="AN566" s="66"/>
      <c r="AO566" s="66"/>
      <c r="AP566" s="66"/>
    </row>
    <row r="567" spans="1:42" hidden="1" x14ac:dyDescent="0.2">
      <c r="A567" s="283">
        <v>493</v>
      </c>
      <c r="F567" s="125"/>
      <c r="H567" s="36"/>
      <c r="M567" s="162"/>
      <c r="R567" s="267"/>
      <c r="S567" s="260"/>
      <c r="AA567" s="66"/>
      <c r="AF567" s="162"/>
      <c r="AG567" s="244"/>
      <c r="AL567" s="105"/>
      <c r="AN567" s="66"/>
      <c r="AO567" s="66"/>
      <c r="AP567" s="66"/>
    </row>
    <row r="568" spans="1:42" hidden="1" x14ac:dyDescent="0.2">
      <c r="A568" s="283">
        <v>494</v>
      </c>
      <c r="F568" s="125"/>
      <c r="H568" s="36"/>
      <c r="M568" s="162"/>
      <c r="R568" s="267"/>
      <c r="S568" s="260"/>
      <c r="AA568" s="66"/>
      <c r="AF568" s="162"/>
      <c r="AG568" s="244"/>
      <c r="AL568" s="105"/>
      <c r="AN568" s="66"/>
      <c r="AO568" s="66"/>
      <c r="AP568" s="66"/>
    </row>
    <row r="569" spans="1:42" hidden="1" x14ac:dyDescent="0.2">
      <c r="A569" s="283">
        <v>495</v>
      </c>
      <c r="F569" s="125"/>
      <c r="H569" s="36"/>
      <c r="M569" s="162"/>
      <c r="R569" s="267"/>
      <c r="S569" s="260"/>
      <c r="AA569" s="66"/>
      <c r="AF569" s="162"/>
      <c r="AG569" s="244"/>
      <c r="AL569" s="105"/>
      <c r="AN569" s="66"/>
      <c r="AO569" s="66"/>
      <c r="AP569" s="66"/>
    </row>
    <row r="570" spans="1:42" hidden="1" x14ac:dyDescent="0.2">
      <c r="A570" s="283">
        <v>496</v>
      </c>
      <c r="F570" s="125"/>
      <c r="H570" s="36"/>
      <c r="M570" s="162"/>
      <c r="R570" s="267"/>
      <c r="S570" s="260"/>
      <c r="AA570" s="66"/>
      <c r="AF570" s="162"/>
      <c r="AG570" s="244"/>
      <c r="AL570" s="105"/>
      <c r="AN570" s="66"/>
      <c r="AO570" s="66"/>
      <c r="AP570" s="66"/>
    </row>
    <row r="571" spans="1:42" hidden="1" x14ac:dyDescent="0.2">
      <c r="A571" s="283">
        <v>497</v>
      </c>
      <c r="F571" s="125"/>
      <c r="H571" s="36"/>
      <c r="M571" s="162"/>
      <c r="R571" s="267"/>
      <c r="S571" s="260"/>
      <c r="AA571" s="66"/>
      <c r="AF571" s="162"/>
      <c r="AG571" s="244"/>
      <c r="AL571" s="105"/>
      <c r="AN571" s="66"/>
      <c r="AO571" s="66"/>
      <c r="AP571" s="66"/>
    </row>
    <row r="572" spans="1:42" hidden="1" x14ac:dyDescent="0.2">
      <c r="A572" s="283">
        <v>498</v>
      </c>
      <c r="F572" s="125"/>
      <c r="H572" s="36"/>
      <c r="M572" s="162"/>
      <c r="R572" s="267"/>
      <c r="S572" s="260"/>
      <c r="AA572" s="66"/>
      <c r="AF572" s="162"/>
      <c r="AG572" s="244"/>
      <c r="AL572" s="105"/>
      <c r="AN572" s="66"/>
      <c r="AO572" s="66"/>
      <c r="AP572" s="66"/>
    </row>
    <row r="573" spans="1:42" hidden="1" x14ac:dyDescent="0.2">
      <c r="A573" s="283">
        <v>499</v>
      </c>
      <c r="F573" s="125"/>
      <c r="H573" s="36"/>
      <c r="M573" s="162"/>
      <c r="R573" s="267"/>
      <c r="S573" s="260"/>
      <c r="AA573" s="66"/>
      <c r="AF573" s="162"/>
      <c r="AG573" s="244"/>
      <c r="AL573" s="105"/>
      <c r="AN573" s="66"/>
      <c r="AO573" s="66"/>
      <c r="AP573" s="66"/>
    </row>
    <row r="574" spans="1:42" hidden="1" x14ac:dyDescent="0.2">
      <c r="A574" s="283">
        <v>500</v>
      </c>
      <c r="F574" s="125"/>
      <c r="H574" s="36"/>
      <c r="M574" s="162"/>
      <c r="R574" s="267"/>
      <c r="S574" s="260"/>
      <c r="AA574" s="66"/>
      <c r="AF574" s="162"/>
      <c r="AG574" s="244"/>
      <c r="AL574" s="105"/>
      <c r="AN574" s="66"/>
      <c r="AO574" s="66"/>
      <c r="AP574" s="66"/>
    </row>
    <row r="575" spans="1:42" hidden="1" x14ac:dyDescent="0.2">
      <c r="A575" s="283">
        <v>501</v>
      </c>
      <c r="F575" s="125"/>
      <c r="H575" s="36"/>
      <c r="M575" s="162"/>
      <c r="R575" s="267"/>
      <c r="S575" s="260"/>
      <c r="AA575" s="66"/>
      <c r="AF575" s="162"/>
      <c r="AG575" s="244"/>
      <c r="AL575" s="105"/>
      <c r="AN575" s="66"/>
      <c r="AO575" s="66"/>
      <c r="AP575" s="66"/>
    </row>
    <row r="576" spans="1:42" hidden="1" x14ac:dyDescent="0.2">
      <c r="A576" s="283">
        <v>502</v>
      </c>
      <c r="F576" s="125"/>
      <c r="H576" s="36"/>
      <c r="M576" s="162"/>
      <c r="R576" s="267"/>
      <c r="S576" s="260"/>
      <c r="AA576" s="66"/>
      <c r="AF576" s="162"/>
      <c r="AG576" s="244"/>
      <c r="AL576" s="105"/>
      <c r="AN576" s="66"/>
      <c r="AO576" s="66"/>
      <c r="AP576" s="66"/>
    </row>
    <row r="577" spans="1:42" hidden="1" x14ac:dyDescent="0.2">
      <c r="A577" s="283">
        <v>503</v>
      </c>
      <c r="F577" s="125"/>
      <c r="H577" s="36"/>
      <c r="M577" s="162"/>
      <c r="R577" s="267"/>
      <c r="S577" s="260"/>
      <c r="AA577" s="66"/>
      <c r="AF577" s="162"/>
      <c r="AG577" s="244"/>
      <c r="AL577" s="105"/>
      <c r="AN577" s="66"/>
      <c r="AO577" s="66"/>
      <c r="AP577" s="66"/>
    </row>
    <row r="578" spans="1:42" hidden="1" x14ac:dyDescent="0.2">
      <c r="A578" s="283">
        <v>504</v>
      </c>
      <c r="F578" s="125"/>
      <c r="H578" s="36"/>
      <c r="M578" s="162"/>
      <c r="R578" s="267"/>
      <c r="S578" s="260"/>
      <c r="AA578" s="66"/>
      <c r="AF578" s="162"/>
      <c r="AG578" s="244"/>
      <c r="AL578" s="105"/>
      <c r="AN578" s="66"/>
      <c r="AO578" s="66"/>
      <c r="AP578" s="66"/>
    </row>
    <row r="579" spans="1:42" hidden="1" x14ac:dyDescent="0.2">
      <c r="A579" s="283">
        <v>505</v>
      </c>
      <c r="F579" s="125"/>
      <c r="H579" s="36"/>
      <c r="M579" s="162"/>
      <c r="R579" s="267"/>
      <c r="S579" s="260"/>
      <c r="AA579" s="66"/>
      <c r="AF579" s="162"/>
      <c r="AG579" s="244"/>
      <c r="AL579" s="105"/>
      <c r="AN579" s="66"/>
      <c r="AO579" s="66"/>
      <c r="AP579" s="66"/>
    </row>
    <row r="580" spans="1:42" hidden="1" x14ac:dyDescent="0.2">
      <c r="A580" s="283">
        <v>506</v>
      </c>
      <c r="F580" s="125"/>
      <c r="H580" s="36"/>
      <c r="M580" s="162"/>
      <c r="R580" s="267"/>
      <c r="S580" s="260"/>
      <c r="AA580" s="66"/>
      <c r="AF580" s="162"/>
      <c r="AG580" s="244"/>
      <c r="AL580" s="105"/>
      <c r="AN580" s="66"/>
      <c r="AO580" s="66"/>
      <c r="AP580" s="66"/>
    </row>
    <row r="581" spans="1:42" hidden="1" x14ac:dyDescent="0.2">
      <c r="A581" s="283">
        <v>507</v>
      </c>
      <c r="F581" s="125"/>
      <c r="H581" s="36"/>
      <c r="M581" s="162"/>
      <c r="R581" s="267"/>
      <c r="S581" s="260"/>
      <c r="AA581" s="66"/>
      <c r="AF581" s="162"/>
      <c r="AG581" s="244"/>
      <c r="AL581" s="105"/>
      <c r="AN581" s="66"/>
      <c r="AO581" s="66"/>
      <c r="AP581" s="66"/>
    </row>
    <row r="582" spans="1:42" hidden="1" x14ac:dyDescent="0.2">
      <c r="A582" s="283">
        <v>508</v>
      </c>
      <c r="F582" s="125"/>
      <c r="H582" s="36"/>
      <c r="M582" s="162"/>
      <c r="R582" s="267"/>
      <c r="S582" s="260"/>
      <c r="AA582" s="66"/>
      <c r="AF582" s="162"/>
      <c r="AG582" s="244"/>
      <c r="AL582" s="105"/>
      <c r="AN582" s="66"/>
      <c r="AO582" s="66"/>
      <c r="AP582" s="66"/>
    </row>
    <row r="583" spans="1:42" hidden="1" x14ac:dyDescent="0.2">
      <c r="A583" s="283">
        <v>509</v>
      </c>
      <c r="F583" s="125"/>
      <c r="H583" s="36"/>
      <c r="M583" s="162"/>
      <c r="R583" s="267"/>
      <c r="S583" s="260"/>
      <c r="AA583" s="66"/>
      <c r="AF583" s="162"/>
      <c r="AG583" s="244"/>
      <c r="AL583" s="105"/>
      <c r="AN583" s="66"/>
      <c r="AO583" s="66"/>
      <c r="AP583" s="66"/>
    </row>
    <row r="584" spans="1:42" hidden="1" x14ac:dyDescent="0.2">
      <c r="A584" s="283">
        <v>510</v>
      </c>
      <c r="F584" s="125"/>
      <c r="H584" s="36"/>
      <c r="M584" s="162"/>
      <c r="R584" s="267"/>
      <c r="S584" s="260"/>
      <c r="AA584" s="66"/>
      <c r="AF584" s="162"/>
      <c r="AG584" s="244"/>
      <c r="AL584" s="105"/>
      <c r="AN584" s="66"/>
      <c r="AO584" s="66"/>
      <c r="AP584" s="66"/>
    </row>
    <row r="585" spans="1:42" hidden="1" x14ac:dyDescent="0.2">
      <c r="A585" s="283">
        <v>511</v>
      </c>
      <c r="F585" s="125"/>
      <c r="H585" s="36"/>
      <c r="M585" s="162"/>
      <c r="R585" s="267"/>
      <c r="S585" s="260"/>
      <c r="AA585" s="66"/>
      <c r="AF585" s="162"/>
      <c r="AG585" s="244"/>
      <c r="AL585" s="105"/>
      <c r="AN585" s="66"/>
      <c r="AO585" s="66"/>
      <c r="AP585" s="66"/>
    </row>
    <row r="586" spans="1:42" hidden="1" x14ac:dyDescent="0.2">
      <c r="A586" s="283">
        <v>512</v>
      </c>
      <c r="F586" s="125"/>
      <c r="H586" s="36"/>
      <c r="M586" s="162"/>
      <c r="R586" s="267"/>
      <c r="S586" s="260"/>
      <c r="AA586" s="66"/>
      <c r="AF586" s="162"/>
      <c r="AG586" s="244"/>
      <c r="AL586" s="105"/>
      <c r="AN586" s="66"/>
      <c r="AO586" s="66"/>
      <c r="AP586" s="66"/>
    </row>
    <row r="587" spans="1:42" hidden="1" x14ac:dyDescent="0.2">
      <c r="A587" s="283">
        <v>513</v>
      </c>
      <c r="F587" s="125"/>
      <c r="H587" s="36"/>
      <c r="M587" s="162"/>
      <c r="R587" s="267"/>
      <c r="S587" s="260"/>
      <c r="AA587" s="66"/>
      <c r="AF587" s="162"/>
      <c r="AG587" s="244"/>
      <c r="AL587" s="105"/>
      <c r="AN587" s="66"/>
      <c r="AO587" s="66"/>
      <c r="AP587" s="66"/>
    </row>
    <row r="588" spans="1:42" hidden="1" x14ac:dyDescent="0.2">
      <c r="A588" s="283">
        <v>514</v>
      </c>
      <c r="F588" s="125"/>
      <c r="H588" s="36"/>
      <c r="M588" s="162"/>
      <c r="R588" s="267"/>
      <c r="S588" s="260"/>
      <c r="AA588" s="66"/>
      <c r="AF588" s="162"/>
      <c r="AG588" s="244"/>
      <c r="AL588" s="105"/>
      <c r="AN588" s="66"/>
      <c r="AO588" s="66"/>
      <c r="AP588" s="66"/>
    </row>
    <row r="589" spans="1:42" x14ac:dyDescent="0.2">
      <c r="A589" s="283">
        <v>515</v>
      </c>
      <c r="F589" s="125"/>
      <c r="H589" s="36"/>
      <c r="M589" s="162"/>
      <c r="R589" s="267"/>
      <c r="S589" s="260"/>
      <c r="AA589" s="66"/>
      <c r="AF589" s="162"/>
      <c r="AG589" s="244"/>
      <c r="AL589" s="105"/>
      <c r="AN589" s="66"/>
      <c r="AO589" s="66"/>
      <c r="AP589" s="66"/>
    </row>
    <row r="590" spans="1:42" x14ac:dyDescent="0.2">
      <c r="A590" s="283">
        <v>516</v>
      </c>
      <c r="F590" s="125"/>
      <c r="H590" s="36"/>
      <c r="M590" s="162"/>
      <c r="R590" s="267"/>
      <c r="S590" s="260"/>
      <c r="AA590" s="66"/>
      <c r="AF590" s="162"/>
      <c r="AG590" s="244"/>
      <c r="AL590" s="105"/>
      <c r="AN590" s="66"/>
      <c r="AO590" s="66"/>
      <c r="AP590" s="66"/>
    </row>
    <row r="591" spans="1:42" x14ac:dyDescent="0.2">
      <c r="A591" s="283">
        <v>517</v>
      </c>
      <c r="F591" s="125"/>
      <c r="H591" s="36"/>
      <c r="M591" s="162"/>
      <c r="R591" s="267"/>
      <c r="S591" s="260"/>
      <c r="AA591" s="66"/>
      <c r="AF591" s="162"/>
      <c r="AG591" s="244"/>
      <c r="AL591" s="105"/>
      <c r="AN591" s="66"/>
      <c r="AO591" s="66"/>
      <c r="AP591" s="66"/>
    </row>
    <row r="592" spans="1:42" x14ac:dyDescent="0.2">
      <c r="A592" s="283">
        <v>518</v>
      </c>
      <c r="F592" s="125"/>
      <c r="H592" s="36"/>
      <c r="M592" s="162"/>
      <c r="R592" s="267"/>
      <c r="S592" s="260"/>
      <c r="AA592" s="66"/>
      <c r="AF592" s="162"/>
      <c r="AG592" s="244"/>
      <c r="AL592" s="105"/>
      <c r="AN592" s="66"/>
      <c r="AO592" s="66"/>
      <c r="AP592" s="66"/>
    </row>
    <row r="593" spans="1:42" x14ac:dyDescent="0.2">
      <c r="A593" s="283">
        <v>519</v>
      </c>
      <c r="F593" s="125"/>
      <c r="H593" s="36"/>
      <c r="M593" s="162"/>
      <c r="R593" s="267"/>
      <c r="S593" s="260"/>
      <c r="AA593" s="66"/>
      <c r="AF593" s="162"/>
      <c r="AG593" s="244"/>
      <c r="AL593" s="105"/>
      <c r="AN593" s="66"/>
      <c r="AO593" s="66"/>
      <c r="AP593" s="66"/>
    </row>
    <row r="594" spans="1:42" x14ac:dyDescent="0.2">
      <c r="A594" s="283">
        <v>520</v>
      </c>
      <c r="F594" s="125"/>
      <c r="H594" s="36"/>
      <c r="M594" s="162"/>
      <c r="R594" s="267"/>
      <c r="S594" s="260"/>
      <c r="AA594" s="66"/>
      <c r="AF594" s="162"/>
      <c r="AG594" s="244"/>
      <c r="AL594" s="105"/>
      <c r="AN594" s="66"/>
      <c r="AO594" s="66"/>
      <c r="AP594" s="66"/>
    </row>
    <row r="595" spans="1:42" x14ac:dyDescent="0.2">
      <c r="A595" s="283">
        <v>521</v>
      </c>
      <c r="F595" s="125"/>
      <c r="H595" s="36"/>
      <c r="M595" s="162"/>
      <c r="R595" s="267"/>
      <c r="S595" s="260"/>
      <c r="AA595" s="66"/>
      <c r="AF595" s="162"/>
      <c r="AG595" s="244"/>
      <c r="AL595" s="105"/>
      <c r="AN595" s="66"/>
      <c r="AO595" s="66"/>
      <c r="AP595" s="66"/>
    </row>
    <row r="596" spans="1:42" x14ac:dyDescent="0.2">
      <c r="A596" s="283">
        <v>522</v>
      </c>
      <c r="F596" s="125"/>
      <c r="H596" s="36"/>
      <c r="M596" s="162"/>
      <c r="R596" s="267"/>
      <c r="S596" s="260"/>
      <c r="AA596" s="66"/>
      <c r="AF596" s="162"/>
      <c r="AG596" s="244"/>
      <c r="AL596" s="105"/>
      <c r="AN596" s="66"/>
      <c r="AO596" s="66"/>
      <c r="AP596" s="66"/>
    </row>
    <row r="597" spans="1:42" x14ac:dyDescent="0.2">
      <c r="A597" s="283">
        <v>523</v>
      </c>
      <c r="F597" s="125"/>
      <c r="H597" s="36"/>
      <c r="M597" s="162"/>
      <c r="R597" s="267"/>
      <c r="S597" s="260"/>
      <c r="AA597" s="66"/>
      <c r="AF597" s="162"/>
      <c r="AG597" s="244"/>
      <c r="AL597" s="105"/>
      <c r="AN597" s="66"/>
      <c r="AO597" s="66"/>
      <c r="AP597" s="66"/>
    </row>
    <row r="598" spans="1:42" x14ac:dyDescent="0.2">
      <c r="A598" s="283">
        <v>524</v>
      </c>
      <c r="F598" s="125"/>
      <c r="H598" s="36"/>
      <c r="M598" s="162"/>
      <c r="R598" s="267"/>
      <c r="S598" s="260"/>
      <c r="AA598" s="66"/>
      <c r="AF598" s="162"/>
      <c r="AG598" s="244"/>
      <c r="AL598" s="105"/>
      <c r="AN598" s="66"/>
      <c r="AO598" s="66"/>
      <c r="AP598" s="66"/>
    </row>
    <row r="599" spans="1:42" x14ac:dyDescent="0.2">
      <c r="A599" s="283">
        <v>525</v>
      </c>
      <c r="F599" s="125"/>
      <c r="H599" s="36"/>
      <c r="M599" s="162"/>
      <c r="R599" s="267"/>
      <c r="S599" s="260"/>
      <c r="AA599" s="66"/>
      <c r="AF599" s="162"/>
      <c r="AG599" s="244"/>
      <c r="AL599" s="105"/>
      <c r="AN599" s="66"/>
      <c r="AO599" s="66"/>
      <c r="AP599" s="66"/>
    </row>
    <row r="600" spans="1:42" x14ac:dyDescent="0.2">
      <c r="A600" s="283">
        <v>526</v>
      </c>
      <c r="F600" s="125"/>
      <c r="H600" s="36"/>
      <c r="M600" s="162"/>
      <c r="R600" s="267"/>
      <c r="S600" s="260"/>
      <c r="AA600" s="66"/>
      <c r="AF600" s="162"/>
      <c r="AG600" s="244"/>
      <c r="AL600" s="105"/>
      <c r="AN600" s="66"/>
      <c r="AO600" s="66"/>
      <c r="AP600" s="66"/>
    </row>
    <row r="601" spans="1:42" x14ac:dyDescent="0.2">
      <c r="A601" s="283">
        <v>527</v>
      </c>
      <c r="F601" s="125"/>
      <c r="H601" s="36"/>
      <c r="M601" s="162"/>
      <c r="R601" s="267"/>
      <c r="S601" s="260"/>
      <c r="AA601" s="66"/>
      <c r="AF601" s="162"/>
      <c r="AG601" s="244"/>
      <c r="AL601" s="105"/>
      <c r="AN601" s="66"/>
      <c r="AO601" s="66"/>
      <c r="AP601" s="66"/>
    </row>
    <row r="602" spans="1:42" x14ac:dyDescent="0.2">
      <c r="A602" s="283">
        <v>528</v>
      </c>
      <c r="F602" s="125"/>
      <c r="H602" s="36"/>
      <c r="M602" s="162"/>
      <c r="R602" s="267"/>
      <c r="S602" s="260"/>
      <c r="AA602" s="66"/>
      <c r="AF602" s="162"/>
      <c r="AG602" s="244"/>
      <c r="AL602" s="105"/>
      <c r="AN602" s="66"/>
      <c r="AO602" s="66"/>
      <c r="AP602" s="66"/>
    </row>
    <row r="603" spans="1:42" x14ac:dyDescent="0.2">
      <c r="A603" s="283">
        <v>529</v>
      </c>
      <c r="F603" s="125"/>
      <c r="H603" s="36"/>
      <c r="M603" s="162"/>
      <c r="R603" s="267"/>
      <c r="S603" s="260"/>
      <c r="AA603" s="66"/>
      <c r="AF603" s="162"/>
      <c r="AG603" s="244"/>
      <c r="AL603" s="105"/>
      <c r="AN603" s="66"/>
      <c r="AO603" s="66"/>
      <c r="AP603" s="66"/>
    </row>
    <row r="604" spans="1:42" x14ac:dyDescent="0.2">
      <c r="A604" s="283">
        <v>530</v>
      </c>
      <c r="F604" s="125"/>
      <c r="H604" s="36"/>
      <c r="M604" s="162"/>
      <c r="R604" s="267"/>
      <c r="S604" s="260"/>
      <c r="AA604" s="66"/>
      <c r="AF604" s="162"/>
      <c r="AG604" s="244"/>
      <c r="AL604" s="105"/>
      <c r="AN604" s="66"/>
      <c r="AO604" s="66"/>
      <c r="AP604" s="66"/>
    </row>
    <row r="605" spans="1:42" x14ac:dyDescent="0.2">
      <c r="A605" s="283">
        <v>531</v>
      </c>
      <c r="F605" s="125"/>
      <c r="H605" s="36"/>
      <c r="M605" s="162"/>
      <c r="R605" s="267"/>
      <c r="S605" s="260"/>
      <c r="AA605" s="66"/>
      <c r="AF605" s="162"/>
      <c r="AG605" s="244"/>
      <c r="AL605" s="105"/>
      <c r="AN605" s="66"/>
      <c r="AO605" s="66"/>
      <c r="AP605" s="66"/>
    </row>
    <row r="606" spans="1:42" x14ac:dyDescent="0.2">
      <c r="A606" s="283">
        <v>532</v>
      </c>
      <c r="F606" s="125"/>
      <c r="H606" s="36"/>
      <c r="M606" s="162"/>
      <c r="R606" s="267"/>
      <c r="S606" s="260"/>
      <c r="AA606" s="66"/>
      <c r="AF606" s="162"/>
      <c r="AG606" s="244"/>
      <c r="AL606" s="105"/>
      <c r="AN606" s="66"/>
      <c r="AO606" s="66"/>
      <c r="AP606" s="66"/>
    </row>
    <row r="607" spans="1:42" x14ac:dyDescent="0.2">
      <c r="A607" s="283">
        <v>533</v>
      </c>
      <c r="F607" s="125"/>
      <c r="H607" s="36"/>
      <c r="M607" s="162"/>
      <c r="R607" s="267"/>
      <c r="S607" s="260"/>
      <c r="AA607" s="66"/>
      <c r="AF607" s="162"/>
      <c r="AG607" s="244"/>
      <c r="AL607" s="105"/>
      <c r="AN607" s="66"/>
      <c r="AO607" s="66"/>
      <c r="AP607" s="66"/>
    </row>
    <row r="608" spans="1:42" x14ac:dyDescent="0.2">
      <c r="A608" s="283">
        <v>534</v>
      </c>
      <c r="F608" s="125"/>
      <c r="H608" s="36"/>
      <c r="M608" s="162"/>
      <c r="R608" s="267"/>
      <c r="S608" s="260"/>
      <c r="AA608" s="66"/>
      <c r="AF608" s="162"/>
      <c r="AG608" s="244"/>
      <c r="AL608" s="105"/>
      <c r="AN608" s="66"/>
      <c r="AO608" s="66"/>
      <c r="AP608" s="66"/>
    </row>
    <row r="609" spans="1:42" x14ac:dyDescent="0.2">
      <c r="A609" s="283">
        <v>535</v>
      </c>
      <c r="F609" s="125"/>
      <c r="H609" s="36"/>
      <c r="M609" s="162"/>
      <c r="R609" s="267"/>
      <c r="S609" s="260"/>
      <c r="AA609" s="66"/>
      <c r="AF609" s="162"/>
      <c r="AG609" s="244"/>
      <c r="AL609" s="105"/>
      <c r="AN609" s="66"/>
      <c r="AO609" s="66"/>
      <c r="AP609" s="66"/>
    </row>
    <row r="610" spans="1:42" x14ac:dyDescent="0.2">
      <c r="A610" s="283">
        <v>536</v>
      </c>
      <c r="F610" s="125"/>
      <c r="H610" s="36"/>
      <c r="M610" s="162"/>
      <c r="R610" s="267"/>
      <c r="S610" s="260"/>
      <c r="AA610" s="66"/>
      <c r="AF610" s="162"/>
      <c r="AG610" s="244"/>
      <c r="AL610" s="105"/>
      <c r="AN610" s="66"/>
      <c r="AO610" s="66"/>
      <c r="AP610" s="66"/>
    </row>
    <row r="611" spans="1:42" x14ac:dyDescent="0.2">
      <c r="A611" s="283">
        <v>537</v>
      </c>
      <c r="F611" s="125"/>
      <c r="H611" s="36"/>
      <c r="M611" s="162"/>
      <c r="R611" s="267"/>
      <c r="S611" s="260"/>
      <c r="AA611" s="66"/>
      <c r="AF611" s="162"/>
      <c r="AG611" s="244"/>
      <c r="AL611" s="105"/>
      <c r="AN611" s="66"/>
      <c r="AO611" s="66"/>
      <c r="AP611" s="66"/>
    </row>
    <row r="612" spans="1:42" x14ac:dyDescent="0.2">
      <c r="A612" s="283">
        <v>538</v>
      </c>
      <c r="F612" s="125"/>
      <c r="H612" s="36"/>
      <c r="M612" s="162"/>
      <c r="R612" s="267"/>
      <c r="S612" s="260"/>
      <c r="AA612" s="66"/>
      <c r="AF612" s="162"/>
      <c r="AG612" s="244"/>
      <c r="AL612" s="105"/>
      <c r="AN612" s="66"/>
      <c r="AO612" s="66"/>
      <c r="AP612" s="66"/>
    </row>
    <row r="613" spans="1:42" x14ac:dyDescent="0.2">
      <c r="A613" s="283">
        <v>539</v>
      </c>
      <c r="F613" s="125"/>
      <c r="H613" s="36"/>
      <c r="M613" s="162"/>
      <c r="R613" s="267"/>
      <c r="S613" s="260"/>
      <c r="AA613" s="66"/>
      <c r="AF613" s="162"/>
      <c r="AG613" s="244"/>
      <c r="AL613" s="105"/>
      <c r="AN613" s="66"/>
      <c r="AO613" s="66"/>
      <c r="AP613" s="66"/>
    </row>
    <row r="614" spans="1:42" x14ac:dyDescent="0.2">
      <c r="A614" s="283">
        <v>542</v>
      </c>
      <c r="F614" s="125"/>
      <c r="H614" s="36"/>
      <c r="M614" s="162"/>
      <c r="R614" s="267"/>
      <c r="S614" s="260"/>
      <c r="AA614" s="66"/>
      <c r="AF614" s="162"/>
      <c r="AG614" s="244"/>
      <c r="AL614" s="105"/>
      <c r="AN614" s="66"/>
      <c r="AO614" s="66"/>
      <c r="AP614" s="66"/>
    </row>
    <row r="615" spans="1:42" x14ac:dyDescent="0.2">
      <c r="A615" s="283">
        <v>543</v>
      </c>
      <c r="F615" s="125"/>
      <c r="H615" s="36"/>
      <c r="M615" s="162"/>
      <c r="R615" s="267"/>
      <c r="S615" s="260"/>
      <c r="AA615" s="66"/>
      <c r="AF615" s="162"/>
      <c r="AG615" s="244"/>
      <c r="AL615" s="105"/>
      <c r="AN615" s="66"/>
      <c r="AO615" s="66"/>
      <c r="AP615" s="66"/>
    </row>
    <row r="616" spans="1:42" x14ac:dyDescent="0.2">
      <c r="A616" s="283">
        <v>544</v>
      </c>
      <c r="F616" s="125"/>
      <c r="H616" s="36"/>
      <c r="M616" s="162"/>
      <c r="R616" s="267"/>
      <c r="S616" s="260"/>
      <c r="AA616" s="66"/>
      <c r="AF616" s="162"/>
      <c r="AG616" s="244"/>
      <c r="AL616" s="105"/>
      <c r="AN616" s="66"/>
      <c r="AO616" s="66"/>
      <c r="AP616" s="66"/>
    </row>
    <row r="617" spans="1:42" x14ac:dyDescent="0.2">
      <c r="A617" s="283">
        <v>545</v>
      </c>
      <c r="F617" s="125"/>
      <c r="H617" s="36"/>
      <c r="M617" s="162"/>
      <c r="R617" s="267"/>
      <c r="S617" s="260"/>
      <c r="AA617" s="66"/>
      <c r="AF617" s="162"/>
      <c r="AG617" s="244"/>
      <c r="AL617" s="105"/>
      <c r="AN617" s="66"/>
      <c r="AO617" s="66"/>
      <c r="AP617" s="66"/>
    </row>
    <row r="618" spans="1:42" x14ac:dyDescent="0.2">
      <c r="A618" s="283">
        <v>546</v>
      </c>
      <c r="F618" s="125"/>
      <c r="H618" s="36"/>
      <c r="M618" s="162"/>
      <c r="R618" s="267"/>
      <c r="S618" s="260"/>
      <c r="AA618" s="66"/>
      <c r="AF618" s="162"/>
      <c r="AG618" s="244"/>
      <c r="AL618" s="105"/>
      <c r="AN618" s="66"/>
      <c r="AO618" s="66"/>
      <c r="AP618" s="66"/>
    </row>
    <row r="619" spans="1:42" x14ac:dyDescent="0.2">
      <c r="A619" s="283">
        <v>547</v>
      </c>
      <c r="F619" s="125"/>
      <c r="H619" s="36"/>
      <c r="M619" s="162"/>
      <c r="R619" s="267"/>
      <c r="S619" s="260"/>
      <c r="AA619" s="66"/>
      <c r="AF619" s="162"/>
      <c r="AG619" s="244"/>
      <c r="AL619" s="105"/>
      <c r="AN619" s="66"/>
      <c r="AO619" s="66"/>
      <c r="AP619" s="66"/>
    </row>
    <row r="620" spans="1:42" x14ac:dyDescent="0.2">
      <c r="A620" s="283">
        <v>548</v>
      </c>
      <c r="F620" s="125"/>
      <c r="H620" s="36"/>
      <c r="M620" s="162"/>
      <c r="R620" s="267"/>
      <c r="S620" s="260"/>
      <c r="AA620" s="66"/>
      <c r="AF620" s="162"/>
      <c r="AG620" s="244"/>
      <c r="AL620" s="105"/>
      <c r="AN620" s="66"/>
      <c r="AO620" s="66"/>
      <c r="AP620" s="66"/>
    </row>
    <row r="621" spans="1:42" x14ac:dyDescent="0.2">
      <c r="A621" s="283">
        <v>549</v>
      </c>
      <c r="F621" s="125"/>
      <c r="H621" s="36"/>
      <c r="M621" s="162"/>
      <c r="R621" s="267"/>
      <c r="S621" s="260"/>
      <c r="AA621" s="66"/>
      <c r="AF621" s="162"/>
      <c r="AG621" s="244"/>
      <c r="AL621" s="105"/>
      <c r="AN621" s="66"/>
      <c r="AO621" s="66"/>
      <c r="AP621" s="66"/>
    </row>
    <row r="622" spans="1:42" x14ac:dyDescent="0.2">
      <c r="A622" s="283">
        <v>550</v>
      </c>
      <c r="F622" s="125"/>
      <c r="H622" s="36"/>
      <c r="M622" s="162"/>
      <c r="R622" s="267"/>
      <c r="S622" s="260"/>
      <c r="AA622" s="66"/>
      <c r="AF622" s="162"/>
      <c r="AG622" s="244"/>
      <c r="AL622" s="105"/>
      <c r="AN622" s="66"/>
      <c r="AO622" s="66"/>
      <c r="AP622" s="66"/>
    </row>
    <row r="623" spans="1:42" x14ac:dyDescent="0.2">
      <c r="A623" s="283">
        <v>551</v>
      </c>
      <c r="F623" s="125"/>
      <c r="H623" s="36"/>
      <c r="M623" s="162"/>
      <c r="R623" s="267"/>
      <c r="S623" s="260"/>
      <c r="AA623" s="66"/>
      <c r="AF623" s="162"/>
      <c r="AG623" s="244"/>
      <c r="AL623" s="105"/>
      <c r="AN623" s="66"/>
      <c r="AO623" s="66"/>
      <c r="AP623" s="66"/>
    </row>
    <row r="624" spans="1:42" x14ac:dyDescent="0.2">
      <c r="A624" s="283">
        <v>552</v>
      </c>
      <c r="F624" s="125"/>
      <c r="H624" s="36"/>
      <c r="M624" s="162"/>
      <c r="R624" s="267"/>
      <c r="S624" s="260"/>
      <c r="AA624" s="66"/>
      <c r="AF624" s="162"/>
      <c r="AG624" s="244"/>
      <c r="AL624" s="105"/>
      <c r="AN624" s="66"/>
      <c r="AO624" s="66"/>
      <c r="AP624" s="66"/>
    </row>
    <row r="625" spans="1:42" x14ac:dyDescent="0.2">
      <c r="A625" s="283">
        <v>553</v>
      </c>
      <c r="F625" s="125"/>
      <c r="H625" s="36"/>
      <c r="M625" s="162"/>
      <c r="R625" s="267"/>
      <c r="S625" s="260"/>
      <c r="AA625" s="66"/>
      <c r="AF625" s="162"/>
      <c r="AG625" s="244"/>
      <c r="AL625" s="105"/>
      <c r="AN625" s="66"/>
      <c r="AO625" s="132"/>
      <c r="AP625" s="132"/>
    </row>
    <row r="626" spans="1:42" x14ac:dyDescent="0.2">
      <c r="A626" s="283">
        <v>554</v>
      </c>
      <c r="F626" s="125"/>
      <c r="H626" s="36"/>
      <c r="M626" s="162"/>
      <c r="R626" s="267"/>
      <c r="S626" s="260"/>
      <c r="AA626" s="66"/>
      <c r="AF626" s="162"/>
      <c r="AG626" s="244"/>
      <c r="AL626" s="105"/>
      <c r="AN626" s="66"/>
      <c r="AO626" s="132"/>
      <c r="AP626" s="132"/>
    </row>
    <row r="627" spans="1:42" x14ac:dyDescent="0.2">
      <c r="A627" s="283">
        <v>555</v>
      </c>
      <c r="F627" s="125"/>
      <c r="H627" s="36"/>
      <c r="M627" s="162"/>
      <c r="R627" s="267"/>
      <c r="S627" s="260"/>
      <c r="AA627" s="66"/>
      <c r="AF627" s="162"/>
      <c r="AG627" s="244"/>
      <c r="AL627" s="105"/>
      <c r="AN627" s="66"/>
      <c r="AO627" s="132"/>
      <c r="AP627" s="132"/>
    </row>
    <row r="628" spans="1:42" x14ac:dyDescent="0.2">
      <c r="A628" s="283">
        <v>556</v>
      </c>
      <c r="F628" s="125"/>
      <c r="H628" s="36"/>
      <c r="M628" s="162"/>
      <c r="R628" s="267"/>
      <c r="S628" s="260"/>
      <c r="AA628" s="66"/>
      <c r="AF628" s="162"/>
      <c r="AG628" s="244"/>
      <c r="AL628" s="105"/>
      <c r="AN628" s="66"/>
      <c r="AO628" s="132"/>
      <c r="AP628" s="132"/>
    </row>
    <row r="629" spans="1:42" x14ac:dyDescent="0.2">
      <c r="A629" s="283">
        <v>557</v>
      </c>
      <c r="F629" s="125"/>
      <c r="H629" s="36"/>
      <c r="M629" s="162"/>
      <c r="R629" s="267"/>
      <c r="S629" s="260"/>
      <c r="AA629" s="66"/>
      <c r="AF629" s="162"/>
      <c r="AG629" s="244"/>
      <c r="AL629" s="105"/>
      <c r="AN629" s="66"/>
      <c r="AO629" s="132"/>
      <c r="AP629" s="132"/>
    </row>
    <row r="630" spans="1:42" x14ac:dyDescent="0.2">
      <c r="A630" s="283">
        <v>558</v>
      </c>
      <c r="F630" s="125"/>
      <c r="H630" s="36"/>
      <c r="M630" s="162"/>
      <c r="R630" s="267"/>
      <c r="S630" s="260"/>
      <c r="AA630" s="66"/>
      <c r="AF630" s="162"/>
      <c r="AG630" s="244"/>
      <c r="AL630" s="105"/>
      <c r="AN630" s="66"/>
      <c r="AO630" s="132"/>
      <c r="AP630" s="132"/>
    </row>
    <row r="631" spans="1:42" x14ac:dyDescent="0.2">
      <c r="A631" s="283">
        <v>559</v>
      </c>
      <c r="F631" s="125"/>
      <c r="H631" s="36"/>
      <c r="M631" s="162"/>
      <c r="R631" s="267"/>
      <c r="S631" s="260"/>
      <c r="AA631" s="66"/>
      <c r="AF631" s="162"/>
      <c r="AG631" s="244"/>
      <c r="AL631" s="105"/>
      <c r="AN631" s="66"/>
      <c r="AO631" s="132"/>
      <c r="AP631" s="132"/>
    </row>
    <row r="632" spans="1:42" x14ac:dyDescent="0.2">
      <c r="A632" s="283">
        <v>560</v>
      </c>
      <c r="F632" s="125"/>
      <c r="H632" s="36"/>
      <c r="M632" s="162"/>
      <c r="R632" s="267"/>
      <c r="S632" s="260"/>
      <c r="AA632" s="66"/>
      <c r="AF632" s="162"/>
      <c r="AG632" s="244"/>
      <c r="AL632" s="105"/>
      <c r="AN632" s="66"/>
      <c r="AO632" s="132"/>
      <c r="AP632" s="132"/>
    </row>
    <row r="633" spans="1:42" x14ac:dyDescent="0.2">
      <c r="A633" s="283">
        <v>561</v>
      </c>
      <c r="F633" s="125"/>
      <c r="H633" s="36"/>
      <c r="M633" s="162"/>
      <c r="R633" s="267"/>
      <c r="S633" s="260"/>
      <c r="AA633" s="66"/>
      <c r="AF633" s="162"/>
      <c r="AG633" s="244"/>
      <c r="AL633" s="105"/>
      <c r="AN633" s="66"/>
      <c r="AO633" s="132"/>
      <c r="AP633" s="132"/>
    </row>
    <row r="634" spans="1:42" x14ac:dyDescent="0.2">
      <c r="A634" s="283">
        <v>562</v>
      </c>
      <c r="F634" s="125"/>
      <c r="H634" s="36"/>
      <c r="M634" s="162"/>
      <c r="R634" s="267"/>
      <c r="S634" s="260"/>
      <c r="AA634" s="66"/>
      <c r="AF634" s="162"/>
      <c r="AG634" s="244"/>
      <c r="AL634" s="105"/>
      <c r="AN634" s="66"/>
      <c r="AO634" s="132"/>
      <c r="AP634" s="132"/>
    </row>
    <row r="635" spans="1:42" x14ac:dyDescent="0.2">
      <c r="A635" s="283">
        <v>563</v>
      </c>
      <c r="F635" s="125"/>
      <c r="H635" s="36"/>
      <c r="M635" s="162"/>
      <c r="R635" s="267"/>
      <c r="S635" s="260"/>
      <c r="AA635" s="66"/>
      <c r="AF635" s="162"/>
      <c r="AG635" s="244"/>
      <c r="AL635" s="105"/>
      <c r="AN635" s="66"/>
      <c r="AO635" s="132"/>
      <c r="AP635" s="132"/>
    </row>
    <row r="636" spans="1:42" x14ac:dyDescent="0.2">
      <c r="A636" s="283">
        <v>564</v>
      </c>
      <c r="F636" s="125"/>
      <c r="H636" s="36"/>
      <c r="M636" s="162"/>
      <c r="R636" s="267"/>
      <c r="S636" s="260"/>
      <c r="AA636" s="66"/>
      <c r="AF636" s="162"/>
      <c r="AG636" s="244"/>
      <c r="AL636" s="105"/>
      <c r="AN636" s="66"/>
      <c r="AO636" s="132"/>
      <c r="AP636" s="132"/>
    </row>
    <row r="637" spans="1:42" x14ac:dyDescent="0.2">
      <c r="A637" s="283">
        <v>565</v>
      </c>
      <c r="F637" s="125"/>
      <c r="H637" s="36"/>
      <c r="M637" s="162"/>
      <c r="R637" s="267"/>
      <c r="S637" s="260"/>
      <c r="AA637" s="66"/>
      <c r="AF637" s="162"/>
      <c r="AG637" s="244"/>
      <c r="AL637" s="105"/>
      <c r="AN637" s="66"/>
      <c r="AO637" s="132"/>
      <c r="AP637" s="132"/>
    </row>
    <row r="638" spans="1:42" x14ac:dyDescent="0.2">
      <c r="A638" s="283">
        <v>566</v>
      </c>
      <c r="F638" s="125"/>
      <c r="H638" s="36"/>
      <c r="M638" s="162"/>
      <c r="R638" s="267"/>
      <c r="S638" s="260"/>
      <c r="AA638" s="66"/>
      <c r="AF638" s="162"/>
      <c r="AG638" s="244"/>
      <c r="AL638" s="105"/>
      <c r="AN638" s="66"/>
      <c r="AO638" s="132"/>
      <c r="AP638" s="132"/>
    </row>
    <row r="639" spans="1:42" x14ac:dyDescent="0.2">
      <c r="A639" s="283">
        <v>567</v>
      </c>
      <c r="F639" s="125"/>
      <c r="H639" s="36"/>
      <c r="M639" s="162"/>
      <c r="R639" s="267"/>
      <c r="S639" s="260"/>
      <c r="AA639" s="66"/>
      <c r="AF639" s="162"/>
      <c r="AG639" s="244"/>
      <c r="AL639" s="105"/>
      <c r="AN639" s="66"/>
      <c r="AO639" s="132"/>
      <c r="AP639" s="132"/>
    </row>
    <row r="640" spans="1:42" x14ac:dyDescent="0.2">
      <c r="A640" s="283">
        <v>568</v>
      </c>
      <c r="F640" s="125"/>
      <c r="H640" s="36"/>
      <c r="M640" s="162"/>
      <c r="R640" s="267"/>
      <c r="S640" s="260"/>
      <c r="AA640" s="66"/>
      <c r="AF640" s="162"/>
      <c r="AG640" s="244"/>
      <c r="AL640" s="105"/>
      <c r="AN640" s="66"/>
      <c r="AO640" s="132"/>
      <c r="AP640" s="132"/>
    </row>
    <row r="641" spans="1:42" x14ac:dyDescent="0.2">
      <c r="A641" s="283">
        <v>569</v>
      </c>
      <c r="F641" s="125"/>
      <c r="H641" s="36"/>
      <c r="M641" s="162"/>
      <c r="R641" s="267"/>
      <c r="S641" s="260"/>
      <c r="AA641" s="66"/>
      <c r="AF641" s="162"/>
      <c r="AG641" s="244"/>
      <c r="AL641" s="105"/>
      <c r="AN641" s="66"/>
      <c r="AO641" s="132"/>
      <c r="AP641" s="132"/>
    </row>
    <row r="642" spans="1:42" x14ac:dyDescent="0.2">
      <c r="A642" s="283">
        <v>570</v>
      </c>
      <c r="F642" s="125"/>
      <c r="H642" s="36"/>
      <c r="M642" s="162"/>
      <c r="R642" s="267"/>
      <c r="S642" s="260"/>
      <c r="AA642" s="66"/>
      <c r="AF642" s="162"/>
      <c r="AG642" s="244"/>
      <c r="AL642" s="105"/>
      <c r="AN642" s="66"/>
      <c r="AO642" s="132"/>
      <c r="AP642" s="132"/>
    </row>
    <row r="643" spans="1:42" x14ac:dyDescent="0.2">
      <c r="A643" s="283">
        <v>571</v>
      </c>
      <c r="F643" s="125"/>
      <c r="H643" s="36"/>
      <c r="M643" s="162"/>
      <c r="R643" s="267"/>
      <c r="S643" s="260"/>
      <c r="AA643" s="66"/>
      <c r="AF643" s="162"/>
      <c r="AG643" s="244"/>
      <c r="AL643" s="105"/>
      <c r="AN643" s="66"/>
      <c r="AO643" s="132"/>
      <c r="AP643" s="132"/>
    </row>
    <row r="644" spans="1:42" x14ac:dyDescent="0.2">
      <c r="A644" s="283">
        <v>572</v>
      </c>
      <c r="F644" s="125"/>
      <c r="H644" s="36"/>
      <c r="M644" s="162"/>
      <c r="R644" s="267"/>
      <c r="S644" s="260"/>
      <c r="AA644" s="66"/>
      <c r="AF644" s="162"/>
      <c r="AG644" s="244"/>
      <c r="AL644" s="105"/>
      <c r="AN644" s="66"/>
      <c r="AO644" s="132"/>
      <c r="AP644" s="132"/>
    </row>
    <row r="645" spans="1:42" x14ac:dyDescent="0.2">
      <c r="A645" s="283">
        <v>573</v>
      </c>
      <c r="F645" s="125"/>
      <c r="H645" s="36"/>
      <c r="M645" s="162"/>
      <c r="R645" s="267"/>
      <c r="S645" s="260"/>
      <c r="AA645" s="66"/>
      <c r="AF645" s="162"/>
      <c r="AG645" s="244"/>
      <c r="AL645" s="105"/>
      <c r="AN645" s="66"/>
      <c r="AO645" s="132"/>
      <c r="AP645" s="132"/>
    </row>
    <row r="646" spans="1:42" x14ac:dyDescent="0.2">
      <c r="A646" s="283">
        <v>574</v>
      </c>
      <c r="F646" s="125"/>
      <c r="H646" s="36"/>
      <c r="M646" s="162"/>
      <c r="R646" s="267"/>
      <c r="S646" s="260"/>
      <c r="AA646" s="66"/>
      <c r="AF646" s="162"/>
      <c r="AG646" s="244"/>
      <c r="AL646" s="105"/>
      <c r="AN646" s="66"/>
      <c r="AO646" s="132"/>
      <c r="AP646" s="132"/>
    </row>
    <row r="647" spans="1:42" x14ac:dyDescent="0.2">
      <c r="A647" s="283">
        <v>575</v>
      </c>
      <c r="F647" s="125"/>
      <c r="H647" s="36"/>
      <c r="M647" s="162"/>
      <c r="R647" s="267"/>
      <c r="S647" s="260"/>
      <c r="AA647" s="66"/>
      <c r="AF647" s="162"/>
      <c r="AG647" s="244"/>
      <c r="AL647" s="105"/>
      <c r="AN647" s="66"/>
      <c r="AO647" s="132"/>
      <c r="AP647" s="132"/>
    </row>
    <row r="648" spans="1:42" x14ac:dyDescent="0.2">
      <c r="A648" s="283">
        <v>576</v>
      </c>
      <c r="F648" s="125"/>
      <c r="H648" s="36"/>
      <c r="M648" s="162"/>
      <c r="R648" s="267"/>
      <c r="S648" s="260"/>
      <c r="AA648" s="66"/>
      <c r="AF648" s="162"/>
      <c r="AG648" s="244"/>
      <c r="AL648" s="105"/>
      <c r="AN648" s="66"/>
      <c r="AO648" s="132"/>
      <c r="AP648" s="132"/>
    </row>
    <row r="649" spans="1:42" x14ac:dyDescent="0.2">
      <c r="A649" s="283">
        <v>577</v>
      </c>
      <c r="F649" s="125"/>
      <c r="H649" s="36"/>
      <c r="M649" s="162"/>
      <c r="R649" s="267"/>
      <c r="S649" s="260"/>
      <c r="AA649" s="66"/>
      <c r="AF649" s="162"/>
      <c r="AG649" s="244"/>
      <c r="AL649" s="105"/>
      <c r="AN649" s="66"/>
      <c r="AO649" s="132"/>
      <c r="AP649" s="132"/>
    </row>
    <row r="650" spans="1:42" x14ac:dyDescent="0.2">
      <c r="A650" s="283">
        <v>578</v>
      </c>
      <c r="F650" s="125"/>
      <c r="H650" s="36"/>
      <c r="M650" s="162"/>
      <c r="R650" s="267"/>
      <c r="S650" s="260"/>
      <c r="AA650" s="66"/>
      <c r="AF650" s="162"/>
      <c r="AG650" s="244"/>
      <c r="AL650" s="105"/>
      <c r="AN650" s="66"/>
      <c r="AO650" s="132"/>
      <c r="AP650" s="132"/>
    </row>
    <row r="651" spans="1:42" x14ac:dyDescent="0.2">
      <c r="A651" s="283">
        <v>579</v>
      </c>
      <c r="F651" s="125"/>
      <c r="H651" s="36"/>
      <c r="M651" s="162"/>
      <c r="R651" s="267"/>
      <c r="S651" s="260"/>
      <c r="AA651" s="66"/>
      <c r="AF651" s="162"/>
      <c r="AG651" s="244"/>
      <c r="AL651" s="105"/>
      <c r="AN651" s="66"/>
      <c r="AO651" s="132"/>
      <c r="AP651" s="132"/>
    </row>
    <row r="652" spans="1:42" x14ac:dyDescent="0.2">
      <c r="A652" s="283">
        <v>580</v>
      </c>
      <c r="F652" s="125"/>
      <c r="H652" s="36"/>
      <c r="M652" s="162"/>
      <c r="R652" s="267"/>
      <c r="S652" s="260"/>
      <c r="AA652" s="66"/>
      <c r="AF652" s="162"/>
      <c r="AG652" s="244"/>
      <c r="AL652" s="105"/>
      <c r="AN652" s="66"/>
      <c r="AO652" s="132"/>
      <c r="AP652" s="132"/>
    </row>
    <row r="653" spans="1:42" x14ac:dyDescent="0.2">
      <c r="A653" s="283">
        <v>581</v>
      </c>
      <c r="F653" s="125"/>
      <c r="H653" s="36"/>
      <c r="M653" s="162"/>
      <c r="R653" s="267"/>
      <c r="S653" s="260"/>
      <c r="AA653" s="66"/>
      <c r="AF653" s="162"/>
      <c r="AG653" s="244"/>
      <c r="AL653" s="105"/>
      <c r="AN653" s="66"/>
      <c r="AO653" s="132"/>
      <c r="AP653" s="132"/>
    </row>
    <row r="654" spans="1:42" x14ac:dyDescent="0.2">
      <c r="A654" s="283">
        <v>582</v>
      </c>
      <c r="F654" s="125"/>
      <c r="H654" s="36"/>
      <c r="M654" s="162"/>
      <c r="R654" s="267"/>
      <c r="S654" s="260"/>
      <c r="AA654" s="66"/>
      <c r="AF654" s="162"/>
      <c r="AG654" s="244"/>
      <c r="AL654" s="105"/>
      <c r="AN654" s="66"/>
      <c r="AO654" s="132"/>
      <c r="AP654" s="132"/>
    </row>
    <row r="655" spans="1:42" x14ac:dyDescent="0.2">
      <c r="A655" s="283">
        <v>583</v>
      </c>
      <c r="F655" s="125"/>
      <c r="H655" s="36"/>
      <c r="M655" s="162"/>
      <c r="R655" s="267"/>
      <c r="S655" s="260"/>
      <c r="AA655" s="66"/>
      <c r="AF655" s="162"/>
      <c r="AG655" s="244"/>
      <c r="AL655" s="105"/>
      <c r="AN655" s="66"/>
      <c r="AO655" s="132"/>
      <c r="AP655" s="132"/>
    </row>
    <row r="656" spans="1:42" x14ac:dyDescent="0.2">
      <c r="A656" s="283">
        <v>584</v>
      </c>
      <c r="F656" s="125"/>
      <c r="H656" s="36"/>
      <c r="M656" s="162"/>
      <c r="R656" s="267"/>
      <c r="S656" s="260"/>
      <c r="AA656" s="66"/>
      <c r="AF656" s="162"/>
      <c r="AG656" s="244"/>
      <c r="AL656" s="105"/>
      <c r="AN656" s="66"/>
      <c r="AO656" s="132"/>
      <c r="AP656" s="132"/>
    </row>
    <row r="657" spans="1:60" x14ac:dyDescent="0.2">
      <c r="A657" s="283">
        <v>585</v>
      </c>
      <c r="F657" s="125"/>
      <c r="H657" s="36"/>
      <c r="M657" s="162"/>
      <c r="R657" s="267"/>
      <c r="S657" s="260"/>
      <c r="AA657" s="66"/>
      <c r="AF657" s="162"/>
      <c r="AG657" s="244"/>
      <c r="AL657" s="105"/>
      <c r="AN657" s="66"/>
      <c r="AO657" s="132"/>
      <c r="AP657" s="132"/>
    </row>
    <row r="658" spans="1:60" x14ac:dyDescent="0.2">
      <c r="A658" s="283">
        <v>586</v>
      </c>
      <c r="F658" s="125"/>
      <c r="H658" s="36"/>
      <c r="M658" s="162"/>
      <c r="R658" s="267"/>
      <c r="S658" s="260"/>
      <c r="AA658" s="66"/>
      <c r="AF658" s="162"/>
      <c r="AG658" s="244"/>
      <c r="AL658" s="105"/>
      <c r="AN658" s="66"/>
      <c r="AO658" s="132"/>
      <c r="AP658" s="132"/>
    </row>
    <row r="659" spans="1:60" x14ac:dyDescent="0.2">
      <c r="A659" s="283">
        <v>587</v>
      </c>
      <c r="F659" s="125"/>
      <c r="H659" s="36"/>
      <c r="M659" s="162"/>
      <c r="R659" s="267"/>
      <c r="S659" s="260"/>
      <c r="AA659" s="66"/>
      <c r="AF659" s="162"/>
      <c r="AG659" s="244"/>
      <c r="AL659" s="105"/>
      <c r="AN659" s="66"/>
      <c r="AO659" s="132"/>
      <c r="AP659" s="132"/>
    </row>
    <row r="660" spans="1:60" x14ac:dyDescent="0.2">
      <c r="A660" s="283">
        <v>588</v>
      </c>
      <c r="F660" s="125"/>
      <c r="H660" s="36"/>
      <c r="M660" s="162"/>
      <c r="R660" s="267"/>
      <c r="S660" s="260"/>
      <c r="AA660" s="66"/>
      <c r="AF660" s="162"/>
      <c r="AG660" s="244"/>
      <c r="AL660" s="105"/>
      <c r="AN660" s="66"/>
      <c r="AO660" s="132"/>
      <c r="AP660" s="132"/>
    </row>
    <row r="661" spans="1:60" s="497" customFormat="1" x14ac:dyDescent="0.2">
      <c r="A661" s="283">
        <v>589</v>
      </c>
      <c r="B661" s="146"/>
      <c r="C661" s="492"/>
      <c r="D661" s="493"/>
      <c r="E661" s="185"/>
      <c r="F661" s="125"/>
      <c r="G661" s="492"/>
      <c r="H661" s="494"/>
      <c r="I661" s="147"/>
      <c r="J661" s="492"/>
      <c r="K661" s="492"/>
      <c r="L661" s="492"/>
      <c r="M661" s="162"/>
      <c r="N661" s="492"/>
      <c r="O661" s="492"/>
      <c r="P661" s="492"/>
      <c r="Q661" s="492"/>
      <c r="R661" s="495"/>
      <c r="S661" s="260"/>
      <c r="T661" s="492"/>
      <c r="U661" s="492"/>
      <c r="V661" s="492"/>
      <c r="W661" s="496"/>
      <c r="X661" s="492"/>
      <c r="Y661" s="492"/>
      <c r="AA661" s="66"/>
      <c r="AF661" s="162"/>
      <c r="AG661" s="244"/>
      <c r="AH661" s="492"/>
      <c r="AI661" s="492"/>
      <c r="AJ661" s="492"/>
      <c r="AK661" s="492"/>
      <c r="AL661" s="105"/>
      <c r="AN661" s="66"/>
      <c r="AO661" s="132"/>
      <c r="AP661" s="132"/>
      <c r="BH661" s="492"/>
    </row>
    <row r="662" spans="1:60" x14ac:dyDescent="0.2">
      <c r="A662" s="283">
        <v>590</v>
      </c>
      <c r="F662" s="125"/>
      <c r="H662" s="36"/>
      <c r="M662" s="162"/>
      <c r="R662" s="267"/>
      <c r="S662" s="260"/>
      <c r="AA662" s="66"/>
      <c r="AF662" s="162"/>
      <c r="AG662" s="244"/>
      <c r="AL662" s="105"/>
      <c r="AN662" s="66"/>
      <c r="AO662" s="132"/>
      <c r="AP662" s="132"/>
    </row>
    <row r="663" spans="1:60" x14ac:dyDescent="0.2">
      <c r="A663" s="283">
        <v>591</v>
      </c>
      <c r="F663" s="125"/>
      <c r="M663" s="162"/>
      <c r="R663" s="267"/>
      <c r="S663" s="260"/>
      <c r="AA663" s="66"/>
      <c r="AF663" s="162"/>
      <c r="AG663" s="244"/>
      <c r="AL663" s="105"/>
      <c r="AN663" s="66"/>
      <c r="AO663" s="132"/>
      <c r="AP663" s="132"/>
    </row>
    <row r="664" spans="1:60" x14ac:dyDescent="0.2">
      <c r="A664" s="283"/>
      <c r="F664" s="125"/>
      <c r="M664" s="162"/>
      <c r="R664" s="267"/>
      <c r="S664" s="260"/>
      <c r="AA664" s="66"/>
      <c r="AF664" s="162"/>
      <c r="AG664" s="244"/>
      <c r="AL664" s="105"/>
      <c r="AN664" s="66"/>
      <c r="AO664" s="132"/>
      <c r="AP664" s="132"/>
    </row>
    <row r="665" spans="1:60" x14ac:dyDescent="0.2">
      <c r="A665" s="283"/>
      <c r="F665" s="125"/>
      <c r="M665" s="162"/>
      <c r="R665" s="267"/>
      <c r="S665" s="260"/>
      <c r="AA665" s="66"/>
      <c r="AF665" s="162"/>
      <c r="AG665" s="244"/>
      <c r="AL665" s="105"/>
      <c r="AN665" s="66"/>
      <c r="AO665" s="132"/>
      <c r="AP665" s="132"/>
    </row>
    <row r="666" spans="1:60" x14ac:dyDescent="0.2">
      <c r="A666" s="283">
        <v>592</v>
      </c>
      <c r="F666" s="125"/>
      <c r="M666" s="162"/>
      <c r="R666" s="267"/>
      <c r="S666" s="260"/>
      <c r="AA666" s="66"/>
      <c r="AF666" s="162"/>
      <c r="AG666" s="244"/>
      <c r="AL666" s="105"/>
      <c r="AN666" s="66"/>
      <c r="AO666" s="132"/>
      <c r="AP666" s="132"/>
    </row>
    <row r="667" spans="1:60" x14ac:dyDescent="0.2">
      <c r="A667" s="283">
        <v>595</v>
      </c>
      <c r="F667" s="125"/>
      <c r="M667" s="162"/>
      <c r="R667" s="267"/>
      <c r="S667" s="260"/>
      <c r="AA667" s="66"/>
      <c r="AF667" s="162"/>
      <c r="AG667" s="244"/>
      <c r="AL667" s="105"/>
      <c r="AN667" s="66"/>
      <c r="AO667" s="132"/>
      <c r="AP667" s="132"/>
    </row>
    <row r="668" spans="1:60" x14ac:dyDescent="0.2">
      <c r="A668" s="483">
        <v>596</v>
      </c>
      <c r="F668" s="484"/>
      <c r="M668" s="485"/>
      <c r="R668" s="486"/>
      <c r="S668" s="487"/>
      <c r="AA668" s="488"/>
      <c r="AF668" s="485"/>
      <c r="AG668" s="489"/>
      <c r="AL668" s="490"/>
      <c r="AN668" s="488"/>
      <c r="AO668" s="132"/>
      <c r="AP668" s="132"/>
    </row>
    <row r="669" spans="1:60" x14ac:dyDescent="0.2">
      <c r="A669" s="283">
        <v>47</v>
      </c>
      <c r="B669" s="471"/>
      <c r="C669" s="85"/>
      <c r="D669" s="472"/>
      <c r="E669" s="473"/>
      <c r="F669" s="474"/>
      <c r="G669" s="85"/>
      <c r="H669" s="85"/>
      <c r="I669" s="475"/>
      <c r="J669" s="85"/>
      <c r="K669" s="85"/>
      <c r="L669" s="85"/>
      <c r="M669" s="476"/>
      <c r="N669" s="85"/>
      <c r="O669" s="85"/>
      <c r="P669" s="85"/>
      <c r="Q669" s="85"/>
      <c r="R669" s="477"/>
      <c r="S669" s="478"/>
      <c r="T669" s="85"/>
      <c r="U669" s="85"/>
      <c r="V669" s="85"/>
      <c r="W669" s="470"/>
      <c r="X669" s="85"/>
      <c r="Y669" s="85"/>
      <c r="Z669" s="479"/>
      <c r="AA669" s="480"/>
      <c r="AB669" s="479"/>
      <c r="AC669" s="479"/>
      <c r="AD669" s="479"/>
      <c r="AE669" s="479"/>
      <c r="AF669" s="476"/>
      <c r="AG669" s="481"/>
      <c r="AH669" s="85"/>
      <c r="AI669" s="85"/>
      <c r="AJ669" s="85"/>
      <c r="AK669" s="85"/>
      <c r="AL669" s="482"/>
      <c r="AM669" s="479"/>
      <c r="AN669" s="480"/>
      <c r="AO669" s="480"/>
      <c r="AP669" s="480"/>
      <c r="AQ669" s="479"/>
    </row>
    <row r="670" spans="1:60" x14ac:dyDescent="0.2">
      <c r="A670" s="283">
        <v>47</v>
      </c>
      <c r="B670" s="471"/>
      <c r="C670" s="85"/>
      <c r="D670" s="472"/>
      <c r="E670" s="473"/>
      <c r="F670" s="474"/>
      <c r="G670" s="85"/>
      <c r="H670" s="85"/>
      <c r="I670" s="475"/>
      <c r="J670" s="85"/>
      <c r="K670" s="85"/>
      <c r="L670" s="85"/>
      <c r="M670" s="476"/>
      <c r="N670" s="85"/>
      <c r="O670" s="85"/>
      <c r="P670" s="85"/>
      <c r="Q670" s="85"/>
      <c r="R670" s="477"/>
      <c r="S670" s="478"/>
      <c r="T670" s="85"/>
      <c r="U670" s="85"/>
      <c r="V670" s="85"/>
      <c r="W670" s="470"/>
      <c r="X670" s="85"/>
      <c r="Y670" s="85"/>
      <c r="Z670" s="479"/>
      <c r="AA670" s="480"/>
      <c r="AB670" s="479"/>
      <c r="AC670" s="479"/>
      <c r="AD670" s="479"/>
      <c r="AE670" s="479"/>
      <c r="AF670" s="476"/>
      <c r="AG670" s="481"/>
      <c r="AH670" s="85"/>
      <c r="AI670" s="85"/>
      <c r="AJ670" s="85"/>
      <c r="AK670" s="85"/>
      <c r="AL670" s="482"/>
      <c r="AM670" s="479"/>
      <c r="AN670" s="480"/>
      <c r="AO670" s="480"/>
      <c r="AP670" s="480"/>
      <c r="AQ670" s="479"/>
    </row>
    <row r="671" spans="1:60" x14ac:dyDescent="0.2">
      <c r="A671" s="283">
        <v>47</v>
      </c>
      <c r="B671" s="471"/>
      <c r="C671" s="85"/>
      <c r="D671" s="472"/>
      <c r="E671" s="473"/>
      <c r="F671" s="474"/>
      <c r="G671" s="85"/>
      <c r="H671" s="85"/>
      <c r="I671" s="475"/>
      <c r="J671" s="85"/>
      <c r="K671" s="85"/>
      <c r="L671" s="85"/>
      <c r="M671" s="476"/>
      <c r="N671" s="85"/>
      <c r="O671" s="85"/>
      <c r="P671" s="85"/>
      <c r="Q671" s="85"/>
      <c r="R671" s="477"/>
      <c r="S671" s="478"/>
      <c r="T671" s="85"/>
      <c r="U671" s="85"/>
      <c r="V671" s="85"/>
      <c r="W671" s="470"/>
      <c r="X671" s="85"/>
      <c r="Y671" s="85"/>
      <c r="Z671" s="479"/>
      <c r="AA671" s="480"/>
      <c r="AB671" s="479"/>
      <c r="AC671" s="479"/>
      <c r="AD671" s="479"/>
      <c r="AE671" s="479"/>
      <c r="AF671" s="476"/>
      <c r="AG671" s="481"/>
      <c r="AH671" s="85"/>
      <c r="AI671" s="85"/>
      <c r="AJ671" s="85"/>
      <c r="AK671" s="85"/>
      <c r="AL671" s="482"/>
      <c r="AM671" s="479"/>
      <c r="AN671" s="480"/>
      <c r="AO671" s="480"/>
      <c r="AP671" s="480"/>
      <c r="AQ671" s="479"/>
    </row>
    <row r="672" spans="1:60" x14ac:dyDescent="0.2">
      <c r="A672" s="283">
        <v>47</v>
      </c>
      <c r="B672" s="471"/>
      <c r="C672" s="85"/>
      <c r="D672" s="472"/>
      <c r="E672" s="473"/>
      <c r="F672" s="474"/>
      <c r="G672" s="85"/>
      <c r="H672" s="85"/>
      <c r="I672" s="475"/>
      <c r="J672" s="85"/>
      <c r="K672" s="85"/>
      <c r="L672" s="85"/>
      <c r="M672" s="476"/>
      <c r="N672" s="85"/>
      <c r="O672" s="85"/>
      <c r="P672" s="85"/>
      <c r="Q672" s="85"/>
      <c r="R672" s="477"/>
      <c r="S672" s="478"/>
      <c r="T672" s="85"/>
      <c r="U672" s="85"/>
      <c r="V672" s="85"/>
      <c r="W672" s="470"/>
      <c r="X672" s="85"/>
      <c r="Y672" s="85"/>
      <c r="Z672" s="479"/>
      <c r="AA672" s="480"/>
      <c r="AB672" s="479"/>
      <c r="AC672" s="479"/>
      <c r="AD672" s="479"/>
      <c r="AE672" s="479"/>
      <c r="AF672" s="476"/>
      <c r="AG672" s="481"/>
      <c r="AH672" s="85"/>
      <c r="AI672" s="85"/>
      <c r="AJ672" s="85"/>
      <c r="AK672" s="85"/>
      <c r="AL672" s="482"/>
      <c r="AM672" s="479"/>
      <c r="AN672" s="480"/>
      <c r="AO672" s="480"/>
      <c r="AP672" s="480"/>
      <c r="AQ672" s="479"/>
    </row>
    <row r="673" spans="1:43" x14ac:dyDescent="0.2">
      <c r="A673" s="283">
        <v>47</v>
      </c>
      <c r="B673" s="471"/>
      <c r="C673" s="85"/>
      <c r="D673" s="472"/>
      <c r="E673" s="473"/>
      <c r="F673" s="474"/>
      <c r="G673" s="85"/>
      <c r="H673" s="85"/>
      <c r="I673" s="475"/>
      <c r="J673" s="85"/>
      <c r="K673" s="85"/>
      <c r="L673" s="85"/>
      <c r="M673" s="476"/>
      <c r="N673" s="85"/>
      <c r="O673" s="85"/>
      <c r="P673" s="85"/>
      <c r="Q673" s="85"/>
      <c r="R673" s="477"/>
      <c r="S673" s="478"/>
      <c r="T673" s="85"/>
      <c r="U673" s="85"/>
      <c r="V673" s="85"/>
      <c r="W673" s="470"/>
      <c r="X673" s="85"/>
      <c r="Y673" s="85"/>
      <c r="Z673" s="479"/>
      <c r="AA673" s="480"/>
      <c r="AB673" s="479"/>
      <c r="AC673" s="479"/>
      <c r="AD673" s="479"/>
      <c r="AE673" s="479"/>
      <c r="AF673" s="476"/>
      <c r="AG673" s="481"/>
      <c r="AH673" s="85"/>
      <c r="AI673" s="85"/>
      <c r="AJ673" s="85"/>
      <c r="AK673" s="85"/>
      <c r="AL673" s="482"/>
      <c r="AM673" s="479"/>
      <c r="AN673" s="480"/>
      <c r="AO673" s="480"/>
      <c r="AP673" s="480"/>
      <c r="AQ673" s="479"/>
    </row>
    <row r="674" spans="1:43" x14ac:dyDescent="0.2">
      <c r="A674" s="283">
        <v>47</v>
      </c>
      <c r="B674" s="471"/>
      <c r="C674" s="85"/>
      <c r="D674" s="472"/>
      <c r="E674" s="473"/>
      <c r="F674" s="474"/>
      <c r="G674" s="85"/>
      <c r="H674" s="85"/>
      <c r="I674" s="475"/>
      <c r="J674" s="85"/>
      <c r="K674" s="85"/>
      <c r="L674" s="85"/>
      <c r="M674" s="476"/>
      <c r="N674" s="85"/>
      <c r="O674" s="85"/>
      <c r="P674" s="85"/>
      <c r="Q674" s="85"/>
      <c r="R674" s="477"/>
      <c r="S674" s="478"/>
      <c r="T674" s="85"/>
      <c r="U674" s="85"/>
      <c r="V674" s="85"/>
      <c r="W674" s="470"/>
      <c r="X674" s="85"/>
      <c r="Y674" s="85"/>
      <c r="Z674" s="479"/>
      <c r="AA674" s="480"/>
      <c r="AB674" s="479"/>
      <c r="AC674" s="479"/>
      <c r="AD674" s="479"/>
      <c r="AE674" s="479"/>
      <c r="AF674" s="476"/>
      <c r="AG674" s="481"/>
      <c r="AH674" s="85"/>
      <c r="AI674" s="85"/>
      <c r="AJ674" s="85"/>
      <c r="AK674" s="85"/>
      <c r="AL674" s="482"/>
      <c r="AM674" s="479"/>
      <c r="AN674" s="480"/>
      <c r="AO674" s="480"/>
      <c r="AP674" s="480"/>
      <c r="AQ674" s="479"/>
    </row>
    <row r="675" spans="1:43" x14ac:dyDescent="0.2">
      <c r="A675" s="283">
        <v>47</v>
      </c>
      <c r="B675" s="471"/>
      <c r="C675" s="85"/>
      <c r="D675" s="472"/>
      <c r="E675" s="473"/>
      <c r="F675" s="474"/>
      <c r="G675" s="85"/>
      <c r="H675" s="85"/>
      <c r="I675" s="475"/>
      <c r="J675" s="85"/>
      <c r="K675" s="85"/>
      <c r="L675" s="85"/>
      <c r="M675" s="476"/>
      <c r="N675" s="85"/>
      <c r="O675" s="85"/>
      <c r="P675" s="85"/>
      <c r="Q675" s="85"/>
      <c r="R675" s="477"/>
      <c r="S675" s="478"/>
      <c r="T675" s="85"/>
      <c r="U675" s="85"/>
      <c r="V675" s="85"/>
      <c r="W675" s="470"/>
      <c r="X675" s="85"/>
      <c r="Y675" s="85"/>
      <c r="Z675" s="479"/>
      <c r="AA675" s="480"/>
      <c r="AB675" s="479"/>
      <c r="AC675" s="479"/>
      <c r="AD675" s="479"/>
      <c r="AE675" s="479"/>
      <c r="AF675" s="476"/>
      <c r="AG675" s="481"/>
      <c r="AH675" s="85"/>
      <c r="AI675" s="85"/>
      <c r="AJ675" s="85"/>
      <c r="AK675" s="85"/>
      <c r="AL675" s="482"/>
      <c r="AM675" s="479"/>
      <c r="AN675" s="480"/>
      <c r="AO675" s="480"/>
      <c r="AP675" s="480"/>
      <c r="AQ675" s="479"/>
    </row>
    <row r="676" spans="1:43" x14ac:dyDescent="0.2">
      <c r="A676" s="283">
        <v>47</v>
      </c>
      <c r="B676" s="471"/>
      <c r="C676" s="85"/>
      <c r="D676" s="472"/>
      <c r="E676" s="473"/>
      <c r="F676" s="474"/>
      <c r="G676" s="85"/>
      <c r="H676" s="85"/>
      <c r="I676" s="475"/>
      <c r="J676" s="85"/>
      <c r="K676" s="85"/>
      <c r="L676" s="85"/>
      <c r="M676" s="476"/>
      <c r="N676" s="85"/>
      <c r="O676" s="85"/>
      <c r="P676" s="85"/>
      <c r="Q676" s="85"/>
      <c r="R676" s="477"/>
      <c r="S676" s="478"/>
      <c r="T676" s="85"/>
      <c r="U676" s="85"/>
      <c r="V676" s="85"/>
      <c r="W676" s="470"/>
      <c r="X676" s="85"/>
      <c r="Y676" s="85"/>
      <c r="Z676" s="479"/>
      <c r="AA676" s="480"/>
      <c r="AB676" s="479"/>
      <c r="AC676" s="479"/>
      <c r="AD676" s="479"/>
      <c r="AE676" s="479"/>
      <c r="AF676" s="476"/>
      <c r="AG676" s="481"/>
      <c r="AH676" s="85"/>
      <c r="AI676" s="85"/>
      <c r="AJ676" s="85"/>
      <c r="AK676" s="85"/>
      <c r="AL676" s="482"/>
      <c r="AM676" s="479"/>
      <c r="AN676" s="480"/>
      <c r="AO676" s="480"/>
      <c r="AP676" s="480"/>
      <c r="AQ676" s="479"/>
    </row>
    <row r="677" spans="1:43" x14ac:dyDescent="0.2">
      <c r="A677" s="283">
        <v>47</v>
      </c>
      <c r="B677" s="471"/>
      <c r="C677" s="85"/>
      <c r="D677" s="472"/>
      <c r="E677" s="473"/>
      <c r="F677" s="474"/>
      <c r="G677" s="85"/>
      <c r="H677" s="85"/>
      <c r="I677" s="475"/>
      <c r="J677" s="85"/>
      <c r="K677" s="85"/>
      <c r="L677" s="85"/>
      <c r="M677" s="476"/>
      <c r="N677" s="85"/>
      <c r="O677" s="85"/>
      <c r="P677" s="85"/>
      <c r="Q677" s="85"/>
      <c r="R677" s="477"/>
      <c r="S677" s="478"/>
      <c r="T677" s="85"/>
      <c r="U677" s="85"/>
      <c r="V677" s="85"/>
      <c r="W677" s="470"/>
      <c r="X677" s="85"/>
      <c r="Y677" s="85"/>
      <c r="Z677" s="479"/>
      <c r="AA677" s="480"/>
      <c r="AB677" s="479"/>
      <c r="AC677" s="479"/>
      <c r="AD677" s="479"/>
      <c r="AE677" s="479"/>
      <c r="AF677" s="476"/>
      <c r="AG677" s="481"/>
      <c r="AH677" s="85"/>
      <c r="AI677" s="85"/>
      <c r="AJ677" s="85"/>
      <c r="AK677" s="85"/>
      <c r="AL677" s="482"/>
      <c r="AM677" s="479"/>
      <c r="AN677" s="480"/>
      <c r="AO677" s="480"/>
      <c r="AP677" s="480"/>
      <c r="AQ677" s="479"/>
    </row>
    <row r="678" spans="1:43" x14ac:dyDescent="0.2">
      <c r="A678" s="283">
        <v>47</v>
      </c>
      <c r="B678" s="471"/>
      <c r="C678" s="85"/>
      <c r="D678" s="472"/>
      <c r="E678" s="473"/>
      <c r="F678" s="474"/>
      <c r="G678" s="85"/>
      <c r="H678" s="85"/>
      <c r="I678" s="475"/>
      <c r="J678" s="85"/>
      <c r="K678" s="85"/>
      <c r="L678" s="85"/>
      <c r="M678" s="476"/>
      <c r="N678" s="85"/>
      <c r="O678" s="85"/>
      <c r="P678" s="85"/>
      <c r="Q678" s="85"/>
      <c r="R678" s="477"/>
      <c r="S678" s="478"/>
      <c r="T678" s="85"/>
      <c r="U678" s="85"/>
      <c r="V678" s="85"/>
      <c r="W678" s="470"/>
      <c r="X678" s="85"/>
      <c r="Y678" s="85"/>
      <c r="Z678" s="479"/>
      <c r="AA678" s="480"/>
      <c r="AB678" s="479"/>
      <c r="AC678" s="479"/>
      <c r="AD678" s="479"/>
      <c r="AE678" s="479"/>
      <c r="AF678" s="476"/>
      <c r="AG678" s="481"/>
      <c r="AH678" s="85"/>
      <c r="AI678" s="85"/>
      <c r="AJ678" s="85"/>
      <c r="AK678" s="85"/>
      <c r="AL678" s="482"/>
      <c r="AM678" s="479"/>
      <c r="AN678" s="480"/>
      <c r="AO678" s="480"/>
      <c r="AP678" s="480"/>
      <c r="AQ678" s="479"/>
    </row>
    <row r="679" spans="1:43" x14ac:dyDescent="0.2">
      <c r="A679" s="283">
        <v>47</v>
      </c>
      <c r="B679" s="471"/>
      <c r="C679" s="85"/>
      <c r="D679" s="472"/>
      <c r="E679" s="473"/>
      <c r="F679" s="474"/>
      <c r="G679" s="85"/>
      <c r="H679" s="85"/>
      <c r="I679" s="475"/>
      <c r="J679" s="85"/>
      <c r="K679" s="85"/>
      <c r="L679" s="85"/>
      <c r="M679" s="476"/>
      <c r="N679" s="85"/>
      <c r="O679" s="85"/>
      <c r="P679" s="85"/>
      <c r="Q679" s="85"/>
      <c r="R679" s="477"/>
      <c r="S679" s="478"/>
      <c r="T679" s="85"/>
      <c r="U679" s="85"/>
      <c r="V679" s="85"/>
      <c r="W679" s="470"/>
      <c r="X679" s="85"/>
      <c r="Y679" s="85"/>
      <c r="Z679" s="479"/>
      <c r="AA679" s="480"/>
      <c r="AB679" s="479"/>
      <c r="AC679" s="479"/>
      <c r="AD679" s="479"/>
      <c r="AE679" s="479"/>
      <c r="AF679" s="476"/>
      <c r="AG679" s="481"/>
      <c r="AH679" s="85"/>
      <c r="AI679" s="85"/>
      <c r="AJ679" s="85"/>
      <c r="AK679" s="85"/>
      <c r="AL679" s="482"/>
      <c r="AM679" s="479"/>
      <c r="AN679" s="480"/>
      <c r="AO679" s="480"/>
      <c r="AP679" s="480"/>
      <c r="AQ679" s="479"/>
    </row>
    <row r="680" spans="1:43" x14ac:dyDescent="0.2">
      <c r="A680" s="283">
        <v>47</v>
      </c>
      <c r="B680" s="471"/>
      <c r="C680" s="85"/>
      <c r="D680" s="472"/>
      <c r="E680" s="473"/>
      <c r="F680" s="474"/>
      <c r="G680" s="85"/>
      <c r="H680" s="85"/>
      <c r="I680" s="475"/>
      <c r="J680" s="85"/>
      <c r="K680" s="85"/>
      <c r="L680" s="85"/>
      <c r="M680" s="476"/>
      <c r="N680" s="85"/>
      <c r="O680" s="85"/>
      <c r="P680" s="85"/>
      <c r="Q680" s="85"/>
      <c r="R680" s="477"/>
      <c r="S680" s="478"/>
      <c r="T680" s="85"/>
      <c r="U680" s="85"/>
      <c r="V680" s="85"/>
      <c r="W680" s="470"/>
      <c r="X680" s="85"/>
      <c r="Y680" s="85"/>
      <c r="Z680" s="479"/>
      <c r="AA680" s="480"/>
      <c r="AB680" s="479"/>
      <c r="AC680" s="479"/>
      <c r="AD680" s="479"/>
      <c r="AE680" s="479"/>
      <c r="AF680" s="476"/>
      <c r="AG680" s="481"/>
      <c r="AH680" s="85"/>
      <c r="AI680" s="85"/>
      <c r="AJ680" s="85"/>
      <c r="AK680" s="85"/>
      <c r="AL680" s="482"/>
      <c r="AM680" s="479"/>
      <c r="AN680" s="480"/>
      <c r="AO680" s="480"/>
      <c r="AP680" s="480"/>
      <c r="AQ680" s="479"/>
    </row>
    <row r="681" spans="1:43" x14ac:dyDescent="0.2">
      <c r="A681" s="283">
        <v>47</v>
      </c>
      <c r="B681" s="471"/>
      <c r="C681" s="85"/>
      <c r="D681" s="472"/>
      <c r="E681" s="473"/>
      <c r="F681" s="474"/>
      <c r="G681" s="85"/>
      <c r="H681" s="85"/>
      <c r="I681" s="475"/>
      <c r="J681" s="85"/>
      <c r="K681" s="85"/>
      <c r="L681" s="85"/>
      <c r="M681" s="476"/>
      <c r="N681" s="85"/>
      <c r="O681" s="85"/>
      <c r="P681" s="85"/>
      <c r="Q681" s="85"/>
      <c r="R681" s="477"/>
      <c r="S681" s="478"/>
      <c r="T681" s="85"/>
      <c r="U681" s="85"/>
      <c r="V681" s="85"/>
      <c r="W681" s="470"/>
      <c r="X681" s="85"/>
      <c r="Y681" s="85"/>
      <c r="Z681" s="479"/>
      <c r="AA681" s="480"/>
      <c r="AB681" s="479"/>
      <c r="AC681" s="479"/>
      <c r="AD681" s="479"/>
      <c r="AE681" s="479"/>
      <c r="AF681" s="476"/>
      <c r="AG681" s="481"/>
      <c r="AH681" s="85"/>
      <c r="AI681" s="85"/>
      <c r="AJ681" s="85"/>
      <c r="AK681" s="85"/>
      <c r="AL681" s="482"/>
      <c r="AM681" s="479"/>
      <c r="AN681" s="480"/>
      <c r="AO681" s="480"/>
      <c r="AP681" s="480"/>
      <c r="AQ681" s="479"/>
    </row>
    <row r="682" spans="1:43" x14ac:dyDescent="0.2">
      <c r="A682" s="283">
        <v>47</v>
      </c>
      <c r="B682" s="471"/>
      <c r="C682" s="85"/>
      <c r="D682" s="472"/>
      <c r="E682" s="473"/>
      <c r="F682" s="474"/>
      <c r="G682" s="85"/>
      <c r="H682" s="85"/>
      <c r="I682" s="475"/>
      <c r="J682" s="85"/>
      <c r="K682" s="85"/>
      <c r="L682" s="85"/>
      <c r="M682" s="476"/>
      <c r="N682" s="85"/>
      <c r="O682" s="85"/>
      <c r="P682" s="85"/>
      <c r="Q682" s="85"/>
      <c r="R682" s="477"/>
      <c r="S682" s="478"/>
      <c r="T682" s="85"/>
      <c r="U682" s="85"/>
      <c r="V682" s="85"/>
      <c r="W682" s="470"/>
      <c r="X682" s="85"/>
      <c r="Y682" s="85"/>
      <c r="Z682" s="479"/>
      <c r="AA682" s="480"/>
      <c r="AB682" s="479"/>
      <c r="AC682" s="479"/>
      <c r="AD682" s="479"/>
      <c r="AE682" s="479"/>
      <c r="AF682" s="476"/>
      <c r="AG682" s="481"/>
      <c r="AH682" s="85"/>
      <c r="AI682" s="85"/>
      <c r="AJ682" s="85"/>
      <c r="AK682" s="85"/>
      <c r="AL682" s="482"/>
      <c r="AM682" s="479"/>
      <c r="AN682" s="480"/>
      <c r="AO682" s="480"/>
      <c r="AP682" s="480"/>
      <c r="AQ682" s="479"/>
    </row>
    <row r="683" spans="1:43" x14ac:dyDescent="0.2">
      <c r="A683" s="283">
        <v>47</v>
      </c>
      <c r="B683" s="471"/>
      <c r="C683" s="85"/>
      <c r="D683" s="472"/>
      <c r="E683" s="473"/>
      <c r="F683" s="474"/>
      <c r="G683" s="85"/>
      <c r="H683" s="85"/>
      <c r="I683" s="475"/>
      <c r="J683" s="85"/>
      <c r="K683" s="85"/>
      <c r="L683" s="85"/>
      <c r="M683" s="476"/>
      <c r="N683" s="85"/>
      <c r="O683" s="85"/>
      <c r="P683" s="85"/>
      <c r="Q683" s="85"/>
      <c r="R683" s="477"/>
      <c r="S683" s="478"/>
      <c r="T683" s="85"/>
      <c r="U683" s="85"/>
      <c r="V683" s="85"/>
      <c r="W683" s="470"/>
      <c r="X683" s="85"/>
      <c r="Y683" s="85"/>
      <c r="Z683" s="479"/>
      <c r="AA683" s="480"/>
      <c r="AB683" s="479"/>
      <c r="AC683" s="479"/>
      <c r="AD683" s="479"/>
      <c r="AE683" s="479"/>
      <c r="AF683" s="476"/>
      <c r="AG683" s="481"/>
      <c r="AH683" s="85"/>
      <c r="AI683" s="85"/>
      <c r="AJ683" s="85"/>
      <c r="AK683" s="85"/>
      <c r="AL683" s="482"/>
      <c r="AM683" s="479"/>
      <c r="AN683" s="480"/>
      <c r="AO683" s="480"/>
      <c r="AP683" s="480"/>
      <c r="AQ683" s="479"/>
    </row>
    <row r="684" spans="1:43" x14ac:dyDescent="0.2">
      <c r="A684" s="283">
        <v>47</v>
      </c>
      <c r="B684" s="471"/>
      <c r="C684" s="85"/>
      <c r="D684" s="472"/>
      <c r="E684" s="473"/>
      <c r="F684" s="474"/>
      <c r="G684" s="85"/>
      <c r="H684" s="85"/>
      <c r="I684" s="475"/>
      <c r="J684" s="85"/>
      <c r="K684" s="85"/>
      <c r="L684" s="85"/>
      <c r="M684" s="476"/>
      <c r="N684" s="85"/>
      <c r="O684" s="85"/>
      <c r="P684" s="85"/>
      <c r="Q684" s="85"/>
      <c r="R684" s="477"/>
      <c r="S684" s="478"/>
      <c r="T684" s="85"/>
      <c r="U684" s="85"/>
      <c r="V684" s="85"/>
      <c r="W684" s="470"/>
      <c r="X684" s="85"/>
      <c r="Y684" s="85"/>
      <c r="Z684" s="479"/>
      <c r="AA684" s="480"/>
      <c r="AB684" s="479"/>
      <c r="AC684" s="479"/>
      <c r="AD684" s="479"/>
      <c r="AE684" s="479"/>
      <c r="AF684" s="476"/>
      <c r="AG684" s="481"/>
      <c r="AH684" s="85"/>
      <c r="AI684" s="85"/>
      <c r="AJ684" s="85"/>
      <c r="AK684" s="85"/>
      <c r="AL684" s="482"/>
      <c r="AM684" s="479"/>
      <c r="AN684" s="480"/>
      <c r="AO684" s="480"/>
      <c r="AP684" s="480"/>
      <c r="AQ684" s="479"/>
    </row>
    <row r="685" spans="1:43" x14ac:dyDescent="0.2">
      <c r="A685" s="283">
        <v>47</v>
      </c>
      <c r="B685" s="471"/>
      <c r="C685" s="85"/>
      <c r="D685" s="472"/>
      <c r="E685" s="473"/>
      <c r="F685" s="474"/>
      <c r="G685" s="85"/>
      <c r="H685" s="85"/>
      <c r="I685" s="475"/>
      <c r="J685" s="85"/>
      <c r="K685" s="85"/>
      <c r="L685" s="85"/>
      <c r="M685" s="476"/>
      <c r="N685" s="85"/>
      <c r="O685" s="85"/>
      <c r="P685" s="85"/>
      <c r="Q685" s="85"/>
      <c r="R685" s="477"/>
      <c r="S685" s="478"/>
      <c r="T685" s="85"/>
      <c r="U685" s="85"/>
      <c r="V685" s="85"/>
      <c r="W685" s="470"/>
      <c r="X685" s="85"/>
      <c r="Y685" s="85"/>
      <c r="Z685" s="479"/>
      <c r="AA685" s="480"/>
      <c r="AB685" s="479"/>
      <c r="AC685" s="479"/>
      <c r="AD685" s="479"/>
      <c r="AE685" s="479"/>
      <c r="AF685" s="476"/>
      <c r="AG685" s="481"/>
      <c r="AH685" s="85"/>
      <c r="AI685" s="85"/>
      <c r="AJ685" s="85"/>
      <c r="AK685" s="85"/>
      <c r="AL685" s="482"/>
      <c r="AM685" s="479"/>
      <c r="AN685" s="480"/>
      <c r="AO685" s="480"/>
      <c r="AP685" s="480"/>
      <c r="AQ685" s="479"/>
    </row>
    <row r="686" spans="1:43" x14ac:dyDescent="0.2">
      <c r="A686" s="283">
        <v>47</v>
      </c>
      <c r="B686" s="471"/>
      <c r="C686" s="85"/>
      <c r="D686" s="472"/>
      <c r="E686" s="473"/>
      <c r="F686" s="474"/>
      <c r="G686" s="85"/>
      <c r="H686" s="85"/>
      <c r="I686" s="475"/>
      <c r="J686" s="85"/>
      <c r="K686" s="85"/>
      <c r="L686" s="85"/>
      <c r="M686" s="476"/>
      <c r="N686" s="85"/>
      <c r="O686" s="85"/>
      <c r="P686" s="85"/>
      <c r="Q686" s="85"/>
      <c r="R686" s="477"/>
      <c r="S686" s="478"/>
      <c r="T686" s="85"/>
      <c r="U686" s="85"/>
      <c r="V686" s="85"/>
      <c r="W686" s="470"/>
      <c r="X686" s="85"/>
      <c r="Y686" s="85"/>
      <c r="Z686" s="479"/>
      <c r="AA686" s="480"/>
      <c r="AB686" s="479"/>
      <c r="AC686" s="479"/>
      <c r="AD686" s="479"/>
      <c r="AE686" s="479"/>
      <c r="AF686" s="476"/>
      <c r="AG686" s="481"/>
      <c r="AH686" s="85"/>
      <c r="AI686" s="85"/>
      <c r="AJ686" s="85"/>
      <c r="AK686" s="85"/>
      <c r="AL686" s="482"/>
      <c r="AM686" s="479"/>
      <c r="AN686" s="480"/>
      <c r="AO686" s="480"/>
      <c r="AP686" s="480"/>
      <c r="AQ686" s="479"/>
    </row>
    <row r="687" spans="1:43" x14ac:dyDescent="0.2">
      <c r="A687" s="283">
        <v>47</v>
      </c>
      <c r="B687" s="471"/>
      <c r="C687" s="85"/>
      <c r="D687" s="472"/>
      <c r="E687" s="473"/>
      <c r="F687" s="474"/>
      <c r="G687" s="85"/>
      <c r="H687" s="85"/>
      <c r="I687" s="475"/>
      <c r="J687" s="85"/>
      <c r="K687" s="85"/>
      <c r="L687" s="85"/>
      <c r="M687" s="476"/>
      <c r="N687" s="85"/>
      <c r="O687" s="85"/>
      <c r="P687" s="85"/>
      <c r="Q687" s="85"/>
      <c r="R687" s="477"/>
      <c r="S687" s="478"/>
      <c r="T687" s="85"/>
      <c r="U687" s="85"/>
      <c r="V687" s="85"/>
      <c r="W687" s="470"/>
      <c r="X687" s="85"/>
      <c r="Y687" s="85"/>
      <c r="Z687" s="479"/>
      <c r="AA687" s="480"/>
      <c r="AB687" s="479"/>
      <c r="AC687" s="479"/>
      <c r="AD687" s="479"/>
      <c r="AE687" s="479"/>
      <c r="AF687" s="476"/>
      <c r="AG687" s="481"/>
      <c r="AH687" s="85"/>
      <c r="AI687" s="85"/>
      <c r="AJ687" s="85"/>
      <c r="AK687" s="85"/>
      <c r="AL687" s="482"/>
      <c r="AM687" s="479"/>
      <c r="AN687" s="480"/>
      <c r="AO687" s="480"/>
      <c r="AP687" s="480"/>
      <c r="AQ687" s="479"/>
    </row>
    <row r="688" spans="1:43" x14ac:dyDescent="0.2">
      <c r="A688" s="283">
        <v>47</v>
      </c>
      <c r="B688" s="471"/>
      <c r="C688" s="85"/>
      <c r="D688" s="472"/>
      <c r="E688" s="473"/>
      <c r="F688" s="474"/>
      <c r="G688" s="85"/>
      <c r="H688" s="85"/>
      <c r="I688" s="475"/>
      <c r="J688" s="85"/>
      <c r="K688" s="85"/>
      <c r="L688" s="85"/>
      <c r="M688" s="476"/>
      <c r="N688" s="85"/>
      <c r="O688" s="85"/>
      <c r="P688" s="85"/>
      <c r="Q688" s="85"/>
      <c r="R688" s="477"/>
      <c r="S688" s="478"/>
      <c r="T688" s="85"/>
      <c r="U688" s="85"/>
      <c r="V688" s="85"/>
      <c r="W688" s="470"/>
      <c r="X688" s="85"/>
      <c r="Y688" s="85"/>
      <c r="Z688" s="479"/>
      <c r="AA688" s="480"/>
      <c r="AB688" s="479"/>
      <c r="AC688" s="479"/>
      <c r="AD688" s="479"/>
      <c r="AE688" s="479"/>
      <c r="AF688" s="476"/>
      <c r="AG688" s="481"/>
      <c r="AH688" s="85"/>
      <c r="AI688" s="85"/>
      <c r="AJ688" s="85"/>
      <c r="AK688" s="85"/>
      <c r="AL688" s="482"/>
      <c r="AM688" s="479"/>
      <c r="AN688" s="480"/>
      <c r="AO688" s="480"/>
      <c r="AP688" s="480"/>
      <c r="AQ688" s="479"/>
    </row>
    <row r="689" spans="1:43" x14ac:dyDescent="0.2">
      <c r="A689" s="283">
        <v>47</v>
      </c>
      <c r="B689" s="471"/>
      <c r="C689" s="85"/>
      <c r="D689" s="472"/>
      <c r="E689" s="473"/>
      <c r="F689" s="474"/>
      <c r="G689" s="85"/>
      <c r="H689" s="85"/>
      <c r="I689" s="475"/>
      <c r="J689" s="85"/>
      <c r="K689" s="85"/>
      <c r="L689" s="85"/>
      <c r="M689" s="476"/>
      <c r="N689" s="85"/>
      <c r="O689" s="85"/>
      <c r="P689" s="85"/>
      <c r="Q689" s="85"/>
      <c r="R689" s="477"/>
      <c r="S689" s="478"/>
      <c r="T689" s="85"/>
      <c r="U689" s="85"/>
      <c r="V689" s="85"/>
      <c r="W689" s="470"/>
      <c r="X689" s="85"/>
      <c r="Y689" s="85"/>
      <c r="Z689" s="479"/>
      <c r="AA689" s="480"/>
      <c r="AB689" s="479"/>
      <c r="AC689" s="479"/>
      <c r="AD689" s="479"/>
      <c r="AE689" s="479"/>
      <c r="AF689" s="476"/>
      <c r="AG689" s="481"/>
      <c r="AH689" s="85"/>
      <c r="AI689" s="85"/>
      <c r="AJ689" s="85"/>
      <c r="AK689" s="85"/>
      <c r="AL689" s="482"/>
      <c r="AM689" s="479"/>
      <c r="AN689" s="480"/>
      <c r="AO689" s="480"/>
      <c r="AP689" s="480"/>
      <c r="AQ689" s="479"/>
    </row>
    <row r="690" spans="1:43" x14ac:dyDescent="0.2">
      <c r="A690" s="283">
        <v>47</v>
      </c>
      <c r="B690" s="471"/>
      <c r="C690" s="85"/>
      <c r="D690" s="472"/>
      <c r="E690" s="473"/>
      <c r="F690" s="474"/>
      <c r="G690" s="85"/>
      <c r="H690" s="85"/>
      <c r="I690" s="475"/>
      <c r="J690" s="85"/>
      <c r="K690" s="85"/>
      <c r="L690" s="85"/>
      <c r="M690" s="476"/>
      <c r="N690" s="85"/>
      <c r="O690" s="85"/>
      <c r="P690" s="85"/>
      <c r="Q690" s="85"/>
      <c r="R690" s="477"/>
      <c r="S690" s="478"/>
      <c r="T690" s="85"/>
      <c r="U690" s="85"/>
      <c r="V690" s="85"/>
      <c r="W690" s="470"/>
      <c r="X690" s="85"/>
      <c r="Y690" s="85"/>
      <c r="Z690" s="479"/>
      <c r="AA690" s="480"/>
      <c r="AB690" s="479"/>
      <c r="AC690" s="479"/>
      <c r="AD690" s="479"/>
      <c r="AE690" s="479"/>
      <c r="AF690" s="476"/>
      <c r="AG690" s="481"/>
      <c r="AH690" s="85"/>
      <c r="AI690" s="85"/>
      <c r="AJ690" s="85"/>
      <c r="AK690" s="85"/>
      <c r="AL690" s="482"/>
      <c r="AM690" s="479"/>
      <c r="AN690" s="480"/>
      <c r="AO690" s="480"/>
      <c r="AP690" s="480"/>
      <c r="AQ690" s="479"/>
    </row>
    <row r="691" spans="1:43" x14ac:dyDescent="0.2">
      <c r="A691" s="283">
        <v>47</v>
      </c>
      <c r="B691" s="471"/>
      <c r="C691" s="85"/>
      <c r="D691" s="472"/>
      <c r="E691" s="473"/>
      <c r="F691" s="474"/>
      <c r="G691" s="85"/>
      <c r="H691" s="85"/>
      <c r="I691" s="475"/>
      <c r="J691" s="85"/>
      <c r="K691" s="85"/>
      <c r="L691" s="85"/>
      <c r="M691" s="476"/>
      <c r="N691" s="85"/>
      <c r="O691" s="85"/>
      <c r="P691" s="85"/>
      <c r="Q691" s="85"/>
      <c r="R691" s="477"/>
      <c r="S691" s="478"/>
      <c r="T691" s="85"/>
      <c r="U691" s="85"/>
      <c r="V691" s="85"/>
      <c r="W691" s="470"/>
      <c r="X691" s="85"/>
      <c r="Y691" s="85"/>
      <c r="Z691" s="479"/>
      <c r="AA691" s="480"/>
      <c r="AB691" s="479"/>
      <c r="AC691" s="479"/>
      <c r="AD691" s="479"/>
      <c r="AE691" s="479"/>
      <c r="AF691" s="476"/>
      <c r="AG691" s="481"/>
      <c r="AH691" s="85"/>
      <c r="AI691" s="85"/>
      <c r="AJ691" s="85"/>
      <c r="AK691" s="85"/>
      <c r="AL691" s="482"/>
      <c r="AM691" s="479"/>
      <c r="AN691" s="480"/>
      <c r="AO691" s="480"/>
      <c r="AP691" s="480"/>
      <c r="AQ691" s="479"/>
    </row>
    <row r="692" spans="1:43" x14ac:dyDescent="0.2">
      <c r="A692" s="283">
        <v>47</v>
      </c>
      <c r="B692" s="471"/>
      <c r="C692" s="85"/>
      <c r="D692" s="472"/>
      <c r="E692" s="473"/>
      <c r="F692" s="474"/>
      <c r="G692" s="85"/>
      <c r="H692" s="85"/>
      <c r="I692" s="475"/>
      <c r="J692" s="85"/>
      <c r="K692" s="85"/>
      <c r="L692" s="85"/>
      <c r="M692" s="476"/>
      <c r="N692" s="85"/>
      <c r="O692" s="85"/>
      <c r="P692" s="85"/>
      <c r="Q692" s="85"/>
      <c r="R692" s="477"/>
      <c r="S692" s="478"/>
      <c r="T692" s="85"/>
      <c r="U692" s="85"/>
      <c r="V692" s="85"/>
      <c r="W692" s="470"/>
      <c r="X692" s="85"/>
      <c r="Y692" s="85"/>
      <c r="Z692" s="479"/>
      <c r="AA692" s="480"/>
      <c r="AB692" s="479"/>
      <c r="AC692" s="479"/>
      <c r="AD692" s="479"/>
      <c r="AE692" s="479"/>
      <c r="AF692" s="476"/>
      <c r="AG692" s="481"/>
      <c r="AH692" s="85"/>
      <c r="AI692" s="85"/>
      <c r="AJ692" s="85"/>
      <c r="AK692" s="85"/>
      <c r="AL692" s="482"/>
      <c r="AM692" s="479"/>
      <c r="AN692" s="480"/>
      <c r="AO692" s="480"/>
      <c r="AP692" s="480"/>
      <c r="AQ692" s="479"/>
    </row>
    <row r="693" spans="1:43" x14ac:dyDescent="0.2">
      <c r="A693" s="283">
        <v>47</v>
      </c>
      <c r="B693" s="471"/>
      <c r="C693" s="85"/>
      <c r="D693" s="472"/>
      <c r="E693" s="473"/>
      <c r="F693" s="474"/>
      <c r="G693" s="85"/>
      <c r="H693" s="85"/>
      <c r="I693" s="475"/>
      <c r="J693" s="85"/>
      <c r="K693" s="85"/>
      <c r="L693" s="85"/>
      <c r="M693" s="476"/>
      <c r="N693" s="85"/>
      <c r="O693" s="85"/>
      <c r="P693" s="85"/>
      <c r="Q693" s="85"/>
      <c r="R693" s="477"/>
      <c r="S693" s="478"/>
      <c r="T693" s="85"/>
      <c r="U693" s="85"/>
      <c r="V693" s="85"/>
      <c r="W693" s="470"/>
      <c r="X693" s="85"/>
      <c r="Y693" s="85"/>
      <c r="Z693" s="479"/>
      <c r="AA693" s="480"/>
      <c r="AB693" s="479"/>
      <c r="AC693" s="479"/>
      <c r="AD693" s="479"/>
      <c r="AE693" s="479"/>
      <c r="AF693" s="476"/>
      <c r="AG693" s="481"/>
      <c r="AH693" s="85"/>
      <c r="AI693" s="85"/>
      <c r="AJ693" s="85"/>
      <c r="AK693" s="85"/>
      <c r="AL693" s="482"/>
      <c r="AM693" s="479"/>
      <c r="AN693" s="480"/>
      <c r="AO693" s="480"/>
      <c r="AP693" s="480"/>
      <c r="AQ693" s="479"/>
    </row>
    <row r="694" spans="1:43" x14ac:dyDescent="0.2">
      <c r="A694" s="283">
        <v>47</v>
      </c>
      <c r="B694" s="471"/>
      <c r="C694" s="85"/>
      <c r="D694" s="472"/>
      <c r="E694" s="473"/>
      <c r="F694" s="474"/>
      <c r="G694" s="85"/>
      <c r="H694" s="85"/>
      <c r="I694" s="475"/>
      <c r="J694" s="85"/>
      <c r="K694" s="85"/>
      <c r="L694" s="85"/>
      <c r="M694" s="476"/>
      <c r="N694" s="85"/>
      <c r="O694" s="85"/>
      <c r="P694" s="85"/>
      <c r="Q694" s="85"/>
      <c r="R694" s="477"/>
      <c r="S694" s="478"/>
      <c r="T694" s="85"/>
      <c r="U694" s="85"/>
      <c r="V694" s="85"/>
      <c r="W694" s="470"/>
      <c r="X694" s="85"/>
      <c r="Y694" s="85"/>
      <c r="Z694" s="479"/>
      <c r="AA694" s="480"/>
      <c r="AB694" s="479"/>
      <c r="AC694" s="479"/>
      <c r="AD694" s="479"/>
      <c r="AE694" s="479"/>
      <c r="AF694" s="476"/>
      <c r="AG694" s="481"/>
      <c r="AH694" s="85"/>
      <c r="AI694" s="85"/>
      <c r="AJ694" s="85"/>
      <c r="AK694" s="85"/>
      <c r="AL694" s="482"/>
      <c r="AM694" s="479"/>
      <c r="AN694" s="480"/>
      <c r="AO694" s="480"/>
      <c r="AP694" s="480"/>
      <c r="AQ694" s="479"/>
    </row>
    <row r="695" spans="1:43" x14ac:dyDescent="0.2">
      <c r="A695" s="283">
        <v>47</v>
      </c>
      <c r="B695" s="471"/>
      <c r="C695" s="85"/>
      <c r="D695" s="472"/>
      <c r="E695" s="473"/>
      <c r="F695" s="474"/>
      <c r="G695" s="85"/>
      <c r="H695" s="85"/>
      <c r="I695" s="475"/>
      <c r="J695" s="85"/>
      <c r="K695" s="85"/>
      <c r="L695" s="85"/>
      <c r="M695" s="476"/>
      <c r="N695" s="85"/>
      <c r="O695" s="85"/>
      <c r="P695" s="85"/>
      <c r="Q695" s="85"/>
      <c r="R695" s="477"/>
      <c r="S695" s="478"/>
      <c r="T695" s="85"/>
      <c r="U695" s="85"/>
      <c r="V695" s="85"/>
      <c r="W695" s="470"/>
      <c r="X695" s="85"/>
      <c r="Y695" s="85"/>
      <c r="Z695" s="479"/>
      <c r="AA695" s="480"/>
      <c r="AB695" s="479"/>
      <c r="AC695" s="479"/>
      <c r="AD695" s="479"/>
      <c r="AE695" s="479"/>
      <c r="AF695" s="476"/>
      <c r="AG695" s="481"/>
      <c r="AH695" s="85"/>
      <c r="AI695" s="85"/>
      <c r="AJ695" s="85"/>
      <c r="AK695" s="85"/>
      <c r="AL695" s="482"/>
      <c r="AM695" s="479"/>
      <c r="AN695" s="480"/>
      <c r="AO695" s="480"/>
      <c r="AP695" s="480"/>
      <c r="AQ695" s="479"/>
    </row>
    <row r="696" spans="1:43" x14ac:dyDescent="0.2">
      <c r="A696" s="283">
        <v>47</v>
      </c>
      <c r="B696" s="471"/>
      <c r="C696" s="85"/>
      <c r="D696" s="472"/>
      <c r="E696" s="473"/>
      <c r="F696" s="474"/>
      <c r="G696" s="85"/>
      <c r="H696" s="85"/>
      <c r="I696" s="475"/>
      <c r="J696" s="85"/>
      <c r="K696" s="85"/>
      <c r="L696" s="85"/>
      <c r="M696" s="476"/>
      <c r="N696" s="85"/>
      <c r="O696" s="85"/>
      <c r="P696" s="85"/>
      <c r="Q696" s="85"/>
      <c r="R696" s="477"/>
      <c r="S696" s="478"/>
      <c r="T696" s="85"/>
      <c r="U696" s="85"/>
      <c r="V696" s="85"/>
      <c r="W696" s="470"/>
      <c r="X696" s="85"/>
      <c r="Y696" s="85"/>
      <c r="Z696" s="479"/>
      <c r="AA696" s="480"/>
      <c r="AB696" s="479"/>
      <c r="AC696" s="479"/>
      <c r="AD696" s="479"/>
      <c r="AE696" s="479"/>
      <c r="AF696" s="476"/>
      <c r="AG696" s="481"/>
      <c r="AH696" s="85"/>
      <c r="AI696" s="85"/>
      <c r="AJ696" s="85"/>
      <c r="AK696" s="85"/>
      <c r="AL696" s="482"/>
      <c r="AM696" s="479"/>
      <c r="AN696" s="480"/>
      <c r="AO696" s="480"/>
      <c r="AP696" s="480"/>
      <c r="AQ696" s="479"/>
    </row>
    <row r="697" spans="1:43" x14ac:dyDescent="0.2">
      <c r="A697" s="283">
        <v>47</v>
      </c>
      <c r="B697" s="471"/>
      <c r="C697" s="85"/>
      <c r="D697" s="472"/>
      <c r="E697" s="473"/>
      <c r="F697" s="474"/>
      <c r="G697" s="85"/>
      <c r="H697" s="85"/>
      <c r="I697" s="475"/>
      <c r="J697" s="85"/>
      <c r="K697" s="85"/>
      <c r="L697" s="85"/>
      <c r="M697" s="476"/>
      <c r="N697" s="85"/>
      <c r="O697" s="85"/>
      <c r="P697" s="85"/>
      <c r="Q697" s="85"/>
      <c r="R697" s="477"/>
      <c r="S697" s="478"/>
      <c r="T697" s="85"/>
      <c r="U697" s="85"/>
      <c r="V697" s="85"/>
      <c r="W697" s="470"/>
      <c r="X697" s="85"/>
      <c r="Y697" s="85"/>
      <c r="Z697" s="479"/>
      <c r="AA697" s="480"/>
      <c r="AB697" s="479"/>
      <c r="AC697" s="479"/>
      <c r="AD697" s="479"/>
      <c r="AE697" s="479"/>
      <c r="AF697" s="476"/>
      <c r="AG697" s="481"/>
      <c r="AH697" s="85"/>
      <c r="AI697" s="85"/>
      <c r="AJ697" s="85"/>
      <c r="AK697" s="85"/>
      <c r="AL697" s="482"/>
      <c r="AM697" s="479"/>
      <c r="AN697" s="480"/>
      <c r="AO697" s="480"/>
      <c r="AP697" s="480"/>
      <c r="AQ697" s="479"/>
    </row>
    <row r="698" spans="1:43" x14ac:dyDescent="0.2">
      <c r="A698" s="283">
        <v>47</v>
      </c>
      <c r="B698" s="471"/>
      <c r="C698" s="85"/>
      <c r="D698" s="472"/>
      <c r="E698" s="473"/>
      <c r="F698" s="474"/>
      <c r="G698" s="85"/>
      <c r="H698" s="85"/>
      <c r="I698" s="475"/>
      <c r="J698" s="85"/>
      <c r="K698" s="85"/>
      <c r="L698" s="85"/>
      <c r="M698" s="476"/>
      <c r="N698" s="85"/>
      <c r="O698" s="85"/>
      <c r="P698" s="85"/>
      <c r="Q698" s="85"/>
      <c r="R698" s="477"/>
      <c r="S698" s="478"/>
      <c r="T698" s="85"/>
      <c r="U698" s="85"/>
      <c r="V698" s="85"/>
      <c r="W698" s="470"/>
      <c r="X698" s="85"/>
      <c r="Y698" s="85"/>
      <c r="Z698" s="479"/>
      <c r="AA698" s="480"/>
      <c r="AB698" s="479"/>
      <c r="AC698" s="479"/>
      <c r="AD698" s="479"/>
      <c r="AE698" s="479"/>
      <c r="AF698" s="476"/>
      <c r="AG698" s="481"/>
      <c r="AH698" s="85"/>
      <c r="AI698" s="85"/>
      <c r="AJ698" s="85"/>
      <c r="AK698" s="85"/>
      <c r="AL698" s="482"/>
      <c r="AM698" s="479"/>
      <c r="AN698" s="480"/>
      <c r="AO698" s="480"/>
      <c r="AP698" s="480"/>
      <c r="AQ698" s="479"/>
    </row>
    <row r="699" spans="1:43" x14ac:dyDescent="0.2">
      <c r="A699" s="283">
        <v>47</v>
      </c>
      <c r="B699" s="471"/>
      <c r="C699" s="85"/>
      <c r="D699" s="472"/>
      <c r="E699" s="473"/>
      <c r="F699" s="474"/>
      <c r="G699" s="85"/>
      <c r="H699" s="85"/>
      <c r="I699" s="475"/>
      <c r="J699" s="85"/>
      <c r="K699" s="85"/>
      <c r="L699" s="85"/>
      <c r="M699" s="476"/>
      <c r="N699" s="85"/>
      <c r="O699" s="85"/>
      <c r="P699" s="85"/>
      <c r="Q699" s="85"/>
      <c r="R699" s="477"/>
      <c r="S699" s="478"/>
      <c r="T699" s="85"/>
      <c r="U699" s="85"/>
      <c r="V699" s="85"/>
      <c r="W699" s="470"/>
      <c r="X699" s="85"/>
      <c r="Y699" s="85"/>
      <c r="Z699" s="479"/>
      <c r="AA699" s="480"/>
      <c r="AB699" s="479"/>
      <c r="AC699" s="479"/>
      <c r="AD699" s="479"/>
      <c r="AE699" s="479"/>
      <c r="AF699" s="476"/>
      <c r="AG699" s="481"/>
      <c r="AH699" s="85"/>
      <c r="AI699" s="85"/>
      <c r="AJ699" s="85"/>
      <c r="AK699" s="85"/>
      <c r="AL699" s="482"/>
      <c r="AM699" s="479"/>
      <c r="AN699" s="480"/>
      <c r="AO699" s="480"/>
      <c r="AP699" s="480"/>
      <c r="AQ699" s="479"/>
    </row>
    <row r="700" spans="1:43" x14ac:dyDescent="0.2">
      <c r="A700" s="470"/>
      <c r="B700" s="471"/>
      <c r="C700" s="85"/>
      <c r="D700" s="472"/>
      <c r="E700" s="473"/>
      <c r="F700" s="474"/>
      <c r="G700" s="85"/>
      <c r="H700" s="85"/>
      <c r="I700" s="475"/>
      <c r="J700" s="85"/>
      <c r="K700" s="85"/>
      <c r="L700" s="85"/>
      <c r="M700" s="476"/>
      <c r="N700" s="85"/>
      <c r="O700" s="85"/>
      <c r="P700" s="85"/>
      <c r="Q700" s="85"/>
      <c r="R700" s="477"/>
      <c r="S700" s="478"/>
      <c r="T700" s="85"/>
      <c r="U700" s="85"/>
      <c r="V700" s="85"/>
      <c r="W700" s="470"/>
      <c r="X700" s="85"/>
      <c r="Y700" s="85"/>
      <c r="Z700" s="479"/>
      <c r="AA700" s="480"/>
      <c r="AB700" s="479"/>
      <c r="AC700" s="479"/>
      <c r="AD700" s="479"/>
      <c r="AE700" s="479"/>
      <c r="AF700" s="476"/>
      <c r="AG700" s="481"/>
      <c r="AH700" s="85"/>
      <c r="AI700" s="85"/>
      <c r="AJ700" s="85"/>
      <c r="AK700" s="85"/>
      <c r="AL700" s="482"/>
      <c r="AM700" s="479"/>
      <c r="AN700" s="480"/>
      <c r="AO700" s="480"/>
      <c r="AP700" s="480"/>
      <c r="AQ700" s="479"/>
    </row>
    <row r="701" spans="1:43" x14ac:dyDescent="0.2">
      <c r="A701" s="470"/>
      <c r="B701" s="471"/>
      <c r="C701" s="85"/>
      <c r="D701" s="472"/>
      <c r="E701" s="473"/>
      <c r="F701" s="474"/>
      <c r="G701" s="85"/>
      <c r="H701" s="85"/>
      <c r="I701" s="475"/>
      <c r="J701" s="85"/>
      <c r="K701" s="85"/>
      <c r="L701" s="85"/>
      <c r="M701" s="476"/>
      <c r="N701" s="85"/>
      <c r="O701" s="85"/>
      <c r="P701" s="85"/>
      <c r="Q701" s="85"/>
      <c r="R701" s="477"/>
      <c r="S701" s="478"/>
      <c r="T701" s="85"/>
      <c r="U701" s="85"/>
      <c r="V701" s="85"/>
      <c r="W701" s="470"/>
      <c r="X701" s="85"/>
      <c r="Y701" s="85"/>
      <c r="Z701" s="479"/>
      <c r="AA701" s="480"/>
      <c r="AB701" s="479"/>
      <c r="AC701" s="479"/>
      <c r="AD701" s="479"/>
      <c r="AE701" s="479"/>
      <c r="AF701" s="476"/>
      <c r="AG701" s="481"/>
      <c r="AH701" s="85"/>
      <c r="AI701" s="85"/>
      <c r="AJ701" s="85"/>
      <c r="AK701" s="85"/>
      <c r="AL701" s="482"/>
      <c r="AM701" s="479"/>
      <c r="AN701" s="480"/>
      <c r="AO701" s="480"/>
      <c r="AP701" s="480"/>
      <c r="AQ701" s="479"/>
    </row>
    <row r="702" spans="1:43" x14ac:dyDescent="0.2">
      <c r="A702" s="470"/>
      <c r="B702" s="471"/>
      <c r="C702" s="85"/>
      <c r="D702" s="472"/>
      <c r="E702" s="473"/>
      <c r="F702" s="474"/>
      <c r="G702" s="85"/>
      <c r="H702" s="85"/>
      <c r="I702" s="475"/>
      <c r="J702" s="85"/>
      <c r="K702" s="85"/>
      <c r="L702" s="85"/>
      <c r="M702" s="476"/>
      <c r="N702" s="85"/>
      <c r="O702" s="85"/>
      <c r="P702" s="85"/>
      <c r="Q702" s="85"/>
      <c r="R702" s="477"/>
      <c r="S702" s="478"/>
      <c r="T702" s="85"/>
      <c r="U702" s="85"/>
      <c r="V702" s="85"/>
      <c r="W702" s="470"/>
      <c r="X702" s="85"/>
      <c r="Y702" s="85"/>
      <c r="Z702" s="479"/>
      <c r="AA702" s="480"/>
      <c r="AB702" s="479"/>
      <c r="AC702" s="479"/>
      <c r="AD702" s="479"/>
      <c r="AE702" s="479"/>
      <c r="AF702" s="476"/>
      <c r="AG702" s="481"/>
      <c r="AH702" s="85"/>
      <c r="AI702" s="85"/>
      <c r="AJ702" s="85"/>
      <c r="AK702" s="85"/>
      <c r="AL702" s="482"/>
      <c r="AM702" s="479"/>
      <c r="AN702" s="480"/>
      <c r="AO702" s="480"/>
      <c r="AP702" s="480"/>
      <c r="AQ702" s="479"/>
    </row>
    <row r="703" spans="1:43" x14ac:dyDescent="0.2">
      <c r="A703" s="470"/>
      <c r="B703" s="471"/>
      <c r="C703" s="85"/>
      <c r="D703" s="472"/>
      <c r="E703" s="473"/>
      <c r="F703" s="474"/>
      <c r="G703" s="85"/>
      <c r="H703" s="85"/>
      <c r="I703" s="475"/>
      <c r="J703" s="85"/>
      <c r="K703" s="85"/>
      <c r="L703" s="85"/>
      <c r="M703" s="476"/>
      <c r="N703" s="85"/>
      <c r="O703" s="85"/>
      <c r="P703" s="85"/>
      <c r="Q703" s="85"/>
      <c r="R703" s="477"/>
      <c r="S703" s="478"/>
      <c r="T703" s="85"/>
      <c r="U703" s="85"/>
      <c r="V703" s="85"/>
      <c r="W703" s="470"/>
      <c r="X703" s="85"/>
      <c r="Y703" s="85"/>
      <c r="Z703" s="479"/>
      <c r="AA703" s="480"/>
      <c r="AB703" s="479"/>
      <c r="AC703" s="479"/>
      <c r="AD703" s="479"/>
      <c r="AE703" s="479"/>
      <c r="AF703" s="476"/>
      <c r="AG703" s="481"/>
      <c r="AH703" s="85"/>
      <c r="AI703" s="85"/>
      <c r="AJ703" s="85"/>
      <c r="AK703" s="85"/>
      <c r="AL703" s="482"/>
      <c r="AM703" s="479"/>
      <c r="AN703" s="480"/>
      <c r="AO703" s="480"/>
      <c r="AP703" s="480"/>
      <c r="AQ703" s="479"/>
    </row>
    <row r="704" spans="1:43" x14ac:dyDescent="0.2">
      <c r="A704" s="470"/>
      <c r="B704" s="471"/>
      <c r="C704" s="85"/>
      <c r="D704" s="472"/>
      <c r="E704" s="473"/>
      <c r="F704" s="474"/>
      <c r="G704" s="85"/>
      <c r="H704" s="85"/>
      <c r="I704" s="475"/>
      <c r="J704" s="85"/>
      <c r="K704" s="85"/>
      <c r="L704" s="85"/>
      <c r="M704" s="476"/>
      <c r="N704" s="85"/>
      <c r="O704" s="85"/>
      <c r="P704" s="85"/>
      <c r="Q704" s="85"/>
      <c r="R704" s="477"/>
      <c r="S704" s="478"/>
      <c r="T704" s="85"/>
      <c r="U704" s="85"/>
      <c r="V704" s="85"/>
      <c r="W704" s="470"/>
      <c r="X704" s="85"/>
      <c r="Y704" s="85"/>
      <c r="Z704" s="479"/>
      <c r="AA704" s="480"/>
      <c r="AB704" s="479"/>
      <c r="AC704" s="479"/>
      <c r="AD704" s="479"/>
      <c r="AE704" s="479"/>
      <c r="AF704" s="476"/>
      <c r="AG704" s="481"/>
      <c r="AH704" s="85"/>
      <c r="AI704" s="85"/>
      <c r="AJ704" s="85"/>
      <c r="AK704" s="85"/>
      <c r="AL704" s="482"/>
      <c r="AM704" s="479"/>
      <c r="AN704" s="480"/>
      <c r="AO704" s="480"/>
      <c r="AP704" s="480"/>
      <c r="AQ704" s="479"/>
    </row>
    <row r="705" spans="1:43" x14ac:dyDescent="0.2">
      <c r="A705" s="470"/>
      <c r="B705" s="471"/>
      <c r="C705" s="85"/>
      <c r="D705" s="472"/>
      <c r="E705" s="473"/>
      <c r="F705" s="474"/>
      <c r="G705" s="85"/>
      <c r="H705" s="85"/>
      <c r="I705" s="475"/>
      <c r="J705" s="85"/>
      <c r="K705" s="85"/>
      <c r="L705" s="85"/>
      <c r="M705" s="476"/>
      <c r="N705" s="85"/>
      <c r="O705" s="85"/>
      <c r="P705" s="85"/>
      <c r="Q705" s="85"/>
      <c r="R705" s="477"/>
      <c r="S705" s="478"/>
      <c r="T705" s="85"/>
      <c r="U705" s="85"/>
      <c r="V705" s="85"/>
      <c r="W705" s="470"/>
      <c r="X705" s="85"/>
      <c r="Y705" s="85"/>
      <c r="Z705" s="479"/>
      <c r="AA705" s="480"/>
      <c r="AB705" s="479"/>
      <c r="AC705" s="479"/>
      <c r="AD705" s="479"/>
      <c r="AE705" s="479"/>
      <c r="AF705" s="476"/>
      <c r="AG705" s="481"/>
      <c r="AH705" s="85"/>
      <c r="AI705" s="85"/>
      <c r="AJ705" s="85"/>
      <c r="AK705" s="85"/>
      <c r="AL705" s="482"/>
      <c r="AM705" s="479"/>
      <c r="AN705" s="480"/>
      <c r="AO705" s="480"/>
      <c r="AP705" s="480"/>
      <c r="AQ705" s="479"/>
    </row>
    <row r="706" spans="1:43" x14ac:dyDescent="0.2">
      <c r="A706" s="470"/>
      <c r="B706" s="471"/>
      <c r="C706" s="85"/>
      <c r="D706" s="472"/>
      <c r="E706" s="473"/>
      <c r="F706" s="474"/>
      <c r="G706" s="85"/>
      <c r="H706" s="85"/>
      <c r="I706" s="475"/>
      <c r="J706" s="85"/>
      <c r="K706" s="85"/>
      <c r="L706" s="85"/>
      <c r="M706" s="476"/>
      <c r="N706" s="85"/>
      <c r="O706" s="85"/>
      <c r="P706" s="85"/>
      <c r="Q706" s="85"/>
      <c r="R706" s="477"/>
      <c r="S706" s="478"/>
      <c r="T706" s="85"/>
      <c r="U706" s="85"/>
      <c r="V706" s="85"/>
      <c r="W706" s="470"/>
      <c r="X706" s="85"/>
      <c r="Y706" s="85"/>
      <c r="Z706" s="479"/>
      <c r="AA706" s="480"/>
      <c r="AB706" s="479"/>
      <c r="AC706" s="479"/>
      <c r="AD706" s="479"/>
      <c r="AE706" s="479"/>
      <c r="AF706" s="476"/>
      <c r="AG706" s="481"/>
      <c r="AH706" s="85"/>
      <c r="AI706" s="85"/>
      <c r="AJ706" s="85"/>
      <c r="AK706" s="85"/>
      <c r="AL706" s="482"/>
      <c r="AM706" s="479"/>
      <c r="AN706" s="480"/>
      <c r="AO706" s="480"/>
      <c r="AP706" s="480"/>
      <c r="AQ706" s="479"/>
    </row>
    <row r="707" spans="1:43" x14ac:dyDescent="0.2">
      <c r="A707" s="470"/>
      <c r="B707" s="471"/>
      <c r="C707" s="85"/>
      <c r="D707" s="472"/>
      <c r="E707" s="473"/>
      <c r="F707" s="474"/>
      <c r="G707" s="85"/>
      <c r="H707" s="85"/>
      <c r="I707" s="475"/>
      <c r="J707" s="85"/>
      <c r="K707" s="85"/>
      <c r="L707" s="85"/>
      <c r="M707" s="476"/>
      <c r="N707" s="85"/>
      <c r="O707" s="85"/>
      <c r="P707" s="85"/>
      <c r="Q707" s="85"/>
      <c r="R707" s="477"/>
      <c r="S707" s="478"/>
      <c r="T707" s="85"/>
      <c r="U707" s="85"/>
      <c r="V707" s="85"/>
      <c r="W707" s="470"/>
      <c r="X707" s="85"/>
      <c r="Y707" s="85"/>
      <c r="Z707" s="479"/>
      <c r="AA707" s="480"/>
      <c r="AB707" s="479"/>
      <c r="AC707" s="479"/>
      <c r="AD707" s="479"/>
      <c r="AE707" s="479"/>
      <c r="AF707" s="476"/>
      <c r="AG707" s="481"/>
      <c r="AH707" s="85"/>
      <c r="AI707" s="85"/>
      <c r="AJ707" s="85"/>
      <c r="AK707" s="85"/>
      <c r="AL707" s="482"/>
      <c r="AM707" s="479"/>
      <c r="AN707" s="480"/>
      <c r="AO707" s="480"/>
      <c r="AP707" s="480"/>
      <c r="AQ707" s="479"/>
    </row>
    <row r="708" spans="1:43" x14ac:dyDescent="0.2">
      <c r="A708" s="470"/>
      <c r="B708" s="471"/>
      <c r="C708" s="85"/>
      <c r="D708" s="472"/>
      <c r="E708" s="473"/>
      <c r="F708" s="474"/>
      <c r="G708" s="85"/>
      <c r="H708" s="85"/>
      <c r="I708" s="475"/>
      <c r="J708" s="85"/>
      <c r="K708" s="85"/>
      <c r="L708" s="85"/>
      <c r="M708" s="476"/>
      <c r="N708" s="85"/>
      <c r="O708" s="85"/>
      <c r="P708" s="85"/>
      <c r="Q708" s="85"/>
      <c r="R708" s="477"/>
      <c r="S708" s="478"/>
      <c r="T708" s="85"/>
      <c r="U708" s="85"/>
      <c r="V708" s="85"/>
      <c r="W708" s="470"/>
      <c r="X708" s="85"/>
      <c r="Y708" s="85"/>
      <c r="Z708" s="479"/>
      <c r="AA708" s="480"/>
      <c r="AB708" s="479"/>
      <c r="AC708" s="479"/>
      <c r="AD708" s="479"/>
      <c r="AE708" s="479"/>
      <c r="AF708" s="476"/>
      <c r="AG708" s="481"/>
      <c r="AH708" s="85"/>
      <c r="AI708" s="85"/>
      <c r="AJ708" s="85"/>
      <c r="AK708" s="85"/>
      <c r="AL708" s="482"/>
      <c r="AM708" s="479"/>
      <c r="AN708" s="480"/>
      <c r="AO708" s="480"/>
      <c r="AP708" s="480"/>
      <c r="AQ708" s="479"/>
    </row>
    <row r="709" spans="1:43" x14ac:dyDescent="0.2">
      <c r="A709" s="470"/>
      <c r="B709" s="471"/>
      <c r="C709" s="85"/>
      <c r="D709" s="472"/>
      <c r="E709" s="473"/>
      <c r="F709" s="474"/>
      <c r="G709" s="85"/>
      <c r="H709" s="85"/>
      <c r="I709" s="475"/>
      <c r="J709" s="85"/>
      <c r="K709" s="85"/>
      <c r="L709" s="85"/>
      <c r="M709" s="476"/>
      <c r="N709" s="85"/>
      <c r="O709" s="85"/>
      <c r="P709" s="85"/>
      <c r="Q709" s="85"/>
      <c r="R709" s="477"/>
      <c r="S709" s="478"/>
      <c r="T709" s="85"/>
      <c r="U709" s="85"/>
      <c r="V709" s="85"/>
      <c r="W709" s="470"/>
      <c r="X709" s="85"/>
      <c r="Y709" s="85"/>
      <c r="Z709" s="479"/>
      <c r="AA709" s="480"/>
      <c r="AB709" s="479"/>
      <c r="AC709" s="479"/>
      <c r="AD709" s="479"/>
      <c r="AE709" s="479"/>
      <c r="AF709" s="476"/>
      <c r="AG709" s="481"/>
      <c r="AH709" s="85"/>
      <c r="AI709" s="85"/>
      <c r="AJ709" s="85"/>
      <c r="AK709" s="85"/>
      <c r="AL709" s="482"/>
      <c r="AM709" s="479"/>
      <c r="AN709" s="480"/>
      <c r="AO709" s="480"/>
      <c r="AP709" s="480"/>
      <c r="AQ709" s="479"/>
    </row>
    <row r="710" spans="1:43" x14ac:dyDescent="0.2">
      <c r="A710" s="470"/>
      <c r="B710" s="471"/>
      <c r="C710" s="85"/>
      <c r="D710" s="472"/>
      <c r="E710" s="473"/>
      <c r="F710" s="474"/>
      <c r="G710" s="85"/>
      <c r="H710" s="85"/>
      <c r="I710" s="475"/>
      <c r="J710" s="85"/>
      <c r="K710" s="85"/>
      <c r="L710" s="85"/>
      <c r="M710" s="476"/>
      <c r="N710" s="85"/>
      <c r="O710" s="85"/>
      <c r="P710" s="85"/>
      <c r="Q710" s="85"/>
      <c r="R710" s="477"/>
      <c r="S710" s="478"/>
      <c r="T710" s="85"/>
      <c r="U710" s="85"/>
      <c r="V710" s="85"/>
      <c r="W710" s="470"/>
      <c r="X710" s="85"/>
      <c r="Y710" s="85"/>
      <c r="Z710" s="479"/>
      <c r="AA710" s="480"/>
      <c r="AB710" s="479"/>
      <c r="AC710" s="479"/>
      <c r="AD710" s="479"/>
      <c r="AE710" s="479"/>
      <c r="AF710" s="476"/>
      <c r="AG710" s="481"/>
      <c r="AH710" s="85"/>
      <c r="AI710" s="85"/>
      <c r="AJ710" s="85"/>
      <c r="AK710" s="85"/>
      <c r="AL710" s="482"/>
      <c r="AM710" s="479"/>
      <c r="AN710" s="480"/>
      <c r="AO710" s="480"/>
      <c r="AP710" s="480"/>
      <c r="AQ710" s="479"/>
    </row>
    <row r="711" spans="1:43" x14ac:dyDescent="0.2">
      <c r="A711" s="470"/>
      <c r="B711" s="471"/>
      <c r="C711" s="85"/>
      <c r="D711" s="472"/>
      <c r="E711" s="473"/>
      <c r="F711" s="474"/>
      <c r="G711" s="85"/>
      <c r="H711" s="85"/>
      <c r="I711" s="475"/>
      <c r="J711" s="85"/>
      <c r="K711" s="85"/>
      <c r="L711" s="85"/>
      <c r="M711" s="476"/>
      <c r="N711" s="85"/>
      <c r="O711" s="85"/>
      <c r="P711" s="85"/>
      <c r="Q711" s="85"/>
      <c r="R711" s="477"/>
      <c r="S711" s="478"/>
      <c r="T711" s="85"/>
      <c r="U711" s="85"/>
      <c r="V711" s="85"/>
      <c r="W711" s="470"/>
      <c r="X711" s="85"/>
      <c r="Y711" s="85"/>
      <c r="Z711" s="479"/>
      <c r="AA711" s="480"/>
      <c r="AB711" s="479"/>
      <c r="AC711" s="479"/>
      <c r="AD711" s="479"/>
      <c r="AE711" s="479"/>
      <c r="AF711" s="476"/>
      <c r="AG711" s="481"/>
      <c r="AH711" s="85"/>
      <c r="AI711" s="85"/>
      <c r="AJ711" s="85"/>
      <c r="AK711" s="85"/>
      <c r="AL711" s="482"/>
      <c r="AM711" s="479"/>
      <c r="AN711" s="480"/>
      <c r="AO711" s="480"/>
      <c r="AP711" s="480"/>
      <c r="AQ711" s="479"/>
    </row>
    <row r="712" spans="1:43" x14ac:dyDescent="0.2">
      <c r="A712" s="470"/>
      <c r="B712" s="471"/>
      <c r="C712" s="85"/>
      <c r="D712" s="472"/>
      <c r="E712" s="473"/>
      <c r="F712" s="474"/>
      <c r="G712" s="85"/>
      <c r="H712" s="85"/>
      <c r="I712" s="475"/>
      <c r="J712" s="85"/>
      <c r="K712" s="85"/>
      <c r="L712" s="85"/>
      <c r="M712" s="476"/>
      <c r="N712" s="85"/>
      <c r="O712" s="85"/>
      <c r="P712" s="85"/>
      <c r="Q712" s="85"/>
      <c r="R712" s="477"/>
      <c r="S712" s="478"/>
      <c r="T712" s="85"/>
      <c r="U712" s="85"/>
      <c r="V712" s="85"/>
      <c r="W712" s="470"/>
      <c r="X712" s="85"/>
      <c r="Y712" s="85"/>
      <c r="Z712" s="479"/>
      <c r="AA712" s="480"/>
      <c r="AB712" s="479"/>
      <c r="AC712" s="479"/>
      <c r="AD712" s="479"/>
      <c r="AE712" s="479"/>
      <c r="AF712" s="476"/>
      <c r="AG712" s="481"/>
      <c r="AH712" s="85"/>
      <c r="AI712" s="85"/>
      <c r="AJ712" s="85"/>
      <c r="AK712" s="85"/>
      <c r="AL712" s="482"/>
      <c r="AM712" s="479"/>
      <c r="AN712" s="480"/>
      <c r="AO712" s="480"/>
      <c r="AP712" s="480"/>
      <c r="AQ712" s="479"/>
    </row>
    <row r="713" spans="1:43" x14ac:dyDescent="0.2">
      <c r="A713" s="470"/>
      <c r="B713" s="471"/>
      <c r="C713" s="85"/>
      <c r="D713" s="472"/>
      <c r="E713" s="473"/>
      <c r="F713" s="474"/>
      <c r="G713" s="85"/>
      <c r="H713" s="85"/>
      <c r="I713" s="475"/>
      <c r="J713" s="85"/>
      <c r="K713" s="85"/>
      <c r="L713" s="85"/>
      <c r="M713" s="476"/>
      <c r="N713" s="85"/>
      <c r="O713" s="85"/>
      <c r="P713" s="85"/>
      <c r="Q713" s="85"/>
      <c r="R713" s="477"/>
      <c r="S713" s="478"/>
      <c r="T713" s="85"/>
      <c r="U713" s="85"/>
      <c r="V713" s="85"/>
      <c r="W713" s="470"/>
      <c r="X713" s="85"/>
      <c r="Y713" s="85"/>
      <c r="Z713" s="479"/>
      <c r="AA713" s="480"/>
      <c r="AB713" s="479"/>
      <c r="AC713" s="479"/>
      <c r="AD713" s="479"/>
      <c r="AE713" s="479"/>
      <c r="AF713" s="476"/>
      <c r="AG713" s="481"/>
      <c r="AH713" s="85"/>
      <c r="AI713" s="85"/>
      <c r="AJ713" s="85"/>
      <c r="AK713" s="85"/>
      <c r="AL713" s="482"/>
      <c r="AM713" s="479"/>
      <c r="AN713" s="480"/>
      <c r="AO713" s="480"/>
      <c r="AP713" s="480"/>
      <c r="AQ713" s="479"/>
    </row>
    <row r="714" spans="1:43" x14ac:dyDescent="0.2">
      <c r="A714" s="470"/>
      <c r="B714" s="471"/>
      <c r="C714" s="85"/>
      <c r="D714" s="472"/>
      <c r="E714" s="473"/>
      <c r="F714" s="474"/>
      <c r="G714" s="85"/>
      <c r="H714" s="85"/>
      <c r="I714" s="475"/>
      <c r="J714" s="85"/>
      <c r="K714" s="85"/>
      <c r="L714" s="85"/>
      <c r="M714" s="476"/>
      <c r="N714" s="85"/>
      <c r="O714" s="85"/>
      <c r="P714" s="85"/>
      <c r="Q714" s="85"/>
      <c r="R714" s="477"/>
      <c r="S714" s="478"/>
      <c r="T714" s="85"/>
      <c r="U714" s="85"/>
      <c r="V714" s="85"/>
      <c r="W714" s="470"/>
      <c r="X714" s="85"/>
      <c r="Y714" s="85"/>
      <c r="Z714" s="479"/>
      <c r="AA714" s="480"/>
      <c r="AB714" s="479"/>
      <c r="AC714" s="479"/>
      <c r="AD714" s="479"/>
      <c r="AE714" s="479"/>
      <c r="AF714" s="476"/>
      <c r="AG714" s="481"/>
      <c r="AH714" s="85"/>
      <c r="AI714" s="85"/>
      <c r="AJ714" s="85"/>
      <c r="AK714" s="85"/>
      <c r="AL714" s="482"/>
      <c r="AM714" s="479"/>
      <c r="AN714" s="480"/>
      <c r="AO714" s="480"/>
      <c r="AP714" s="480"/>
      <c r="AQ714" s="479"/>
    </row>
    <row r="715" spans="1:43" x14ac:dyDescent="0.2">
      <c r="A715" s="470"/>
      <c r="B715" s="471"/>
      <c r="C715" s="85"/>
      <c r="D715" s="472"/>
      <c r="E715" s="473"/>
      <c r="F715" s="474"/>
      <c r="G715" s="85"/>
      <c r="H715" s="85"/>
      <c r="I715" s="475"/>
      <c r="J715" s="85"/>
      <c r="K715" s="85"/>
      <c r="L715" s="85"/>
      <c r="M715" s="476"/>
      <c r="N715" s="85"/>
      <c r="O715" s="85"/>
      <c r="P715" s="85"/>
      <c r="Q715" s="85"/>
      <c r="R715" s="477"/>
      <c r="S715" s="478"/>
      <c r="T715" s="85"/>
      <c r="U715" s="85"/>
      <c r="V715" s="85"/>
      <c r="W715" s="470"/>
      <c r="X715" s="85"/>
      <c r="Y715" s="85"/>
      <c r="Z715" s="479"/>
      <c r="AA715" s="480"/>
      <c r="AB715" s="479"/>
      <c r="AC715" s="479"/>
      <c r="AD715" s="479"/>
      <c r="AE715" s="479"/>
      <c r="AF715" s="476"/>
      <c r="AG715" s="481"/>
      <c r="AH715" s="85"/>
      <c r="AI715" s="85"/>
      <c r="AJ715" s="85"/>
      <c r="AK715" s="85"/>
      <c r="AL715" s="482"/>
      <c r="AM715" s="479"/>
      <c r="AN715" s="480"/>
      <c r="AO715" s="480"/>
      <c r="AP715" s="480"/>
      <c r="AQ715" s="479"/>
    </row>
    <row r="716" spans="1:43" x14ac:dyDescent="0.2">
      <c r="A716" s="470"/>
      <c r="B716" s="471"/>
      <c r="C716" s="85"/>
      <c r="D716" s="472"/>
      <c r="E716" s="473"/>
      <c r="F716" s="474"/>
      <c r="G716" s="85"/>
      <c r="H716" s="85"/>
      <c r="I716" s="475"/>
      <c r="J716" s="85"/>
      <c r="K716" s="85"/>
      <c r="L716" s="85"/>
      <c r="M716" s="476"/>
      <c r="N716" s="85"/>
      <c r="O716" s="85"/>
      <c r="P716" s="85"/>
      <c r="Q716" s="85"/>
      <c r="R716" s="477"/>
      <c r="S716" s="478"/>
      <c r="T716" s="85"/>
      <c r="U716" s="85"/>
      <c r="V716" s="85"/>
      <c r="W716" s="470"/>
      <c r="X716" s="85"/>
      <c r="Y716" s="85"/>
      <c r="Z716" s="479"/>
      <c r="AA716" s="480"/>
      <c r="AB716" s="479"/>
      <c r="AC716" s="479"/>
      <c r="AD716" s="479"/>
      <c r="AE716" s="479"/>
      <c r="AF716" s="476"/>
      <c r="AG716" s="481"/>
      <c r="AH716" s="85"/>
      <c r="AI716" s="85"/>
      <c r="AJ716" s="85"/>
      <c r="AK716" s="85"/>
      <c r="AL716" s="482"/>
      <c r="AM716" s="479"/>
      <c r="AN716" s="480"/>
      <c r="AO716" s="480"/>
      <c r="AP716" s="480"/>
      <c r="AQ716" s="479"/>
    </row>
    <row r="717" spans="1:43" x14ac:dyDescent="0.2">
      <c r="A717" s="470"/>
      <c r="B717" s="471"/>
      <c r="C717" s="85"/>
      <c r="D717" s="472"/>
      <c r="E717" s="473"/>
      <c r="F717" s="474"/>
      <c r="G717" s="85"/>
      <c r="H717" s="85"/>
      <c r="I717" s="475"/>
      <c r="J717" s="85"/>
      <c r="K717" s="85"/>
      <c r="L717" s="85"/>
      <c r="M717" s="476"/>
      <c r="N717" s="85"/>
      <c r="O717" s="85"/>
      <c r="P717" s="85"/>
      <c r="Q717" s="85"/>
      <c r="R717" s="477"/>
      <c r="S717" s="478"/>
      <c r="T717" s="85"/>
      <c r="U717" s="85"/>
      <c r="V717" s="85"/>
      <c r="W717" s="470"/>
      <c r="X717" s="85"/>
      <c r="Y717" s="85"/>
      <c r="Z717" s="479"/>
      <c r="AA717" s="480"/>
      <c r="AB717" s="479"/>
      <c r="AC717" s="479"/>
      <c r="AD717" s="479"/>
      <c r="AE717" s="479"/>
      <c r="AF717" s="476"/>
      <c r="AG717" s="481"/>
      <c r="AH717" s="85"/>
      <c r="AI717" s="85"/>
      <c r="AJ717" s="85"/>
      <c r="AK717" s="85"/>
      <c r="AL717" s="482"/>
      <c r="AM717" s="479"/>
      <c r="AN717" s="480"/>
      <c r="AO717" s="480"/>
      <c r="AP717" s="480"/>
      <c r="AQ717" s="479"/>
    </row>
    <row r="718" spans="1:43" x14ac:dyDescent="0.2">
      <c r="A718" s="470"/>
      <c r="B718" s="471"/>
      <c r="C718" s="85"/>
      <c r="D718" s="472"/>
      <c r="E718" s="473"/>
      <c r="F718" s="474"/>
      <c r="G718" s="85"/>
      <c r="H718" s="85"/>
      <c r="I718" s="475"/>
      <c r="J718" s="85"/>
      <c r="K718" s="85"/>
      <c r="L718" s="85"/>
      <c r="M718" s="476"/>
      <c r="N718" s="85"/>
      <c r="O718" s="85"/>
      <c r="P718" s="85"/>
      <c r="Q718" s="85"/>
      <c r="R718" s="477"/>
      <c r="S718" s="478"/>
      <c r="T718" s="85"/>
      <c r="U718" s="85"/>
      <c r="V718" s="85"/>
      <c r="W718" s="470"/>
      <c r="X718" s="85"/>
      <c r="Y718" s="85"/>
      <c r="Z718" s="479"/>
      <c r="AA718" s="480"/>
      <c r="AB718" s="479"/>
      <c r="AC718" s="479"/>
      <c r="AD718" s="479"/>
      <c r="AE718" s="479"/>
      <c r="AF718" s="476"/>
      <c r="AG718" s="481"/>
      <c r="AH718" s="85"/>
      <c r="AI718" s="85"/>
      <c r="AJ718" s="85"/>
      <c r="AK718" s="85"/>
      <c r="AL718" s="482"/>
      <c r="AM718" s="479"/>
      <c r="AN718" s="480"/>
      <c r="AO718" s="480"/>
      <c r="AP718" s="480"/>
      <c r="AQ718" s="479"/>
    </row>
    <row r="719" spans="1:43" x14ac:dyDescent="0.2">
      <c r="A719" s="470"/>
      <c r="B719" s="471"/>
      <c r="C719" s="85"/>
      <c r="D719" s="472"/>
      <c r="E719" s="473"/>
      <c r="F719" s="474"/>
      <c r="G719" s="85"/>
      <c r="H719" s="85"/>
      <c r="I719" s="475"/>
      <c r="J719" s="85"/>
      <c r="K719" s="85"/>
      <c r="L719" s="85"/>
      <c r="M719" s="476"/>
      <c r="N719" s="85"/>
      <c r="O719" s="85"/>
      <c r="P719" s="85"/>
      <c r="Q719" s="85"/>
      <c r="R719" s="477"/>
      <c r="S719" s="478"/>
      <c r="T719" s="85"/>
      <c r="U719" s="85"/>
      <c r="V719" s="85"/>
      <c r="W719" s="470"/>
      <c r="X719" s="85"/>
      <c r="Y719" s="85"/>
      <c r="Z719" s="479"/>
      <c r="AA719" s="480"/>
      <c r="AB719" s="479"/>
      <c r="AC719" s="479"/>
      <c r="AD719" s="479"/>
      <c r="AE719" s="479"/>
      <c r="AF719" s="476"/>
      <c r="AG719" s="481"/>
      <c r="AH719" s="85"/>
      <c r="AI719" s="85"/>
      <c r="AJ719" s="85"/>
      <c r="AK719" s="85"/>
      <c r="AL719" s="482"/>
      <c r="AM719" s="479"/>
      <c r="AN719" s="480"/>
      <c r="AO719" s="480"/>
      <c r="AP719" s="480"/>
      <c r="AQ719" s="479"/>
    </row>
    <row r="720" spans="1:43" x14ac:dyDescent="0.2">
      <c r="A720" s="470"/>
      <c r="B720" s="471"/>
      <c r="C720" s="85"/>
      <c r="D720" s="472"/>
      <c r="E720" s="473"/>
      <c r="F720" s="474"/>
      <c r="G720" s="85"/>
      <c r="H720" s="85"/>
      <c r="I720" s="475"/>
      <c r="J720" s="85"/>
      <c r="K720" s="85"/>
      <c r="L720" s="85"/>
      <c r="M720" s="476"/>
      <c r="N720" s="85"/>
      <c r="O720" s="85"/>
      <c r="P720" s="85"/>
      <c r="Q720" s="85"/>
      <c r="R720" s="477"/>
      <c r="S720" s="478"/>
      <c r="T720" s="85"/>
      <c r="U720" s="85"/>
      <c r="V720" s="85"/>
      <c r="W720" s="470"/>
      <c r="X720" s="85"/>
      <c r="Y720" s="85"/>
      <c r="Z720" s="479"/>
      <c r="AA720" s="480"/>
      <c r="AB720" s="479"/>
      <c r="AC720" s="479"/>
      <c r="AD720" s="479"/>
      <c r="AE720" s="479"/>
      <c r="AF720" s="476"/>
      <c r="AG720" s="481"/>
      <c r="AH720" s="85"/>
      <c r="AI720" s="85"/>
      <c r="AJ720" s="85"/>
      <c r="AK720" s="85"/>
      <c r="AL720" s="482"/>
      <c r="AM720" s="479"/>
      <c r="AN720" s="480"/>
      <c r="AO720" s="480"/>
      <c r="AP720" s="480"/>
      <c r="AQ720" s="479"/>
    </row>
    <row r="721" spans="1:43" x14ac:dyDescent="0.2">
      <c r="A721" s="470"/>
      <c r="B721" s="471"/>
      <c r="C721" s="85"/>
      <c r="D721" s="472"/>
      <c r="E721" s="473"/>
      <c r="F721" s="474"/>
      <c r="G721" s="85"/>
      <c r="H721" s="85"/>
      <c r="I721" s="475"/>
      <c r="J721" s="85"/>
      <c r="K721" s="85"/>
      <c r="L721" s="85"/>
      <c r="M721" s="476"/>
      <c r="N721" s="85"/>
      <c r="O721" s="85"/>
      <c r="P721" s="85"/>
      <c r="Q721" s="85"/>
      <c r="R721" s="477"/>
      <c r="S721" s="478"/>
      <c r="T721" s="85"/>
      <c r="U721" s="85"/>
      <c r="V721" s="85"/>
      <c r="W721" s="470"/>
      <c r="X721" s="85"/>
      <c r="Y721" s="85"/>
      <c r="Z721" s="479"/>
      <c r="AA721" s="480"/>
      <c r="AB721" s="479"/>
      <c r="AC721" s="479"/>
      <c r="AD721" s="479"/>
      <c r="AE721" s="479"/>
      <c r="AF721" s="476"/>
      <c r="AG721" s="481"/>
      <c r="AH721" s="85"/>
      <c r="AI721" s="85"/>
      <c r="AJ721" s="85"/>
      <c r="AK721" s="85"/>
      <c r="AL721" s="482"/>
      <c r="AM721" s="479"/>
      <c r="AN721" s="480"/>
      <c r="AO721" s="480"/>
      <c r="AP721" s="480"/>
      <c r="AQ721" s="479"/>
    </row>
    <row r="722" spans="1:43" x14ac:dyDescent="0.2">
      <c r="A722" s="470"/>
      <c r="B722" s="471"/>
      <c r="C722" s="85"/>
      <c r="D722" s="472"/>
      <c r="E722" s="473"/>
      <c r="F722" s="474"/>
      <c r="G722" s="85"/>
      <c r="H722" s="85"/>
      <c r="I722" s="475"/>
      <c r="J722" s="85"/>
      <c r="K722" s="85"/>
      <c r="L722" s="85"/>
      <c r="M722" s="476"/>
      <c r="N722" s="85"/>
      <c r="O722" s="85"/>
      <c r="P722" s="85"/>
      <c r="Q722" s="85"/>
      <c r="R722" s="477"/>
      <c r="S722" s="478"/>
      <c r="T722" s="85"/>
      <c r="U722" s="85"/>
      <c r="V722" s="85"/>
      <c r="W722" s="470"/>
      <c r="X722" s="85"/>
      <c r="Y722" s="85"/>
      <c r="Z722" s="479"/>
      <c r="AA722" s="480"/>
      <c r="AB722" s="479"/>
      <c r="AC722" s="479"/>
      <c r="AD722" s="479"/>
      <c r="AE722" s="479"/>
      <c r="AF722" s="476"/>
      <c r="AG722" s="481"/>
      <c r="AH722" s="85"/>
      <c r="AI722" s="85"/>
      <c r="AJ722" s="85"/>
      <c r="AK722" s="85"/>
      <c r="AL722" s="482"/>
      <c r="AM722" s="479"/>
      <c r="AN722" s="480"/>
      <c r="AO722" s="480"/>
      <c r="AP722" s="480"/>
      <c r="AQ722" s="479"/>
    </row>
    <row r="723" spans="1:43" x14ac:dyDescent="0.2">
      <c r="A723" s="470"/>
      <c r="B723" s="471"/>
      <c r="C723" s="85"/>
      <c r="D723" s="472"/>
      <c r="E723" s="473"/>
      <c r="F723" s="474"/>
      <c r="G723" s="85"/>
      <c r="H723" s="85"/>
      <c r="I723" s="475"/>
      <c r="J723" s="85"/>
      <c r="K723" s="85"/>
      <c r="L723" s="85"/>
      <c r="M723" s="476"/>
      <c r="N723" s="85"/>
      <c r="O723" s="85"/>
      <c r="P723" s="85"/>
      <c r="Q723" s="85"/>
      <c r="R723" s="477"/>
      <c r="S723" s="478"/>
      <c r="T723" s="85"/>
      <c r="U723" s="85"/>
      <c r="V723" s="85"/>
      <c r="W723" s="470"/>
      <c r="X723" s="85"/>
      <c r="Y723" s="85"/>
      <c r="Z723" s="479"/>
      <c r="AA723" s="480"/>
      <c r="AB723" s="479"/>
      <c r="AC723" s="479"/>
      <c r="AD723" s="479"/>
      <c r="AE723" s="479"/>
      <c r="AF723" s="476"/>
      <c r="AG723" s="481"/>
      <c r="AH723" s="85"/>
      <c r="AI723" s="85"/>
      <c r="AJ723" s="85"/>
      <c r="AK723" s="85"/>
      <c r="AL723" s="482"/>
      <c r="AM723" s="479"/>
      <c r="AN723" s="480"/>
      <c r="AO723" s="480"/>
      <c r="AP723" s="480"/>
      <c r="AQ723" s="479"/>
    </row>
    <row r="724" spans="1:43" x14ac:dyDescent="0.2">
      <c r="A724" s="470"/>
      <c r="B724" s="471"/>
      <c r="C724" s="85"/>
      <c r="D724" s="472"/>
      <c r="E724" s="473"/>
      <c r="F724" s="474"/>
      <c r="G724" s="85"/>
      <c r="H724" s="85"/>
      <c r="I724" s="475"/>
      <c r="J724" s="85"/>
      <c r="K724" s="85"/>
      <c r="L724" s="85"/>
      <c r="M724" s="476"/>
      <c r="N724" s="85"/>
      <c r="O724" s="85"/>
      <c r="P724" s="85"/>
      <c r="Q724" s="85"/>
      <c r="R724" s="477"/>
      <c r="S724" s="478"/>
      <c r="T724" s="85"/>
      <c r="U724" s="85"/>
      <c r="V724" s="85"/>
      <c r="W724" s="470"/>
      <c r="X724" s="85"/>
      <c r="Y724" s="85"/>
      <c r="Z724" s="479"/>
      <c r="AA724" s="480"/>
      <c r="AB724" s="479"/>
      <c r="AC724" s="479"/>
      <c r="AD724" s="479"/>
      <c r="AE724" s="479"/>
      <c r="AF724" s="476"/>
      <c r="AG724" s="481"/>
      <c r="AH724" s="85"/>
      <c r="AI724" s="85"/>
      <c r="AJ724" s="85"/>
      <c r="AK724" s="85"/>
      <c r="AL724" s="482"/>
      <c r="AM724" s="479"/>
      <c r="AN724" s="480"/>
      <c r="AO724" s="480"/>
      <c r="AP724" s="480"/>
      <c r="AQ724" s="479"/>
    </row>
    <row r="725" spans="1:43" x14ac:dyDescent="0.2">
      <c r="A725" s="470"/>
      <c r="B725" s="471"/>
      <c r="C725" s="85"/>
      <c r="D725" s="472"/>
      <c r="E725" s="473"/>
      <c r="F725" s="474"/>
      <c r="G725" s="85"/>
      <c r="H725" s="85"/>
      <c r="I725" s="475"/>
      <c r="J725" s="85"/>
      <c r="K725" s="85"/>
      <c r="L725" s="85"/>
      <c r="M725" s="476"/>
      <c r="N725" s="85"/>
      <c r="O725" s="85"/>
      <c r="P725" s="85"/>
      <c r="Q725" s="85"/>
      <c r="R725" s="477"/>
      <c r="S725" s="478"/>
      <c r="T725" s="85"/>
      <c r="U725" s="85"/>
      <c r="V725" s="85"/>
      <c r="W725" s="470"/>
      <c r="X725" s="85"/>
      <c r="Y725" s="85"/>
      <c r="Z725" s="479"/>
      <c r="AA725" s="480"/>
      <c r="AB725" s="479"/>
      <c r="AC725" s="479"/>
      <c r="AD725" s="479"/>
      <c r="AE725" s="479"/>
      <c r="AF725" s="476"/>
      <c r="AG725" s="481"/>
      <c r="AH725" s="85"/>
      <c r="AI725" s="85"/>
      <c r="AJ725" s="85"/>
      <c r="AK725" s="85"/>
      <c r="AL725" s="482"/>
      <c r="AM725" s="479"/>
      <c r="AN725" s="480"/>
      <c r="AO725" s="480"/>
      <c r="AP725" s="480"/>
      <c r="AQ725" s="479"/>
    </row>
    <row r="726" spans="1:43" x14ac:dyDescent="0.2">
      <c r="A726" s="470"/>
      <c r="B726" s="471"/>
      <c r="C726" s="85"/>
      <c r="D726" s="472"/>
      <c r="E726" s="473"/>
      <c r="F726" s="474"/>
      <c r="G726" s="85"/>
      <c r="H726" s="85"/>
      <c r="I726" s="475"/>
      <c r="J726" s="85"/>
      <c r="K726" s="85"/>
      <c r="L726" s="85"/>
      <c r="M726" s="476"/>
      <c r="N726" s="85"/>
      <c r="O726" s="85"/>
      <c r="P726" s="85"/>
      <c r="Q726" s="85"/>
      <c r="R726" s="477"/>
      <c r="S726" s="478"/>
      <c r="T726" s="85"/>
      <c r="U726" s="85"/>
      <c r="V726" s="85"/>
      <c r="W726" s="470"/>
      <c r="X726" s="85"/>
      <c r="Y726" s="85"/>
      <c r="Z726" s="479"/>
      <c r="AA726" s="480"/>
      <c r="AB726" s="479"/>
      <c r="AC726" s="479"/>
      <c r="AD726" s="479"/>
      <c r="AE726" s="479"/>
      <c r="AF726" s="476"/>
      <c r="AG726" s="481"/>
      <c r="AH726" s="85"/>
      <c r="AI726" s="85"/>
      <c r="AJ726" s="85"/>
      <c r="AK726" s="85"/>
      <c r="AL726" s="482"/>
      <c r="AM726" s="479"/>
      <c r="AN726" s="480"/>
      <c r="AO726" s="480"/>
      <c r="AP726" s="480"/>
      <c r="AQ726" s="479"/>
    </row>
    <row r="727" spans="1:43" x14ac:dyDescent="0.2">
      <c r="A727" s="470"/>
      <c r="B727" s="471"/>
      <c r="C727" s="85"/>
      <c r="D727" s="472"/>
      <c r="E727" s="473"/>
      <c r="F727" s="474"/>
      <c r="G727" s="85"/>
      <c r="H727" s="85"/>
      <c r="I727" s="475"/>
      <c r="J727" s="85"/>
      <c r="K727" s="85"/>
      <c r="L727" s="85"/>
      <c r="M727" s="476"/>
      <c r="N727" s="85"/>
      <c r="O727" s="85"/>
      <c r="P727" s="85"/>
      <c r="Q727" s="85"/>
      <c r="R727" s="477"/>
      <c r="S727" s="478"/>
      <c r="T727" s="85"/>
      <c r="U727" s="85"/>
      <c r="V727" s="85"/>
      <c r="W727" s="470"/>
      <c r="X727" s="85"/>
      <c r="Y727" s="85"/>
      <c r="Z727" s="479"/>
      <c r="AA727" s="480"/>
      <c r="AB727" s="479"/>
      <c r="AC727" s="479"/>
      <c r="AD727" s="479"/>
      <c r="AE727" s="479"/>
      <c r="AF727" s="476"/>
      <c r="AG727" s="481"/>
      <c r="AH727" s="85"/>
      <c r="AI727" s="85"/>
      <c r="AJ727" s="85"/>
      <c r="AK727" s="85"/>
      <c r="AL727" s="482"/>
      <c r="AM727" s="479"/>
      <c r="AN727" s="480"/>
      <c r="AO727" s="480"/>
      <c r="AP727" s="480"/>
      <c r="AQ727" s="479"/>
    </row>
    <row r="728" spans="1:43" x14ac:dyDescent="0.2">
      <c r="A728" s="470"/>
      <c r="B728" s="471"/>
      <c r="C728" s="85"/>
      <c r="D728" s="472"/>
      <c r="E728" s="473"/>
      <c r="F728" s="474"/>
      <c r="G728" s="85"/>
      <c r="H728" s="85"/>
      <c r="I728" s="475"/>
      <c r="J728" s="85"/>
      <c r="K728" s="85"/>
      <c r="L728" s="85"/>
      <c r="M728" s="476"/>
      <c r="N728" s="85"/>
      <c r="O728" s="85"/>
      <c r="P728" s="85"/>
      <c r="Q728" s="85"/>
      <c r="R728" s="477"/>
      <c r="S728" s="478"/>
      <c r="T728" s="85"/>
      <c r="U728" s="85"/>
      <c r="V728" s="85"/>
      <c r="W728" s="470"/>
      <c r="X728" s="85"/>
      <c r="Y728" s="85"/>
      <c r="Z728" s="479"/>
      <c r="AA728" s="480"/>
      <c r="AB728" s="479"/>
      <c r="AC728" s="479"/>
      <c r="AD728" s="479"/>
      <c r="AE728" s="479"/>
      <c r="AF728" s="476"/>
      <c r="AG728" s="481"/>
      <c r="AH728" s="85"/>
      <c r="AI728" s="85"/>
      <c r="AJ728" s="85"/>
      <c r="AK728" s="85"/>
      <c r="AL728" s="482"/>
      <c r="AM728" s="479"/>
      <c r="AN728" s="480"/>
      <c r="AO728" s="480"/>
      <c r="AP728" s="480"/>
      <c r="AQ728" s="479"/>
    </row>
    <row r="729" spans="1:43" x14ac:dyDescent="0.2">
      <c r="A729" s="470"/>
      <c r="B729" s="471"/>
      <c r="C729" s="85"/>
      <c r="D729" s="472"/>
      <c r="E729" s="473"/>
      <c r="F729" s="474"/>
      <c r="G729" s="85"/>
      <c r="H729" s="85"/>
      <c r="I729" s="475"/>
      <c r="J729" s="85"/>
      <c r="K729" s="85"/>
      <c r="L729" s="85"/>
      <c r="M729" s="476"/>
      <c r="N729" s="85"/>
      <c r="O729" s="85"/>
      <c r="P729" s="85"/>
      <c r="Q729" s="85"/>
      <c r="R729" s="477"/>
      <c r="S729" s="478"/>
      <c r="T729" s="85"/>
      <c r="U729" s="85"/>
      <c r="V729" s="85"/>
      <c r="W729" s="470"/>
      <c r="X729" s="85"/>
      <c r="Y729" s="85"/>
      <c r="Z729" s="479"/>
      <c r="AA729" s="480"/>
      <c r="AB729" s="479"/>
      <c r="AC729" s="479"/>
      <c r="AD729" s="479"/>
      <c r="AE729" s="479"/>
      <c r="AF729" s="476"/>
      <c r="AG729" s="481"/>
      <c r="AH729" s="85"/>
      <c r="AI729" s="85"/>
      <c r="AJ729" s="85"/>
      <c r="AK729" s="85"/>
      <c r="AL729" s="482"/>
      <c r="AM729" s="479"/>
      <c r="AN729" s="480"/>
      <c r="AO729" s="480"/>
      <c r="AP729" s="480"/>
      <c r="AQ729" s="479"/>
    </row>
    <row r="730" spans="1:43" x14ac:dyDescent="0.2">
      <c r="A730" s="470"/>
      <c r="B730" s="471"/>
      <c r="C730" s="85"/>
      <c r="D730" s="472"/>
      <c r="E730" s="473"/>
      <c r="F730" s="474"/>
      <c r="G730" s="85"/>
      <c r="H730" s="85"/>
      <c r="I730" s="475"/>
      <c r="J730" s="85"/>
      <c r="K730" s="85"/>
      <c r="L730" s="85"/>
      <c r="M730" s="476"/>
      <c r="N730" s="85"/>
      <c r="O730" s="85"/>
      <c r="P730" s="85"/>
      <c r="Q730" s="85"/>
      <c r="R730" s="477"/>
      <c r="S730" s="478"/>
      <c r="T730" s="85"/>
      <c r="U730" s="85"/>
      <c r="V730" s="85"/>
      <c r="W730" s="470"/>
      <c r="X730" s="85"/>
      <c r="Y730" s="85"/>
      <c r="Z730" s="479"/>
      <c r="AA730" s="480"/>
      <c r="AB730" s="479"/>
      <c r="AC730" s="479"/>
      <c r="AD730" s="479"/>
      <c r="AE730" s="479"/>
      <c r="AF730" s="476"/>
      <c r="AG730" s="481"/>
      <c r="AH730" s="85"/>
      <c r="AI730" s="85"/>
      <c r="AJ730" s="85"/>
      <c r="AK730" s="85"/>
      <c r="AL730" s="482"/>
      <c r="AM730" s="479"/>
      <c r="AN730" s="480"/>
      <c r="AO730" s="480"/>
      <c r="AP730" s="480"/>
      <c r="AQ730" s="479"/>
    </row>
    <row r="731" spans="1:43" x14ac:dyDescent="0.2">
      <c r="A731" s="470"/>
      <c r="B731" s="471"/>
      <c r="C731" s="85"/>
      <c r="D731" s="472"/>
      <c r="E731" s="473"/>
      <c r="F731" s="474"/>
      <c r="G731" s="85"/>
      <c r="H731" s="85"/>
      <c r="I731" s="475"/>
      <c r="J731" s="85"/>
      <c r="K731" s="85"/>
      <c r="L731" s="85"/>
      <c r="M731" s="476"/>
      <c r="N731" s="85"/>
      <c r="O731" s="85"/>
      <c r="P731" s="85"/>
      <c r="Q731" s="85"/>
      <c r="R731" s="477"/>
      <c r="S731" s="478"/>
      <c r="T731" s="85"/>
      <c r="U731" s="85"/>
      <c r="V731" s="85"/>
      <c r="W731" s="470"/>
      <c r="X731" s="85"/>
      <c r="Y731" s="85"/>
      <c r="Z731" s="479"/>
      <c r="AA731" s="480"/>
      <c r="AB731" s="479"/>
      <c r="AC731" s="479"/>
      <c r="AD731" s="479"/>
      <c r="AE731" s="479"/>
      <c r="AF731" s="476"/>
      <c r="AG731" s="481"/>
      <c r="AH731" s="85"/>
      <c r="AI731" s="85"/>
      <c r="AJ731" s="85"/>
      <c r="AK731" s="85"/>
      <c r="AL731" s="482"/>
      <c r="AM731" s="479"/>
      <c r="AN731" s="480"/>
      <c r="AO731" s="480"/>
      <c r="AP731" s="480"/>
      <c r="AQ731" s="479"/>
    </row>
    <row r="732" spans="1:43" x14ac:dyDescent="0.2">
      <c r="A732" s="470"/>
      <c r="B732" s="471"/>
      <c r="C732" s="85"/>
      <c r="D732" s="472"/>
      <c r="E732" s="473"/>
      <c r="F732" s="474"/>
      <c r="G732" s="85"/>
      <c r="H732" s="85"/>
      <c r="I732" s="475"/>
      <c r="J732" s="85"/>
      <c r="K732" s="85"/>
      <c r="L732" s="85"/>
      <c r="M732" s="476"/>
      <c r="N732" s="85"/>
      <c r="O732" s="85"/>
      <c r="P732" s="85"/>
      <c r="Q732" s="85"/>
      <c r="R732" s="477"/>
      <c r="S732" s="478"/>
      <c r="T732" s="85"/>
      <c r="U732" s="85"/>
      <c r="V732" s="85"/>
      <c r="W732" s="470"/>
      <c r="X732" s="85"/>
      <c r="Y732" s="85"/>
      <c r="Z732" s="479"/>
      <c r="AA732" s="480"/>
      <c r="AB732" s="479"/>
      <c r="AC732" s="479"/>
      <c r="AD732" s="479"/>
      <c r="AE732" s="479"/>
      <c r="AF732" s="476"/>
      <c r="AG732" s="481"/>
      <c r="AH732" s="85"/>
      <c r="AI732" s="85"/>
      <c r="AJ732" s="85"/>
      <c r="AK732" s="85"/>
      <c r="AL732" s="482"/>
      <c r="AM732" s="479"/>
      <c r="AN732" s="480"/>
      <c r="AO732" s="480"/>
      <c r="AP732" s="480"/>
      <c r="AQ732" s="479"/>
    </row>
    <row r="733" spans="1:43" x14ac:dyDescent="0.2">
      <c r="A733" s="470"/>
      <c r="B733" s="471"/>
      <c r="C733" s="85"/>
      <c r="D733" s="472"/>
      <c r="E733" s="473"/>
      <c r="F733" s="474"/>
      <c r="G733" s="85"/>
      <c r="H733" s="85"/>
      <c r="I733" s="475"/>
      <c r="J733" s="85"/>
      <c r="K733" s="85"/>
      <c r="L733" s="85"/>
      <c r="M733" s="476"/>
      <c r="N733" s="85"/>
      <c r="O733" s="85"/>
      <c r="P733" s="85"/>
      <c r="Q733" s="85"/>
      <c r="R733" s="477"/>
      <c r="S733" s="478"/>
      <c r="T733" s="85"/>
      <c r="U733" s="85"/>
      <c r="V733" s="85"/>
      <c r="W733" s="470"/>
      <c r="X733" s="85"/>
      <c r="Y733" s="85"/>
      <c r="Z733" s="479"/>
      <c r="AA733" s="480"/>
      <c r="AB733" s="479"/>
      <c r="AC733" s="479"/>
      <c r="AD733" s="479"/>
      <c r="AE733" s="479"/>
      <c r="AF733" s="476"/>
      <c r="AG733" s="481"/>
      <c r="AH733" s="85"/>
      <c r="AI733" s="85"/>
      <c r="AJ733" s="85"/>
      <c r="AK733" s="85"/>
      <c r="AL733" s="482"/>
      <c r="AM733" s="479"/>
      <c r="AN733" s="480"/>
      <c r="AO733" s="480"/>
      <c r="AP733" s="480"/>
      <c r="AQ733" s="479"/>
    </row>
    <row r="734" spans="1:43" x14ac:dyDescent="0.2">
      <c r="A734" s="470"/>
      <c r="B734" s="471"/>
      <c r="C734" s="85"/>
      <c r="D734" s="472"/>
      <c r="E734" s="473"/>
      <c r="F734" s="474"/>
      <c r="G734" s="85"/>
      <c r="H734" s="85"/>
      <c r="I734" s="475"/>
      <c r="J734" s="85"/>
      <c r="K734" s="85"/>
      <c r="L734" s="85"/>
      <c r="M734" s="476"/>
      <c r="N734" s="85"/>
      <c r="O734" s="85"/>
      <c r="P734" s="85"/>
      <c r="Q734" s="85"/>
      <c r="R734" s="477"/>
      <c r="S734" s="478"/>
      <c r="T734" s="85"/>
      <c r="U734" s="85"/>
      <c r="V734" s="85"/>
      <c r="W734" s="470"/>
      <c r="X734" s="85"/>
      <c r="Y734" s="85"/>
      <c r="Z734" s="479"/>
      <c r="AA734" s="480"/>
      <c r="AB734" s="479"/>
      <c r="AC734" s="479"/>
      <c r="AD734" s="479"/>
      <c r="AE734" s="479"/>
      <c r="AF734" s="476"/>
      <c r="AG734" s="481"/>
      <c r="AH734" s="85"/>
      <c r="AI734" s="85"/>
      <c r="AJ734" s="85"/>
      <c r="AK734" s="85"/>
      <c r="AL734" s="482"/>
      <c r="AM734" s="479"/>
      <c r="AN734" s="480"/>
      <c r="AO734" s="480"/>
      <c r="AP734" s="480"/>
      <c r="AQ734" s="479"/>
    </row>
    <row r="735" spans="1:43" x14ac:dyDescent="0.2">
      <c r="A735" s="470"/>
      <c r="B735" s="471"/>
      <c r="C735" s="85"/>
      <c r="D735" s="472"/>
      <c r="E735" s="473"/>
      <c r="F735" s="474"/>
      <c r="G735" s="85"/>
      <c r="H735" s="85"/>
      <c r="I735" s="475"/>
      <c r="J735" s="85"/>
      <c r="K735" s="85"/>
      <c r="L735" s="85"/>
      <c r="M735" s="476"/>
      <c r="N735" s="85"/>
      <c r="O735" s="85"/>
      <c r="P735" s="85"/>
      <c r="Q735" s="85"/>
      <c r="R735" s="477"/>
      <c r="S735" s="478"/>
      <c r="T735" s="85"/>
      <c r="U735" s="85"/>
      <c r="V735" s="85"/>
      <c r="W735" s="470"/>
      <c r="X735" s="85"/>
      <c r="Y735" s="85"/>
      <c r="Z735" s="479"/>
      <c r="AA735" s="480"/>
      <c r="AB735" s="479"/>
      <c r="AC735" s="479"/>
      <c r="AD735" s="479"/>
      <c r="AE735" s="479"/>
      <c r="AF735" s="476"/>
      <c r="AG735" s="481"/>
      <c r="AH735" s="85"/>
      <c r="AI735" s="85"/>
      <c r="AJ735" s="85"/>
      <c r="AK735" s="85"/>
      <c r="AL735" s="482"/>
      <c r="AM735" s="479"/>
      <c r="AN735" s="480"/>
      <c r="AO735" s="480"/>
      <c r="AP735" s="480"/>
      <c r="AQ735" s="479"/>
    </row>
    <row r="736" spans="1:43" x14ac:dyDescent="0.2">
      <c r="A736" s="470"/>
      <c r="B736" s="471"/>
      <c r="C736" s="85"/>
      <c r="D736" s="472"/>
      <c r="E736" s="473"/>
      <c r="F736" s="474"/>
      <c r="G736" s="85"/>
      <c r="H736" s="85"/>
      <c r="I736" s="475"/>
      <c r="J736" s="85"/>
      <c r="K736" s="85"/>
      <c r="L736" s="85"/>
      <c r="M736" s="476"/>
      <c r="N736" s="85"/>
      <c r="O736" s="85"/>
      <c r="P736" s="85"/>
      <c r="Q736" s="85"/>
      <c r="R736" s="477"/>
      <c r="S736" s="478"/>
      <c r="T736" s="85"/>
      <c r="U736" s="85"/>
      <c r="V736" s="85"/>
      <c r="W736" s="470"/>
      <c r="X736" s="85"/>
      <c r="Y736" s="85"/>
      <c r="Z736" s="479"/>
      <c r="AA736" s="480"/>
      <c r="AB736" s="479"/>
      <c r="AC736" s="479"/>
      <c r="AD736" s="479"/>
      <c r="AE736" s="479"/>
      <c r="AF736" s="476"/>
      <c r="AG736" s="481"/>
      <c r="AH736" s="85"/>
      <c r="AI736" s="85"/>
      <c r="AJ736" s="85"/>
      <c r="AK736" s="85"/>
      <c r="AL736" s="482"/>
      <c r="AM736" s="479"/>
      <c r="AN736" s="480"/>
      <c r="AO736" s="480"/>
      <c r="AP736" s="480"/>
      <c r="AQ736" s="479"/>
    </row>
    <row r="737" spans="1:43" x14ac:dyDescent="0.2">
      <c r="A737" s="470"/>
      <c r="B737" s="471"/>
      <c r="C737" s="85"/>
      <c r="D737" s="472"/>
      <c r="E737" s="473"/>
      <c r="F737" s="474"/>
      <c r="G737" s="85"/>
      <c r="H737" s="85"/>
      <c r="I737" s="475"/>
      <c r="J737" s="85"/>
      <c r="K737" s="85"/>
      <c r="L737" s="85"/>
      <c r="M737" s="476"/>
      <c r="N737" s="85"/>
      <c r="O737" s="85"/>
      <c r="P737" s="85"/>
      <c r="Q737" s="85"/>
      <c r="R737" s="477"/>
      <c r="S737" s="478"/>
      <c r="T737" s="85"/>
      <c r="U737" s="85"/>
      <c r="V737" s="85"/>
      <c r="W737" s="470"/>
      <c r="X737" s="85"/>
      <c r="Y737" s="85"/>
      <c r="Z737" s="479"/>
      <c r="AA737" s="480"/>
      <c r="AB737" s="479"/>
      <c r="AC737" s="479"/>
      <c r="AD737" s="479"/>
      <c r="AE737" s="479"/>
      <c r="AF737" s="476"/>
      <c r="AG737" s="481"/>
      <c r="AH737" s="85"/>
      <c r="AI737" s="85"/>
      <c r="AJ737" s="85"/>
      <c r="AK737" s="85"/>
      <c r="AL737" s="482"/>
      <c r="AM737" s="479"/>
      <c r="AN737" s="480"/>
      <c r="AO737" s="480"/>
      <c r="AP737" s="480"/>
      <c r="AQ737" s="479"/>
    </row>
    <row r="738" spans="1:43" x14ac:dyDescent="0.2">
      <c r="A738" s="470"/>
      <c r="B738" s="471"/>
      <c r="C738" s="85"/>
      <c r="D738" s="472"/>
      <c r="E738" s="473"/>
      <c r="F738" s="474"/>
      <c r="G738" s="85"/>
      <c r="H738" s="85"/>
      <c r="I738" s="475"/>
      <c r="J738" s="85"/>
      <c r="K738" s="85"/>
      <c r="L738" s="85"/>
      <c r="M738" s="476"/>
      <c r="N738" s="85"/>
      <c r="O738" s="85"/>
      <c r="P738" s="85"/>
      <c r="Q738" s="85"/>
      <c r="R738" s="477"/>
      <c r="S738" s="478"/>
      <c r="T738" s="85"/>
      <c r="U738" s="85"/>
      <c r="V738" s="85"/>
      <c r="W738" s="470"/>
      <c r="X738" s="85"/>
      <c r="Y738" s="85"/>
      <c r="Z738" s="479"/>
      <c r="AA738" s="480"/>
      <c r="AB738" s="479"/>
      <c r="AC738" s="479"/>
      <c r="AD738" s="479"/>
      <c r="AE738" s="479"/>
      <c r="AF738" s="476"/>
      <c r="AG738" s="481"/>
      <c r="AH738" s="85"/>
      <c r="AI738" s="85"/>
      <c r="AJ738" s="85"/>
      <c r="AK738" s="85"/>
      <c r="AL738" s="482"/>
      <c r="AM738" s="479"/>
      <c r="AN738" s="480"/>
      <c r="AO738" s="480"/>
      <c r="AP738" s="480"/>
      <c r="AQ738" s="479"/>
    </row>
    <row r="739" spans="1:43" x14ac:dyDescent="0.2">
      <c r="A739" s="470"/>
      <c r="B739" s="471"/>
      <c r="C739" s="85"/>
      <c r="D739" s="472"/>
      <c r="E739" s="473"/>
      <c r="F739" s="474"/>
      <c r="G739" s="85"/>
      <c r="H739" s="85"/>
      <c r="I739" s="475"/>
      <c r="J739" s="85"/>
      <c r="K739" s="85"/>
      <c r="L739" s="85"/>
      <c r="M739" s="476"/>
      <c r="N739" s="85"/>
      <c r="O739" s="85"/>
      <c r="P739" s="85"/>
      <c r="Q739" s="85"/>
      <c r="R739" s="477"/>
      <c r="S739" s="478"/>
      <c r="T739" s="85"/>
      <c r="U739" s="85"/>
      <c r="V739" s="85"/>
      <c r="W739" s="470"/>
      <c r="X739" s="85"/>
      <c r="Y739" s="85"/>
      <c r="Z739" s="479"/>
      <c r="AA739" s="480"/>
      <c r="AB739" s="479"/>
      <c r="AC739" s="479"/>
      <c r="AD739" s="479"/>
      <c r="AE739" s="479"/>
      <c r="AF739" s="476"/>
      <c r="AG739" s="481"/>
      <c r="AH739" s="85"/>
      <c r="AI739" s="85"/>
      <c r="AJ739" s="85"/>
      <c r="AK739" s="85"/>
      <c r="AL739" s="482"/>
      <c r="AM739" s="479"/>
      <c r="AN739" s="480"/>
      <c r="AO739" s="480"/>
      <c r="AP739" s="480"/>
      <c r="AQ739" s="479"/>
    </row>
    <row r="740" spans="1:43" x14ac:dyDescent="0.2">
      <c r="A740" s="470"/>
      <c r="B740" s="471"/>
      <c r="C740" s="85"/>
      <c r="D740" s="472"/>
      <c r="E740" s="473"/>
      <c r="F740" s="474"/>
      <c r="G740" s="85"/>
      <c r="H740" s="85"/>
      <c r="I740" s="475"/>
      <c r="J740" s="85"/>
      <c r="K740" s="85"/>
      <c r="L740" s="85"/>
      <c r="M740" s="476"/>
      <c r="N740" s="85"/>
      <c r="O740" s="85"/>
      <c r="P740" s="85"/>
      <c r="Q740" s="85"/>
      <c r="R740" s="477"/>
      <c r="S740" s="478"/>
      <c r="T740" s="85"/>
      <c r="U740" s="85"/>
      <c r="V740" s="85"/>
      <c r="W740" s="470"/>
      <c r="X740" s="85"/>
      <c r="Y740" s="85"/>
      <c r="Z740" s="479"/>
      <c r="AA740" s="480"/>
      <c r="AB740" s="479"/>
      <c r="AC740" s="479"/>
      <c r="AD740" s="479"/>
      <c r="AE740" s="479"/>
      <c r="AF740" s="476"/>
      <c r="AG740" s="481"/>
      <c r="AH740" s="85"/>
      <c r="AI740" s="85"/>
      <c r="AJ740" s="85"/>
      <c r="AK740" s="85"/>
      <c r="AL740" s="482"/>
      <c r="AM740" s="479"/>
      <c r="AN740" s="480"/>
      <c r="AO740" s="480"/>
      <c r="AP740" s="480"/>
      <c r="AQ740" s="479"/>
    </row>
    <row r="741" spans="1:43" x14ac:dyDescent="0.2">
      <c r="A741" s="470"/>
      <c r="B741" s="471"/>
      <c r="C741" s="85"/>
      <c r="D741" s="472"/>
      <c r="E741" s="473"/>
      <c r="F741" s="474"/>
      <c r="G741" s="85"/>
      <c r="H741" s="85"/>
      <c r="I741" s="475"/>
      <c r="J741" s="85"/>
      <c r="K741" s="85"/>
      <c r="L741" s="85"/>
      <c r="M741" s="476"/>
      <c r="N741" s="85"/>
      <c r="O741" s="85"/>
      <c r="P741" s="85"/>
      <c r="Q741" s="85"/>
      <c r="R741" s="477"/>
      <c r="S741" s="478"/>
      <c r="T741" s="85"/>
      <c r="U741" s="85"/>
      <c r="V741" s="85"/>
      <c r="W741" s="470"/>
      <c r="X741" s="85"/>
      <c r="Y741" s="85"/>
      <c r="Z741" s="479"/>
      <c r="AA741" s="480"/>
      <c r="AB741" s="479"/>
      <c r="AC741" s="479"/>
      <c r="AD741" s="479"/>
      <c r="AE741" s="479"/>
      <c r="AF741" s="476"/>
      <c r="AG741" s="481"/>
      <c r="AH741" s="85"/>
      <c r="AI741" s="85"/>
      <c r="AJ741" s="85"/>
      <c r="AK741" s="85"/>
      <c r="AL741" s="482"/>
      <c r="AM741" s="479"/>
      <c r="AN741" s="480"/>
      <c r="AO741" s="480"/>
      <c r="AP741" s="480"/>
      <c r="AQ741" s="479"/>
    </row>
    <row r="742" spans="1:43" x14ac:dyDescent="0.2">
      <c r="A742" s="470"/>
      <c r="B742" s="471"/>
      <c r="C742" s="85"/>
      <c r="D742" s="472"/>
      <c r="E742" s="473"/>
      <c r="F742" s="474"/>
      <c r="G742" s="85"/>
      <c r="H742" s="85"/>
      <c r="I742" s="475"/>
      <c r="J742" s="85"/>
      <c r="K742" s="85"/>
      <c r="L742" s="85"/>
      <c r="M742" s="476"/>
      <c r="N742" s="85"/>
      <c r="O742" s="85"/>
      <c r="P742" s="85"/>
      <c r="Q742" s="85"/>
      <c r="R742" s="477"/>
      <c r="S742" s="478"/>
      <c r="T742" s="85"/>
      <c r="U742" s="85"/>
      <c r="V742" s="85"/>
      <c r="W742" s="470"/>
      <c r="X742" s="85"/>
      <c r="Y742" s="85"/>
      <c r="Z742" s="479"/>
      <c r="AA742" s="480"/>
      <c r="AB742" s="479"/>
      <c r="AC742" s="479"/>
      <c r="AD742" s="479"/>
      <c r="AE742" s="479"/>
      <c r="AF742" s="476"/>
      <c r="AG742" s="481"/>
      <c r="AH742" s="85"/>
      <c r="AI742" s="85"/>
      <c r="AJ742" s="85"/>
      <c r="AK742" s="85"/>
      <c r="AL742" s="482"/>
      <c r="AM742" s="479"/>
      <c r="AN742" s="480"/>
      <c r="AO742" s="480"/>
      <c r="AP742" s="480"/>
      <c r="AQ742" s="479"/>
    </row>
    <row r="743" spans="1:43" x14ac:dyDescent="0.2">
      <c r="A743" s="470"/>
      <c r="B743" s="471"/>
      <c r="C743" s="85"/>
      <c r="D743" s="472"/>
      <c r="E743" s="473"/>
      <c r="F743" s="474"/>
      <c r="G743" s="85"/>
      <c r="H743" s="85"/>
      <c r="I743" s="475"/>
      <c r="J743" s="85"/>
      <c r="K743" s="85"/>
      <c r="L743" s="85"/>
      <c r="M743" s="476"/>
      <c r="N743" s="85"/>
      <c r="O743" s="85"/>
      <c r="P743" s="85"/>
      <c r="Q743" s="85"/>
      <c r="R743" s="477"/>
      <c r="S743" s="478"/>
      <c r="T743" s="85"/>
      <c r="U743" s="85"/>
      <c r="V743" s="85"/>
      <c r="W743" s="470"/>
      <c r="X743" s="85"/>
      <c r="Y743" s="85"/>
      <c r="Z743" s="479"/>
      <c r="AA743" s="480"/>
      <c r="AB743" s="479"/>
      <c r="AC743" s="479"/>
      <c r="AD743" s="479"/>
      <c r="AE743" s="479"/>
      <c r="AF743" s="476"/>
      <c r="AG743" s="481"/>
      <c r="AH743" s="85"/>
      <c r="AI743" s="85"/>
      <c r="AJ743" s="85"/>
      <c r="AK743" s="85"/>
      <c r="AL743" s="482"/>
      <c r="AM743" s="479"/>
      <c r="AN743" s="480"/>
      <c r="AO743" s="480"/>
      <c r="AP743" s="480"/>
      <c r="AQ743" s="479"/>
    </row>
    <row r="744" spans="1:43" x14ac:dyDescent="0.2">
      <c r="A744" s="470"/>
      <c r="B744" s="471"/>
      <c r="C744" s="85"/>
      <c r="D744" s="472"/>
      <c r="E744" s="473"/>
      <c r="F744" s="474"/>
      <c r="G744" s="85"/>
      <c r="H744" s="85"/>
      <c r="I744" s="475"/>
      <c r="J744" s="85"/>
      <c r="K744" s="85"/>
      <c r="L744" s="85"/>
      <c r="M744" s="476"/>
      <c r="N744" s="85"/>
      <c r="O744" s="85"/>
      <c r="P744" s="85"/>
      <c r="Q744" s="85"/>
      <c r="R744" s="477"/>
      <c r="S744" s="478"/>
      <c r="T744" s="85"/>
      <c r="U744" s="85"/>
      <c r="V744" s="85"/>
      <c r="W744" s="470"/>
      <c r="X744" s="85"/>
      <c r="Y744" s="85"/>
      <c r="Z744" s="479"/>
      <c r="AA744" s="480"/>
      <c r="AB744" s="479"/>
      <c r="AC744" s="479"/>
      <c r="AD744" s="479"/>
      <c r="AE744" s="479"/>
      <c r="AF744" s="476"/>
      <c r="AG744" s="481"/>
      <c r="AH744" s="85"/>
      <c r="AI744" s="85"/>
      <c r="AJ744" s="85"/>
      <c r="AK744" s="85"/>
      <c r="AL744" s="482"/>
      <c r="AM744" s="479"/>
      <c r="AN744" s="480"/>
      <c r="AO744" s="480"/>
      <c r="AP744" s="480"/>
      <c r="AQ744" s="479"/>
    </row>
    <row r="745" spans="1:43" x14ac:dyDescent="0.2">
      <c r="A745" s="470"/>
      <c r="B745" s="471"/>
      <c r="C745" s="85"/>
      <c r="D745" s="472"/>
      <c r="E745" s="473"/>
      <c r="F745" s="474"/>
      <c r="G745" s="85"/>
      <c r="H745" s="85"/>
      <c r="I745" s="475"/>
      <c r="J745" s="85"/>
      <c r="K745" s="85"/>
      <c r="L745" s="85"/>
      <c r="M745" s="476"/>
      <c r="N745" s="85"/>
      <c r="O745" s="85"/>
      <c r="P745" s="85"/>
      <c r="Q745" s="85"/>
      <c r="R745" s="477"/>
      <c r="S745" s="478"/>
      <c r="T745" s="85"/>
      <c r="U745" s="85"/>
      <c r="V745" s="85"/>
      <c r="W745" s="470"/>
      <c r="X745" s="85"/>
      <c r="Y745" s="85"/>
      <c r="Z745" s="479"/>
      <c r="AA745" s="480"/>
      <c r="AB745" s="479"/>
      <c r="AC745" s="479"/>
      <c r="AD745" s="479"/>
      <c r="AE745" s="479"/>
      <c r="AF745" s="476"/>
      <c r="AG745" s="481"/>
      <c r="AH745" s="85"/>
      <c r="AI745" s="85"/>
      <c r="AJ745" s="85"/>
      <c r="AK745" s="85"/>
      <c r="AL745" s="482"/>
      <c r="AM745" s="479"/>
      <c r="AN745" s="480"/>
      <c r="AO745" s="480"/>
      <c r="AP745" s="480"/>
      <c r="AQ745" s="479"/>
    </row>
    <row r="746" spans="1:43" x14ac:dyDescent="0.2">
      <c r="A746" s="470"/>
      <c r="B746" s="471"/>
      <c r="C746" s="85"/>
      <c r="D746" s="472"/>
      <c r="E746" s="473"/>
      <c r="F746" s="474"/>
      <c r="G746" s="85"/>
      <c r="H746" s="85"/>
      <c r="I746" s="475"/>
      <c r="J746" s="85"/>
      <c r="K746" s="85"/>
      <c r="L746" s="85"/>
      <c r="M746" s="476"/>
      <c r="N746" s="85"/>
      <c r="O746" s="85"/>
      <c r="P746" s="85"/>
      <c r="Q746" s="85"/>
      <c r="R746" s="477"/>
      <c r="S746" s="478"/>
      <c r="T746" s="85"/>
      <c r="U746" s="85"/>
      <c r="V746" s="85"/>
      <c r="W746" s="470"/>
      <c r="X746" s="85"/>
      <c r="Y746" s="85"/>
      <c r="Z746" s="479"/>
      <c r="AA746" s="480"/>
      <c r="AB746" s="479"/>
      <c r="AC746" s="479"/>
      <c r="AD746" s="479"/>
      <c r="AE746" s="479"/>
      <c r="AF746" s="476"/>
      <c r="AG746" s="481"/>
      <c r="AH746" s="85"/>
      <c r="AI746" s="85"/>
      <c r="AJ746" s="85"/>
      <c r="AK746" s="85"/>
      <c r="AL746" s="482"/>
      <c r="AM746" s="479"/>
      <c r="AN746" s="480"/>
      <c r="AO746" s="480"/>
      <c r="AP746" s="480"/>
      <c r="AQ746" s="479"/>
    </row>
    <row r="747" spans="1:43" x14ac:dyDescent="0.2">
      <c r="A747" s="470"/>
      <c r="B747" s="471"/>
      <c r="C747" s="85"/>
      <c r="D747" s="472"/>
      <c r="E747" s="473"/>
      <c r="F747" s="474"/>
      <c r="G747" s="85"/>
      <c r="H747" s="85"/>
      <c r="I747" s="475"/>
      <c r="J747" s="85"/>
      <c r="K747" s="85"/>
      <c r="L747" s="85"/>
      <c r="M747" s="476"/>
      <c r="N747" s="85"/>
      <c r="O747" s="85"/>
      <c r="P747" s="85"/>
      <c r="Q747" s="85"/>
      <c r="R747" s="477"/>
      <c r="S747" s="478"/>
      <c r="T747" s="85"/>
      <c r="U747" s="85"/>
      <c r="V747" s="85"/>
      <c r="W747" s="470"/>
      <c r="X747" s="85"/>
      <c r="Y747" s="85"/>
      <c r="Z747" s="479"/>
      <c r="AA747" s="480"/>
      <c r="AB747" s="479"/>
      <c r="AC747" s="479"/>
      <c r="AD747" s="479"/>
      <c r="AE747" s="479"/>
      <c r="AF747" s="476"/>
      <c r="AG747" s="481"/>
      <c r="AH747" s="85"/>
      <c r="AI747" s="85"/>
      <c r="AJ747" s="85"/>
      <c r="AK747" s="85"/>
      <c r="AL747" s="482"/>
      <c r="AM747" s="479"/>
      <c r="AN747" s="480"/>
      <c r="AO747" s="480"/>
      <c r="AP747" s="480"/>
      <c r="AQ747" s="479"/>
    </row>
    <row r="748" spans="1:43" x14ac:dyDescent="0.2">
      <c r="A748" s="470"/>
      <c r="B748" s="471"/>
      <c r="C748" s="85"/>
      <c r="D748" s="472"/>
      <c r="E748" s="473"/>
      <c r="F748" s="474"/>
      <c r="G748" s="85"/>
      <c r="H748" s="85"/>
      <c r="I748" s="475"/>
      <c r="J748" s="85"/>
      <c r="K748" s="85"/>
      <c r="L748" s="85"/>
      <c r="M748" s="476"/>
      <c r="N748" s="85"/>
      <c r="O748" s="85"/>
      <c r="P748" s="85"/>
      <c r="Q748" s="85"/>
      <c r="R748" s="477"/>
      <c r="S748" s="478"/>
      <c r="T748" s="85"/>
      <c r="U748" s="85"/>
      <c r="V748" s="85"/>
      <c r="W748" s="470"/>
      <c r="X748" s="85"/>
      <c r="Y748" s="85"/>
      <c r="Z748" s="479"/>
      <c r="AA748" s="480"/>
      <c r="AB748" s="479"/>
      <c r="AC748" s="479"/>
      <c r="AD748" s="479"/>
      <c r="AE748" s="479"/>
      <c r="AF748" s="476"/>
      <c r="AG748" s="481"/>
      <c r="AH748" s="85"/>
      <c r="AI748" s="85"/>
      <c r="AJ748" s="85"/>
      <c r="AK748" s="85"/>
      <c r="AL748" s="482"/>
      <c r="AM748" s="479"/>
      <c r="AN748" s="480"/>
      <c r="AO748" s="480"/>
      <c r="AP748" s="480"/>
      <c r="AQ748" s="479"/>
    </row>
    <row r="749" spans="1:43" x14ac:dyDescent="0.2">
      <c r="A749" s="470"/>
      <c r="B749" s="471"/>
      <c r="C749" s="85"/>
      <c r="D749" s="472"/>
      <c r="E749" s="473"/>
      <c r="F749" s="474"/>
      <c r="G749" s="85"/>
      <c r="H749" s="85"/>
      <c r="I749" s="475"/>
      <c r="J749" s="85"/>
      <c r="K749" s="85"/>
      <c r="L749" s="85"/>
      <c r="M749" s="476"/>
      <c r="N749" s="85"/>
      <c r="O749" s="85"/>
      <c r="P749" s="85"/>
      <c r="Q749" s="85"/>
      <c r="R749" s="477"/>
      <c r="S749" s="478"/>
      <c r="T749" s="85"/>
      <c r="U749" s="85"/>
      <c r="V749" s="85"/>
      <c r="W749" s="470"/>
      <c r="X749" s="85"/>
      <c r="Y749" s="85"/>
      <c r="Z749" s="479"/>
      <c r="AA749" s="480"/>
      <c r="AB749" s="479"/>
      <c r="AC749" s="479"/>
      <c r="AD749" s="479"/>
      <c r="AE749" s="479"/>
      <c r="AF749" s="476"/>
      <c r="AG749" s="481"/>
      <c r="AH749" s="85"/>
      <c r="AI749" s="85"/>
      <c r="AJ749" s="85"/>
      <c r="AK749" s="85"/>
      <c r="AL749" s="482"/>
      <c r="AM749" s="479"/>
      <c r="AN749" s="480"/>
      <c r="AO749" s="480"/>
      <c r="AP749" s="480"/>
      <c r="AQ749" s="479"/>
    </row>
    <row r="750" spans="1:43" x14ac:dyDescent="0.2">
      <c r="A750" s="470"/>
      <c r="B750" s="471"/>
      <c r="C750" s="85"/>
      <c r="D750" s="472"/>
      <c r="E750" s="473"/>
      <c r="F750" s="474"/>
      <c r="G750" s="85"/>
      <c r="H750" s="85"/>
      <c r="I750" s="475"/>
      <c r="J750" s="85"/>
      <c r="K750" s="85"/>
      <c r="L750" s="85"/>
      <c r="M750" s="476"/>
      <c r="N750" s="85"/>
      <c r="O750" s="85"/>
      <c r="P750" s="85"/>
      <c r="Q750" s="85"/>
      <c r="R750" s="477"/>
      <c r="S750" s="478"/>
      <c r="T750" s="85"/>
      <c r="U750" s="85"/>
      <c r="V750" s="85"/>
      <c r="W750" s="470"/>
      <c r="X750" s="85"/>
      <c r="Y750" s="85"/>
      <c r="Z750" s="479"/>
      <c r="AA750" s="480"/>
      <c r="AB750" s="479"/>
      <c r="AC750" s="479"/>
      <c r="AD750" s="479"/>
      <c r="AE750" s="479"/>
      <c r="AF750" s="476"/>
      <c r="AG750" s="481"/>
      <c r="AH750" s="85"/>
      <c r="AI750" s="85"/>
      <c r="AJ750" s="85"/>
      <c r="AK750" s="85"/>
      <c r="AL750" s="482"/>
      <c r="AM750" s="479"/>
      <c r="AN750" s="480"/>
      <c r="AO750" s="480"/>
      <c r="AP750" s="480"/>
      <c r="AQ750" s="479"/>
    </row>
    <row r="751" spans="1:43" x14ac:dyDescent="0.2">
      <c r="A751" s="470"/>
      <c r="B751" s="471"/>
      <c r="C751" s="85"/>
      <c r="D751" s="472"/>
      <c r="E751" s="473"/>
      <c r="F751" s="474"/>
      <c r="G751" s="85"/>
      <c r="H751" s="85"/>
      <c r="I751" s="475"/>
      <c r="J751" s="85"/>
      <c r="K751" s="85"/>
      <c r="L751" s="85"/>
      <c r="M751" s="476"/>
      <c r="N751" s="85"/>
      <c r="O751" s="85"/>
      <c r="P751" s="85"/>
      <c r="Q751" s="85"/>
      <c r="R751" s="477"/>
      <c r="S751" s="478"/>
      <c r="T751" s="85"/>
      <c r="U751" s="85"/>
      <c r="V751" s="85"/>
      <c r="W751" s="470"/>
      <c r="X751" s="85"/>
      <c r="Y751" s="85"/>
      <c r="Z751" s="479"/>
      <c r="AA751" s="480"/>
      <c r="AB751" s="479"/>
      <c r="AC751" s="479"/>
      <c r="AD751" s="479"/>
      <c r="AE751" s="479"/>
      <c r="AF751" s="476"/>
      <c r="AG751" s="481"/>
      <c r="AH751" s="85"/>
      <c r="AI751" s="85"/>
      <c r="AJ751" s="85"/>
      <c r="AK751" s="85"/>
      <c r="AL751" s="482"/>
      <c r="AM751" s="479"/>
      <c r="AN751" s="480"/>
      <c r="AO751" s="480"/>
      <c r="AP751" s="480"/>
      <c r="AQ751" s="479"/>
    </row>
    <row r="752" spans="1:43" x14ac:dyDescent="0.2">
      <c r="A752" s="470"/>
      <c r="B752" s="471"/>
      <c r="C752" s="85"/>
      <c r="D752" s="472"/>
      <c r="E752" s="473"/>
      <c r="F752" s="474"/>
      <c r="G752" s="85"/>
      <c r="H752" s="85"/>
      <c r="I752" s="475"/>
      <c r="J752" s="85"/>
      <c r="K752" s="85"/>
      <c r="L752" s="85"/>
      <c r="M752" s="476"/>
      <c r="N752" s="85"/>
      <c r="O752" s="85"/>
      <c r="P752" s="85"/>
      <c r="Q752" s="85"/>
      <c r="R752" s="477"/>
      <c r="S752" s="478"/>
      <c r="T752" s="85"/>
      <c r="U752" s="85"/>
      <c r="V752" s="85"/>
      <c r="W752" s="470"/>
      <c r="X752" s="85"/>
      <c r="Y752" s="85"/>
      <c r="Z752" s="479"/>
      <c r="AA752" s="480"/>
      <c r="AB752" s="479"/>
      <c r="AC752" s="479"/>
      <c r="AD752" s="479"/>
      <c r="AE752" s="479"/>
      <c r="AF752" s="476"/>
      <c r="AG752" s="481"/>
      <c r="AH752" s="85"/>
      <c r="AI752" s="85"/>
      <c r="AJ752" s="85"/>
      <c r="AK752" s="85"/>
      <c r="AL752" s="482"/>
      <c r="AM752" s="479"/>
      <c r="AN752" s="480"/>
      <c r="AO752" s="480"/>
      <c r="AP752" s="480"/>
      <c r="AQ752" s="479"/>
    </row>
    <row r="753" spans="1:43" x14ac:dyDescent="0.2">
      <c r="A753" s="470"/>
      <c r="B753" s="471"/>
      <c r="C753" s="85"/>
      <c r="D753" s="472"/>
      <c r="E753" s="473"/>
      <c r="F753" s="474"/>
      <c r="G753" s="85"/>
      <c r="H753" s="85"/>
      <c r="I753" s="475"/>
      <c r="J753" s="85"/>
      <c r="K753" s="85"/>
      <c r="L753" s="85"/>
      <c r="M753" s="476"/>
      <c r="N753" s="85"/>
      <c r="O753" s="85"/>
      <c r="P753" s="85"/>
      <c r="Q753" s="85"/>
      <c r="R753" s="477"/>
      <c r="S753" s="478"/>
      <c r="T753" s="85"/>
      <c r="U753" s="85"/>
      <c r="V753" s="85"/>
      <c r="W753" s="470"/>
      <c r="X753" s="85"/>
      <c r="Y753" s="85"/>
      <c r="Z753" s="479"/>
      <c r="AA753" s="480"/>
      <c r="AB753" s="479"/>
      <c r="AC753" s="479"/>
      <c r="AD753" s="479"/>
      <c r="AE753" s="479"/>
      <c r="AF753" s="476"/>
      <c r="AG753" s="481"/>
      <c r="AH753" s="85"/>
      <c r="AI753" s="85"/>
      <c r="AJ753" s="85"/>
      <c r="AK753" s="85"/>
      <c r="AL753" s="482"/>
      <c r="AM753" s="479"/>
      <c r="AN753" s="480"/>
      <c r="AO753" s="480"/>
      <c r="AP753" s="480"/>
      <c r="AQ753" s="479"/>
    </row>
    <row r="754" spans="1:43" x14ac:dyDescent="0.2">
      <c r="A754" s="470"/>
      <c r="B754" s="471"/>
      <c r="C754" s="85"/>
      <c r="D754" s="472"/>
      <c r="E754" s="473"/>
      <c r="F754" s="474"/>
      <c r="G754" s="85"/>
      <c r="H754" s="85"/>
      <c r="I754" s="475"/>
      <c r="J754" s="85"/>
      <c r="K754" s="85"/>
      <c r="L754" s="85"/>
      <c r="M754" s="476"/>
      <c r="N754" s="85"/>
      <c r="O754" s="85"/>
      <c r="P754" s="85"/>
      <c r="Q754" s="85"/>
      <c r="R754" s="477"/>
      <c r="S754" s="478"/>
      <c r="T754" s="85"/>
      <c r="U754" s="85"/>
      <c r="V754" s="85"/>
      <c r="W754" s="470"/>
      <c r="X754" s="85"/>
      <c r="Y754" s="85"/>
      <c r="Z754" s="479"/>
      <c r="AA754" s="480"/>
      <c r="AB754" s="479"/>
      <c r="AC754" s="479"/>
      <c r="AD754" s="479"/>
      <c r="AE754" s="479"/>
      <c r="AF754" s="476"/>
      <c r="AG754" s="481"/>
      <c r="AH754" s="85"/>
      <c r="AI754" s="85"/>
      <c r="AJ754" s="85"/>
      <c r="AK754" s="85"/>
      <c r="AL754" s="482"/>
      <c r="AM754" s="479"/>
      <c r="AN754" s="480"/>
      <c r="AO754" s="480"/>
      <c r="AP754" s="480"/>
      <c r="AQ754" s="479"/>
    </row>
    <row r="755" spans="1:43" x14ac:dyDescent="0.2">
      <c r="A755" s="470"/>
      <c r="B755" s="471"/>
      <c r="C755" s="85"/>
      <c r="D755" s="472"/>
      <c r="E755" s="473"/>
      <c r="F755" s="474"/>
      <c r="G755" s="85"/>
      <c r="H755" s="85"/>
      <c r="I755" s="475"/>
      <c r="J755" s="85"/>
      <c r="K755" s="85"/>
      <c r="L755" s="85"/>
      <c r="M755" s="476"/>
      <c r="N755" s="85"/>
      <c r="O755" s="85"/>
      <c r="P755" s="85"/>
      <c r="Q755" s="85"/>
      <c r="R755" s="477"/>
      <c r="S755" s="478"/>
      <c r="T755" s="85"/>
      <c r="U755" s="85"/>
      <c r="V755" s="85"/>
      <c r="W755" s="470"/>
      <c r="X755" s="85"/>
      <c r="Y755" s="85"/>
      <c r="Z755" s="479"/>
      <c r="AA755" s="480"/>
      <c r="AB755" s="479"/>
      <c r="AC755" s="479"/>
      <c r="AD755" s="479"/>
      <c r="AE755" s="479"/>
      <c r="AF755" s="476"/>
      <c r="AG755" s="481"/>
      <c r="AH755" s="85"/>
      <c r="AI755" s="85"/>
      <c r="AJ755" s="85"/>
      <c r="AK755" s="85"/>
      <c r="AL755" s="482"/>
      <c r="AM755" s="479"/>
      <c r="AN755" s="480"/>
      <c r="AO755" s="480"/>
      <c r="AP755" s="480"/>
      <c r="AQ755" s="479"/>
    </row>
    <row r="756" spans="1:43" x14ac:dyDescent="0.2">
      <c r="A756" s="470"/>
      <c r="B756" s="471"/>
      <c r="C756" s="85"/>
      <c r="D756" s="472"/>
      <c r="E756" s="473"/>
      <c r="F756" s="474"/>
      <c r="G756" s="85"/>
      <c r="H756" s="85"/>
      <c r="I756" s="475"/>
      <c r="J756" s="85"/>
      <c r="K756" s="85"/>
      <c r="L756" s="85"/>
      <c r="M756" s="476"/>
      <c r="N756" s="85"/>
      <c r="O756" s="85"/>
      <c r="P756" s="85"/>
      <c r="Q756" s="85"/>
      <c r="R756" s="477"/>
      <c r="S756" s="478"/>
      <c r="T756" s="85"/>
      <c r="U756" s="85"/>
      <c r="V756" s="85"/>
      <c r="W756" s="470"/>
      <c r="X756" s="85"/>
      <c r="Y756" s="85"/>
      <c r="Z756" s="479"/>
      <c r="AA756" s="480"/>
      <c r="AB756" s="479"/>
      <c r="AC756" s="479"/>
      <c r="AD756" s="479"/>
      <c r="AE756" s="479"/>
      <c r="AF756" s="476"/>
      <c r="AG756" s="481"/>
      <c r="AH756" s="85"/>
      <c r="AI756" s="85"/>
      <c r="AJ756" s="85"/>
      <c r="AK756" s="85"/>
      <c r="AL756" s="482"/>
      <c r="AM756" s="479"/>
      <c r="AN756" s="480"/>
      <c r="AO756" s="480"/>
      <c r="AP756" s="480"/>
      <c r="AQ756" s="479"/>
    </row>
    <row r="757" spans="1:43" x14ac:dyDescent="0.2">
      <c r="A757" s="470"/>
      <c r="B757" s="471"/>
      <c r="C757" s="85"/>
      <c r="D757" s="472"/>
      <c r="E757" s="473"/>
      <c r="F757" s="474"/>
      <c r="G757" s="85"/>
      <c r="H757" s="85"/>
      <c r="I757" s="475"/>
      <c r="J757" s="85"/>
      <c r="K757" s="85"/>
      <c r="L757" s="85"/>
      <c r="M757" s="476"/>
      <c r="N757" s="85"/>
      <c r="O757" s="85"/>
      <c r="P757" s="85"/>
      <c r="Q757" s="85"/>
      <c r="R757" s="477"/>
      <c r="S757" s="478"/>
      <c r="T757" s="85"/>
      <c r="U757" s="85"/>
      <c r="V757" s="85"/>
      <c r="W757" s="470"/>
      <c r="X757" s="85"/>
      <c r="Y757" s="85"/>
      <c r="Z757" s="479"/>
      <c r="AA757" s="480"/>
      <c r="AB757" s="479"/>
      <c r="AC757" s="479"/>
      <c r="AD757" s="479"/>
      <c r="AE757" s="479"/>
      <c r="AF757" s="476"/>
      <c r="AG757" s="481"/>
      <c r="AH757" s="85"/>
      <c r="AI757" s="85"/>
      <c r="AJ757" s="85"/>
      <c r="AK757" s="85"/>
      <c r="AL757" s="482"/>
      <c r="AM757" s="479"/>
      <c r="AN757" s="480"/>
      <c r="AO757" s="480"/>
      <c r="AP757" s="480"/>
      <c r="AQ757" s="479"/>
    </row>
    <row r="758" spans="1:43" x14ac:dyDescent="0.2">
      <c r="A758" s="470"/>
      <c r="B758" s="471"/>
      <c r="C758" s="85"/>
      <c r="D758" s="472"/>
      <c r="E758" s="473"/>
      <c r="F758" s="474"/>
      <c r="G758" s="85"/>
      <c r="H758" s="85"/>
      <c r="I758" s="475"/>
      <c r="J758" s="85"/>
      <c r="K758" s="85"/>
      <c r="L758" s="85"/>
      <c r="M758" s="476"/>
      <c r="N758" s="85"/>
      <c r="O758" s="85"/>
      <c r="P758" s="85"/>
      <c r="Q758" s="85"/>
      <c r="R758" s="477"/>
      <c r="S758" s="478"/>
      <c r="T758" s="85"/>
      <c r="U758" s="85"/>
      <c r="V758" s="85"/>
      <c r="W758" s="470"/>
      <c r="X758" s="85"/>
      <c r="Y758" s="85"/>
      <c r="Z758" s="479"/>
      <c r="AA758" s="480"/>
      <c r="AB758" s="479"/>
      <c r="AC758" s="479"/>
      <c r="AD758" s="479"/>
      <c r="AE758" s="479"/>
      <c r="AF758" s="476"/>
      <c r="AG758" s="481"/>
      <c r="AH758" s="85"/>
      <c r="AI758" s="85"/>
      <c r="AJ758" s="85"/>
      <c r="AK758" s="85"/>
      <c r="AL758" s="482"/>
      <c r="AM758" s="479"/>
      <c r="AN758" s="480"/>
      <c r="AO758" s="480"/>
      <c r="AP758" s="480"/>
      <c r="AQ758" s="479"/>
    </row>
    <row r="759" spans="1:43" x14ac:dyDescent="0.2">
      <c r="A759" s="470"/>
      <c r="B759" s="471"/>
      <c r="C759" s="85"/>
      <c r="D759" s="472"/>
      <c r="E759" s="473"/>
      <c r="F759" s="474"/>
      <c r="G759" s="85"/>
      <c r="H759" s="85"/>
      <c r="I759" s="475"/>
      <c r="J759" s="85"/>
      <c r="K759" s="85"/>
      <c r="L759" s="85"/>
      <c r="M759" s="476"/>
      <c r="N759" s="85"/>
      <c r="O759" s="85"/>
      <c r="P759" s="85"/>
      <c r="Q759" s="85"/>
      <c r="R759" s="477"/>
      <c r="S759" s="478"/>
      <c r="T759" s="85"/>
      <c r="U759" s="85"/>
      <c r="V759" s="85"/>
      <c r="W759" s="470"/>
      <c r="X759" s="85"/>
      <c r="Y759" s="85"/>
      <c r="Z759" s="479"/>
      <c r="AA759" s="480"/>
      <c r="AB759" s="479"/>
      <c r="AC759" s="479"/>
      <c r="AD759" s="479"/>
      <c r="AE759" s="479"/>
      <c r="AF759" s="476"/>
      <c r="AG759" s="481"/>
      <c r="AH759" s="85"/>
      <c r="AI759" s="85"/>
      <c r="AJ759" s="85"/>
      <c r="AK759" s="85"/>
      <c r="AL759" s="482"/>
      <c r="AM759" s="479"/>
      <c r="AN759" s="480"/>
      <c r="AO759" s="480"/>
      <c r="AP759" s="480"/>
      <c r="AQ759" s="479"/>
    </row>
    <row r="760" spans="1:43" x14ac:dyDescent="0.2">
      <c r="A760" s="470"/>
      <c r="B760" s="471"/>
      <c r="C760" s="85"/>
      <c r="D760" s="472"/>
      <c r="E760" s="473"/>
      <c r="F760" s="474"/>
      <c r="G760" s="85"/>
      <c r="H760" s="85"/>
      <c r="I760" s="475"/>
      <c r="J760" s="85"/>
      <c r="K760" s="85"/>
      <c r="L760" s="85"/>
      <c r="M760" s="476"/>
      <c r="N760" s="85"/>
      <c r="O760" s="85"/>
      <c r="P760" s="85"/>
      <c r="Q760" s="85"/>
      <c r="R760" s="477"/>
      <c r="S760" s="478"/>
      <c r="T760" s="85"/>
      <c r="U760" s="85"/>
      <c r="V760" s="85"/>
      <c r="W760" s="470"/>
      <c r="X760" s="85"/>
      <c r="Y760" s="85"/>
      <c r="Z760" s="479"/>
      <c r="AA760" s="480"/>
      <c r="AB760" s="479"/>
      <c r="AC760" s="479"/>
      <c r="AD760" s="479"/>
      <c r="AE760" s="479"/>
      <c r="AF760" s="476"/>
      <c r="AG760" s="481"/>
      <c r="AH760" s="85"/>
      <c r="AI760" s="85"/>
      <c r="AJ760" s="85"/>
      <c r="AK760" s="85"/>
      <c r="AL760" s="482"/>
      <c r="AM760" s="479"/>
      <c r="AN760" s="480"/>
      <c r="AO760" s="480"/>
      <c r="AP760" s="480"/>
      <c r="AQ760" s="479"/>
    </row>
    <row r="761" spans="1:43" x14ac:dyDescent="0.2">
      <c r="A761" s="470"/>
      <c r="B761" s="471"/>
      <c r="C761" s="85"/>
      <c r="D761" s="472"/>
      <c r="E761" s="473"/>
      <c r="F761" s="474"/>
      <c r="G761" s="85"/>
      <c r="H761" s="85"/>
      <c r="I761" s="475"/>
      <c r="J761" s="85"/>
      <c r="K761" s="85"/>
      <c r="L761" s="85"/>
      <c r="M761" s="476"/>
      <c r="N761" s="85"/>
      <c r="O761" s="85"/>
      <c r="P761" s="85"/>
      <c r="Q761" s="85"/>
      <c r="R761" s="477"/>
      <c r="S761" s="478"/>
      <c r="T761" s="85"/>
      <c r="U761" s="85"/>
      <c r="V761" s="85"/>
      <c r="W761" s="470"/>
      <c r="X761" s="85"/>
      <c r="Y761" s="85"/>
      <c r="Z761" s="479"/>
      <c r="AA761" s="480"/>
      <c r="AB761" s="479"/>
      <c r="AC761" s="479"/>
      <c r="AD761" s="479"/>
      <c r="AE761" s="479"/>
      <c r="AF761" s="476"/>
      <c r="AG761" s="481"/>
      <c r="AH761" s="85"/>
      <c r="AI761" s="85"/>
      <c r="AJ761" s="85"/>
      <c r="AK761" s="85"/>
      <c r="AL761" s="482"/>
      <c r="AM761" s="479"/>
      <c r="AN761" s="480"/>
      <c r="AO761" s="480"/>
      <c r="AP761" s="480"/>
      <c r="AQ761" s="479"/>
    </row>
    <row r="762" spans="1:43" x14ac:dyDescent="0.2">
      <c r="A762" s="470"/>
      <c r="B762" s="471"/>
      <c r="C762" s="85"/>
      <c r="D762" s="472"/>
      <c r="E762" s="473"/>
      <c r="F762" s="474"/>
      <c r="G762" s="85"/>
      <c r="H762" s="85"/>
      <c r="I762" s="475"/>
      <c r="J762" s="85"/>
      <c r="K762" s="85"/>
      <c r="L762" s="85"/>
      <c r="M762" s="476"/>
      <c r="N762" s="85"/>
      <c r="O762" s="85"/>
      <c r="P762" s="85"/>
      <c r="Q762" s="85"/>
      <c r="R762" s="477"/>
      <c r="S762" s="478"/>
      <c r="T762" s="85"/>
      <c r="U762" s="85"/>
      <c r="V762" s="85"/>
      <c r="W762" s="470"/>
      <c r="X762" s="85"/>
      <c r="Y762" s="85"/>
      <c r="Z762" s="479"/>
      <c r="AA762" s="480"/>
      <c r="AB762" s="479"/>
      <c r="AC762" s="479"/>
      <c r="AD762" s="479"/>
      <c r="AE762" s="479"/>
      <c r="AF762" s="476"/>
      <c r="AG762" s="481"/>
      <c r="AH762" s="85"/>
      <c r="AI762" s="85"/>
      <c r="AJ762" s="85"/>
      <c r="AK762" s="85"/>
      <c r="AL762" s="482"/>
      <c r="AM762" s="479"/>
      <c r="AN762" s="480"/>
      <c r="AO762" s="480"/>
      <c r="AP762" s="480"/>
      <c r="AQ762" s="479"/>
    </row>
    <row r="763" spans="1:43" x14ac:dyDescent="0.2">
      <c r="A763" s="470"/>
      <c r="B763" s="471"/>
      <c r="C763" s="85"/>
      <c r="D763" s="472"/>
      <c r="E763" s="473"/>
      <c r="F763" s="474"/>
      <c r="G763" s="85"/>
      <c r="H763" s="85"/>
      <c r="I763" s="475"/>
      <c r="J763" s="85"/>
      <c r="K763" s="85"/>
      <c r="L763" s="85"/>
      <c r="M763" s="476"/>
      <c r="N763" s="85"/>
      <c r="O763" s="85"/>
      <c r="P763" s="85"/>
      <c r="Q763" s="85"/>
      <c r="R763" s="477"/>
      <c r="S763" s="478"/>
      <c r="T763" s="85"/>
      <c r="U763" s="85"/>
      <c r="V763" s="85"/>
      <c r="W763" s="470"/>
      <c r="X763" s="85"/>
      <c r="Y763" s="85"/>
      <c r="Z763" s="479"/>
      <c r="AA763" s="480"/>
      <c r="AB763" s="479"/>
      <c r="AC763" s="479"/>
      <c r="AD763" s="479"/>
      <c r="AE763" s="479"/>
      <c r="AF763" s="476"/>
      <c r="AG763" s="481"/>
      <c r="AH763" s="85"/>
      <c r="AI763" s="85"/>
      <c r="AJ763" s="85"/>
      <c r="AK763" s="85"/>
      <c r="AL763" s="482"/>
      <c r="AM763" s="479"/>
      <c r="AN763" s="480"/>
      <c r="AO763" s="480"/>
      <c r="AP763" s="480"/>
      <c r="AQ763" s="479"/>
    </row>
    <row r="764" spans="1:43" x14ac:dyDescent="0.2">
      <c r="A764" s="470"/>
      <c r="B764" s="471"/>
      <c r="C764" s="85"/>
      <c r="D764" s="472"/>
      <c r="E764" s="473"/>
      <c r="F764" s="474"/>
      <c r="G764" s="85"/>
      <c r="H764" s="85"/>
      <c r="I764" s="475"/>
      <c r="J764" s="85"/>
      <c r="K764" s="85"/>
      <c r="L764" s="85"/>
      <c r="M764" s="476"/>
      <c r="N764" s="85"/>
      <c r="O764" s="85"/>
      <c r="P764" s="85"/>
      <c r="Q764" s="85"/>
      <c r="R764" s="477"/>
      <c r="S764" s="478"/>
      <c r="T764" s="85"/>
      <c r="U764" s="85"/>
      <c r="V764" s="85"/>
      <c r="W764" s="470"/>
      <c r="X764" s="85"/>
      <c r="Y764" s="85"/>
      <c r="Z764" s="479"/>
      <c r="AA764" s="480"/>
      <c r="AB764" s="479"/>
      <c r="AC764" s="479"/>
      <c r="AD764" s="479"/>
      <c r="AE764" s="479"/>
      <c r="AF764" s="476"/>
      <c r="AG764" s="481"/>
      <c r="AH764" s="85"/>
      <c r="AI764" s="85"/>
      <c r="AJ764" s="85"/>
      <c r="AK764" s="85"/>
      <c r="AL764" s="482"/>
      <c r="AM764" s="479"/>
      <c r="AN764" s="480"/>
      <c r="AO764" s="480"/>
      <c r="AP764" s="480"/>
      <c r="AQ764" s="479"/>
    </row>
    <row r="765" spans="1:43" x14ac:dyDescent="0.2">
      <c r="A765" s="470"/>
      <c r="B765" s="471"/>
      <c r="C765" s="85"/>
      <c r="D765" s="472"/>
      <c r="E765" s="473"/>
      <c r="F765" s="474"/>
      <c r="G765" s="85"/>
      <c r="H765" s="85"/>
      <c r="I765" s="475"/>
      <c r="J765" s="85"/>
      <c r="K765" s="85"/>
      <c r="L765" s="85"/>
      <c r="M765" s="476"/>
      <c r="N765" s="85"/>
      <c r="O765" s="85"/>
      <c r="P765" s="85"/>
      <c r="Q765" s="85"/>
      <c r="R765" s="477"/>
      <c r="S765" s="478"/>
      <c r="T765" s="85"/>
      <c r="U765" s="85"/>
      <c r="V765" s="85"/>
      <c r="W765" s="470"/>
      <c r="X765" s="85"/>
      <c r="Y765" s="85"/>
      <c r="Z765" s="479"/>
      <c r="AA765" s="480"/>
      <c r="AB765" s="479"/>
      <c r="AC765" s="479"/>
      <c r="AD765" s="479"/>
      <c r="AE765" s="479"/>
      <c r="AF765" s="476"/>
      <c r="AG765" s="481"/>
      <c r="AH765" s="85"/>
      <c r="AI765" s="85"/>
      <c r="AJ765" s="85"/>
      <c r="AK765" s="85"/>
      <c r="AL765" s="482"/>
      <c r="AM765" s="479"/>
      <c r="AN765" s="480"/>
      <c r="AO765" s="480"/>
      <c r="AP765" s="480"/>
      <c r="AQ765" s="479"/>
    </row>
    <row r="766" spans="1:43" x14ac:dyDescent="0.2">
      <c r="A766" s="470"/>
      <c r="B766" s="471"/>
      <c r="C766" s="85"/>
      <c r="D766" s="472"/>
      <c r="E766" s="473"/>
      <c r="F766" s="474"/>
      <c r="G766" s="85"/>
      <c r="H766" s="85"/>
      <c r="I766" s="475"/>
      <c r="J766" s="85"/>
      <c r="K766" s="85"/>
      <c r="L766" s="85"/>
      <c r="M766" s="476"/>
      <c r="N766" s="85"/>
      <c r="O766" s="85"/>
      <c r="P766" s="85"/>
      <c r="Q766" s="85"/>
      <c r="R766" s="477"/>
      <c r="S766" s="478"/>
      <c r="T766" s="85"/>
      <c r="U766" s="85"/>
      <c r="V766" s="85"/>
      <c r="W766" s="470"/>
      <c r="X766" s="85"/>
      <c r="Y766" s="85"/>
      <c r="Z766" s="479"/>
      <c r="AA766" s="480"/>
      <c r="AB766" s="479"/>
      <c r="AC766" s="479"/>
      <c r="AD766" s="479"/>
      <c r="AE766" s="479"/>
      <c r="AF766" s="476"/>
      <c r="AG766" s="481"/>
      <c r="AH766" s="85"/>
      <c r="AI766" s="85"/>
      <c r="AJ766" s="85"/>
      <c r="AK766" s="85"/>
      <c r="AL766" s="482"/>
      <c r="AM766" s="479"/>
      <c r="AN766" s="480"/>
      <c r="AO766" s="480"/>
      <c r="AP766" s="480"/>
      <c r="AQ766" s="479"/>
    </row>
    <row r="767" spans="1:43" x14ac:dyDescent="0.2">
      <c r="A767" s="470"/>
      <c r="B767" s="471"/>
      <c r="C767" s="85"/>
      <c r="D767" s="472"/>
      <c r="E767" s="473"/>
      <c r="F767" s="474"/>
      <c r="G767" s="85"/>
      <c r="H767" s="85"/>
      <c r="I767" s="475"/>
      <c r="J767" s="85"/>
      <c r="K767" s="85"/>
      <c r="L767" s="85"/>
      <c r="M767" s="476"/>
      <c r="N767" s="85"/>
      <c r="O767" s="85"/>
      <c r="P767" s="85"/>
      <c r="Q767" s="85"/>
      <c r="R767" s="477"/>
      <c r="S767" s="478"/>
      <c r="T767" s="85"/>
      <c r="U767" s="85"/>
      <c r="V767" s="85"/>
      <c r="W767" s="470"/>
      <c r="X767" s="85"/>
      <c r="Y767" s="85"/>
      <c r="Z767" s="479"/>
      <c r="AA767" s="480"/>
      <c r="AB767" s="479"/>
      <c r="AC767" s="479"/>
      <c r="AD767" s="479"/>
      <c r="AE767" s="479"/>
      <c r="AF767" s="476"/>
      <c r="AG767" s="481"/>
      <c r="AH767" s="85"/>
      <c r="AI767" s="85"/>
      <c r="AJ767" s="85"/>
      <c r="AK767" s="85"/>
      <c r="AL767" s="482"/>
      <c r="AM767" s="479"/>
      <c r="AN767" s="480"/>
      <c r="AO767" s="480"/>
      <c r="AP767" s="480"/>
      <c r="AQ767" s="479"/>
    </row>
    <row r="768" spans="1:43" x14ac:dyDescent="0.2">
      <c r="A768" s="470"/>
      <c r="B768" s="471"/>
      <c r="C768" s="85"/>
      <c r="D768" s="472"/>
      <c r="E768" s="473"/>
      <c r="F768" s="474"/>
      <c r="G768" s="85"/>
      <c r="H768" s="85"/>
      <c r="I768" s="475"/>
      <c r="J768" s="85"/>
      <c r="K768" s="85"/>
      <c r="L768" s="85"/>
      <c r="M768" s="476"/>
      <c r="N768" s="85"/>
      <c r="O768" s="85"/>
      <c r="P768" s="85"/>
      <c r="Q768" s="85"/>
      <c r="R768" s="477"/>
      <c r="S768" s="478"/>
      <c r="T768" s="85"/>
      <c r="U768" s="85"/>
      <c r="V768" s="85"/>
      <c r="W768" s="470"/>
      <c r="X768" s="85"/>
      <c r="Y768" s="85"/>
      <c r="Z768" s="479"/>
      <c r="AA768" s="480"/>
      <c r="AB768" s="479"/>
      <c r="AC768" s="479"/>
      <c r="AD768" s="479"/>
      <c r="AE768" s="479"/>
      <c r="AF768" s="476"/>
      <c r="AG768" s="481"/>
      <c r="AH768" s="85"/>
      <c r="AI768" s="85"/>
      <c r="AJ768" s="85"/>
      <c r="AK768" s="85"/>
      <c r="AL768" s="482"/>
      <c r="AM768" s="479"/>
      <c r="AN768" s="480"/>
      <c r="AO768" s="480"/>
      <c r="AP768" s="480"/>
      <c r="AQ768" s="479"/>
    </row>
    <row r="769" spans="1:43" x14ac:dyDescent="0.2">
      <c r="A769" s="470"/>
      <c r="B769" s="471"/>
      <c r="C769" s="85"/>
      <c r="D769" s="472"/>
      <c r="E769" s="473"/>
      <c r="F769" s="474"/>
      <c r="G769" s="85"/>
      <c r="H769" s="85"/>
      <c r="I769" s="475"/>
      <c r="J769" s="85"/>
      <c r="K769" s="85"/>
      <c r="L769" s="85"/>
      <c r="M769" s="476"/>
      <c r="N769" s="85"/>
      <c r="O769" s="85"/>
      <c r="P769" s="85"/>
      <c r="Q769" s="85"/>
      <c r="R769" s="477"/>
      <c r="S769" s="478"/>
      <c r="T769" s="85"/>
      <c r="U769" s="85"/>
      <c r="V769" s="85"/>
      <c r="W769" s="470"/>
      <c r="X769" s="85"/>
      <c r="Y769" s="85"/>
      <c r="Z769" s="479"/>
      <c r="AA769" s="480"/>
      <c r="AB769" s="479"/>
      <c r="AC769" s="479"/>
      <c r="AD769" s="479"/>
      <c r="AE769" s="479"/>
      <c r="AF769" s="476"/>
      <c r="AG769" s="481"/>
      <c r="AH769" s="85"/>
      <c r="AI769" s="85"/>
      <c r="AJ769" s="85"/>
      <c r="AK769" s="85"/>
      <c r="AL769" s="482"/>
      <c r="AM769" s="479"/>
      <c r="AN769" s="480"/>
      <c r="AO769" s="480"/>
      <c r="AP769" s="480"/>
      <c r="AQ769" s="479"/>
    </row>
    <row r="770" spans="1:43" x14ac:dyDescent="0.2">
      <c r="A770" s="470"/>
      <c r="B770" s="471"/>
      <c r="C770" s="85"/>
      <c r="D770" s="472"/>
      <c r="E770" s="473"/>
      <c r="F770" s="474"/>
      <c r="G770" s="85"/>
      <c r="H770" s="85"/>
      <c r="I770" s="475"/>
      <c r="J770" s="85"/>
      <c r="K770" s="85"/>
      <c r="L770" s="85"/>
      <c r="M770" s="476"/>
      <c r="N770" s="85"/>
      <c r="O770" s="85"/>
      <c r="P770" s="85"/>
      <c r="Q770" s="85"/>
      <c r="R770" s="477"/>
      <c r="S770" s="478"/>
      <c r="T770" s="85"/>
      <c r="U770" s="85"/>
      <c r="V770" s="85"/>
      <c r="W770" s="470"/>
      <c r="X770" s="85"/>
      <c r="Y770" s="85"/>
      <c r="Z770" s="479"/>
      <c r="AA770" s="480"/>
      <c r="AB770" s="479"/>
      <c r="AC770" s="479"/>
      <c r="AD770" s="479"/>
      <c r="AE770" s="479"/>
      <c r="AF770" s="476"/>
      <c r="AG770" s="481"/>
      <c r="AH770" s="85"/>
      <c r="AI770" s="85"/>
      <c r="AJ770" s="85"/>
      <c r="AK770" s="85"/>
      <c r="AL770" s="482"/>
      <c r="AM770" s="479"/>
      <c r="AN770" s="480"/>
      <c r="AO770" s="480"/>
      <c r="AP770" s="480"/>
      <c r="AQ770" s="479"/>
    </row>
    <row r="771" spans="1:43" x14ac:dyDescent="0.2">
      <c r="A771" s="470"/>
      <c r="B771" s="471"/>
      <c r="C771" s="85"/>
      <c r="D771" s="472"/>
      <c r="E771" s="473"/>
      <c r="F771" s="474"/>
      <c r="G771" s="85"/>
      <c r="H771" s="85"/>
      <c r="I771" s="475"/>
      <c r="J771" s="85"/>
      <c r="K771" s="85"/>
      <c r="L771" s="85"/>
      <c r="M771" s="476"/>
      <c r="N771" s="85"/>
      <c r="O771" s="85"/>
      <c r="P771" s="85"/>
      <c r="Q771" s="85"/>
      <c r="R771" s="477"/>
      <c r="S771" s="478"/>
      <c r="T771" s="85"/>
      <c r="U771" s="85"/>
      <c r="V771" s="85"/>
      <c r="W771" s="470"/>
      <c r="X771" s="85"/>
      <c r="Y771" s="85"/>
      <c r="Z771" s="479"/>
      <c r="AA771" s="480"/>
      <c r="AB771" s="479"/>
      <c r="AC771" s="479"/>
      <c r="AD771" s="479"/>
      <c r="AE771" s="479"/>
      <c r="AF771" s="476"/>
      <c r="AG771" s="481"/>
      <c r="AH771" s="85"/>
      <c r="AI771" s="85"/>
      <c r="AJ771" s="85"/>
      <c r="AK771" s="85"/>
      <c r="AL771" s="482"/>
      <c r="AM771" s="479"/>
      <c r="AN771" s="480"/>
      <c r="AO771" s="480"/>
      <c r="AP771" s="480"/>
      <c r="AQ771" s="479"/>
    </row>
    <row r="772" spans="1:43" x14ac:dyDescent="0.2">
      <c r="A772" s="470"/>
      <c r="B772" s="471"/>
      <c r="C772" s="85"/>
      <c r="D772" s="472"/>
      <c r="E772" s="473"/>
      <c r="F772" s="474"/>
      <c r="G772" s="85"/>
      <c r="H772" s="85"/>
      <c r="I772" s="475"/>
      <c r="J772" s="85"/>
      <c r="K772" s="85"/>
      <c r="L772" s="85"/>
      <c r="M772" s="476"/>
      <c r="N772" s="85"/>
      <c r="O772" s="85"/>
      <c r="P772" s="85"/>
      <c r="Q772" s="85"/>
      <c r="R772" s="477"/>
      <c r="S772" s="478"/>
      <c r="T772" s="85"/>
      <c r="U772" s="85"/>
      <c r="V772" s="85"/>
      <c r="W772" s="470"/>
      <c r="X772" s="85"/>
      <c r="Y772" s="85"/>
      <c r="Z772" s="479"/>
      <c r="AA772" s="480"/>
      <c r="AB772" s="479"/>
      <c r="AC772" s="479"/>
      <c r="AD772" s="479"/>
      <c r="AE772" s="479"/>
      <c r="AF772" s="476"/>
      <c r="AG772" s="481"/>
      <c r="AH772" s="85"/>
      <c r="AI772" s="85"/>
      <c r="AJ772" s="85"/>
      <c r="AK772" s="85"/>
      <c r="AL772" s="482"/>
      <c r="AM772" s="479"/>
      <c r="AN772" s="480"/>
      <c r="AO772" s="480"/>
      <c r="AP772" s="480"/>
      <c r="AQ772" s="479"/>
    </row>
    <row r="773" spans="1:43" x14ac:dyDescent="0.2">
      <c r="A773" s="470"/>
      <c r="B773" s="471"/>
      <c r="C773" s="85"/>
      <c r="D773" s="472"/>
      <c r="E773" s="473"/>
      <c r="F773" s="474"/>
      <c r="G773" s="85"/>
      <c r="H773" s="85"/>
      <c r="I773" s="475"/>
      <c r="J773" s="85"/>
      <c r="K773" s="85"/>
      <c r="L773" s="85"/>
      <c r="M773" s="476"/>
      <c r="N773" s="85"/>
      <c r="O773" s="85"/>
      <c r="P773" s="85"/>
      <c r="Q773" s="85"/>
      <c r="R773" s="477"/>
      <c r="S773" s="478"/>
      <c r="T773" s="85"/>
      <c r="U773" s="85"/>
      <c r="V773" s="85"/>
      <c r="W773" s="470"/>
      <c r="X773" s="85"/>
      <c r="Y773" s="85"/>
      <c r="Z773" s="479"/>
      <c r="AA773" s="480"/>
      <c r="AB773" s="479"/>
      <c r="AC773" s="479"/>
      <c r="AD773" s="479"/>
      <c r="AE773" s="479"/>
      <c r="AF773" s="476"/>
      <c r="AG773" s="481"/>
      <c r="AH773" s="85"/>
      <c r="AI773" s="85"/>
      <c r="AJ773" s="85"/>
      <c r="AK773" s="85"/>
      <c r="AL773" s="482"/>
      <c r="AM773" s="479"/>
      <c r="AN773" s="480"/>
      <c r="AO773" s="480"/>
      <c r="AP773" s="480"/>
      <c r="AQ773" s="479"/>
    </row>
    <row r="774" spans="1:43" x14ac:dyDescent="0.2">
      <c r="A774" s="470"/>
      <c r="B774" s="471"/>
      <c r="C774" s="85"/>
      <c r="D774" s="472"/>
      <c r="E774" s="473"/>
      <c r="F774" s="474"/>
      <c r="G774" s="85"/>
      <c r="H774" s="85"/>
      <c r="I774" s="475"/>
      <c r="J774" s="85"/>
      <c r="K774" s="85"/>
      <c r="L774" s="85"/>
      <c r="M774" s="476"/>
      <c r="N774" s="85"/>
      <c r="O774" s="85"/>
      <c r="P774" s="85"/>
      <c r="Q774" s="85"/>
      <c r="R774" s="477"/>
      <c r="S774" s="478"/>
      <c r="T774" s="85"/>
      <c r="U774" s="85"/>
      <c r="V774" s="85"/>
      <c r="W774" s="470"/>
      <c r="X774" s="85"/>
      <c r="Y774" s="85"/>
      <c r="Z774" s="479"/>
      <c r="AA774" s="480"/>
      <c r="AB774" s="479"/>
      <c r="AC774" s="479"/>
      <c r="AD774" s="479"/>
      <c r="AE774" s="479"/>
      <c r="AF774" s="476"/>
      <c r="AG774" s="481"/>
      <c r="AH774" s="85"/>
      <c r="AI774" s="85"/>
      <c r="AJ774" s="85"/>
      <c r="AK774" s="85"/>
      <c r="AL774" s="482"/>
      <c r="AM774" s="479"/>
      <c r="AN774" s="480"/>
      <c r="AO774" s="480"/>
      <c r="AP774" s="480"/>
      <c r="AQ774" s="479"/>
    </row>
    <row r="775" spans="1:43" x14ac:dyDescent="0.2">
      <c r="A775" s="470"/>
      <c r="B775" s="471"/>
      <c r="C775" s="85"/>
      <c r="D775" s="472"/>
      <c r="E775" s="473"/>
      <c r="F775" s="474"/>
      <c r="G775" s="85"/>
      <c r="H775" s="85"/>
      <c r="I775" s="475"/>
      <c r="J775" s="85"/>
      <c r="K775" s="85"/>
      <c r="L775" s="85"/>
      <c r="M775" s="476"/>
      <c r="N775" s="85"/>
      <c r="O775" s="85"/>
      <c r="P775" s="85"/>
      <c r="Q775" s="85"/>
      <c r="R775" s="477"/>
      <c r="S775" s="478"/>
      <c r="T775" s="85"/>
      <c r="U775" s="85"/>
      <c r="V775" s="85"/>
      <c r="W775" s="470"/>
      <c r="X775" s="85"/>
      <c r="Y775" s="85"/>
      <c r="Z775" s="479"/>
      <c r="AA775" s="480"/>
      <c r="AB775" s="479"/>
      <c r="AC775" s="479"/>
      <c r="AD775" s="479"/>
      <c r="AE775" s="479"/>
      <c r="AF775" s="476"/>
      <c r="AG775" s="481"/>
      <c r="AH775" s="85"/>
      <c r="AI775" s="85"/>
      <c r="AJ775" s="85"/>
      <c r="AK775" s="85"/>
      <c r="AL775" s="482"/>
      <c r="AM775" s="479"/>
      <c r="AN775" s="480"/>
      <c r="AO775" s="480"/>
      <c r="AP775" s="480"/>
      <c r="AQ775" s="479"/>
    </row>
    <row r="776" spans="1:43" x14ac:dyDescent="0.2">
      <c r="A776" s="470"/>
      <c r="B776" s="471"/>
      <c r="C776" s="85"/>
      <c r="D776" s="472"/>
      <c r="E776" s="473"/>
      <c r="F776" s="474"/>
      <c r="G776" s="85"/>
      <c r="H776" s="85"/>
      <c r="I776" s="475"/>
      <c r="J776" s="85"/>
      <c r="K776" s="85"/>
      <c r="L776" s="85"/>
      <c r="M776" s="476"/>
      <c r="N776" s="85"/>
      <c r="O776" s="85"/>
      <c r="P776" s="85"/>
      <c r="Q776" s="85"/>
      <c r="R776" s="477"/>
      <c r="S776" s="478"/>
      <c r="T776" s="85"/>
      <c r="U776" s="85"/>
      <c r="V776" s="85"/>
      <c r="W776" s="470"/>
      <c r="X776" s="85"/>
      <c r="Y776" s="85"/>
      <c r="Z776" s="479"/>
      <c r="AA776" s="480"/>
      <c r="AB776" s="479"/>
      <c r="AC776" s="479"/>
      <c r="AD776" s="479"/>
      <c r="AE776" s="479"/>
      <c r="AF776" s="476"/>
      <c r="AG776" s="481"/>
      <c r="AH776" s="85"/>
      <c r="AI776" s="85"/>
      <c r="AJ776" s="85"/>
      <c r="AK776" s="85"/>
      <c r="AL776" s="482"/>
      <c r="AM776" s="479"/>
      <c r="AN776" s="480"/>
      <c r="AO776" s="480"/>
      <c r="AP776" s="480"/>
      <c r="AQ776" s="479"/>
    </row>
    <row r="777" spans="1:43" x14ac:dyDescent="0.2">
      <c r="A777" s="470"/>
      <c r="B777" s="471"/>
      <c r="C777" s="85"/>
      <c r="D777" s="472"/>
      <c r="E777" s="473"/>
      <c r="F777" s="474"/>
      <c r="G777" s="85"/>
      <c r="H777" s="85"/>
      <c r="I777" s="475"/>
      <c r="J777" s="85"/>
      <c r="K777" s="85"/>
      <c r="L777" s="85"/>
      <c r="M777" s="476"/>
      <c r="N777" s="85"/>
      <c r="O777" s="85"/>
      <c r="P777" s="85"/>
      <c r="Q777" s="85"/>
      <c r="R777" s="477"/>
      <c r="S777" s="478"/>
      <c r="T777" s="85"/>
      <c r="U777" s="85"/>
      <c r="V777" s="85"/>
      <c r="W777" s="470"/>
      <c r="X777" s="85"/>
      <c r="Y777" s="85"/>
      <c r="Z777" s="479"/>
      <c r="AA777" s="480"/>
      <c r="AB777" s="479"/>
      <c r="AC777" s="479"/>
      <c r="AD777" s="479"/>
      <c r="AE777" s="479"/>
      <c r="AF777" s="476"/>
      <c r="AG777" s="481"/>
      <c r="AH777" s="85"/>
      <c r="AI777" s="85"/>
      <c r="AJ777" s="85"/>
      <c r="AK777" s="85"/>
      <c r="AL777" s="482"/>
      <c r="AM777" s="479"/>
      <c r="AN777" s="480"/>
      <c r="AO777" s="480"/>
      <c r="AP777" s="480"/>
      <c r="AQ777" s="479"/>
    </row>
    <row r="778" spans="1:43" x14ac:dyDescent="0.2">
      <c r="A778" s="470"/>
      <c r="B778" s="471"/>
      <c r="C778" s="85"/>
      <c r="D778" s="472"/>
      <c r="E778" s="473"/>
      <c r="F778" s="474"/>
      <c r="G778" s="85"/>
      <c r="H778" s="85"/>
      <c r="I778" s="475"/>
      <c r="J778" s="85"/>
      <c r="K778" s="85"/>
      <c r="L778" s="85"/>
      <c r="M778" s="476"/>
      <c r="N778" s="85"/>
      <c r="O778" s="85"/>
      <c r="P778" s="85"/>
      <c r="Q778" s="85"/>
      <c r="R778" s="477"/>
      <c r="S778" s="478"/>
      <c r="T778" s="85"/>
      <c r="U778" s="85"/>
      <c r="V778" s="85"/>
      <c r="W778" s="470"/>
      <c r="X778" s="85"/>
      <c r="Y778" s="85"/>
      <c r="Z778" s="479"/>
      <c r="AA778" s="480"/>
      <c r="AB778" s="479"/>
      <c r="AC778" s="479"/>
      <c r="AD778" s="479"/>
      <c r="AE778" s="479"/>
      <c r="AF778" s="476"/>
      <c r="AG778" s="481"/>
      <c r="AH778" s="85"/>
      <c r="AI778" s="85"/>
      <c r="AJ778" s="85"/>
      <c r="AK778" s="85"/>
      <c r="AL778" s="482"/>
      <c r="AM778" s="479"/>
      <c r="AN778" s="480"/>
      <c r="AO778" s="480"/>
      <c r="AP778" s="480"/>
      <c r="AQ778" s="479"/>
    </row>
    <row r="779" spans="1:43" x14ac:dyDescent="0.2">
      <c r="A779" s="470"/>
      <c r="B779" s="471"/>
      <c r="C779" s="85"/>
      <c r="D779" s="472"/>
      <c r="E779" s="473"/>
      <c r="F779" s="474"/>
      <c r="G779" s="85"/>
      <c r="H779" s="85"/>
      <c r="I779" s="475"/>
      <c r="J779" s="85"/>
      <c r="K779" s="85"/>
      <c r="L779" s="85"/>
      <c r="M779" s="476"/>
      <c r="N779" s="85"/>
      <c r="O779" s="85"/>
      <c r="P779" s="85"/>
      <c r="Q779" s="85"/>
      <c r="R779" s="477"/>
      <c r="S779" s="478"/>
      <c r="T779" s="85"/>
      <c r="U779" s="85"/>
      <c r="V779" s="85"/>
      <c r="W779" s="470"/>
      <c r="X779" s="85"/>
      <c r="Y779" s="85"/>
      <c r="Z779" s="479"/>
      <c r="AA779" s="480"/>
      <c r="AB779" s="479"/>
      <c r="AC779" s="479"/>
      <c r="AD779" s="479"/>
      <c r="AE779" s="479"/>
      <c r="AF779" s="476"/>
      <c r="AG779" s="481"/>
      <c r="AH779" s="85"/>
      <c r="AI779" s="85"/>
      <c r="AJ779" s="85"/>
      <c r="AK779" s="85"/>
      <c r="AL779" s="482"/>
      <c r="AM779" s="479"/>
      <c r="AN779" s="480"/>
      <c r="AO779" s="480"/>
      <c r="AP779" s="480"/>
      <c r="AQ779" s="479"/>
    </row>
    <row r="780" spans="1:43" x14ac:dyDescent="0.2">
      <c r="A780" s="470"/>
      <c r="B780" s="471"/>
      <c r="C780" s="85"/>
      <c r="D780" s="472"/>
      <c r="E780" s="473"/>
      <c r="F780" s="474"/>
      <c r="G780" s="85"/>
      <c r="H780" s="85"/>
      <c r="I780" s="475"/>
      <c r="J780" s="85"/>
      <c r="K780" s="85"/>
      <c r="L780" s="85"/>
      <c r="M780" s="476"/>
      <c r="N780" s="85"/>
      <c r="O780" s="85"/>
      <c r="P780" s="85"/>
      <c r="Q780" s="85"/>
      <c r="R780" s="477"/>
      <c r="S780" s="478"/>
      <c r="T780" s="85"/>
      <c r="U780" s="85"/>
      <c r="V780" s="85"/>
      <c r="W780" s="470"/>
      <c r="X780" s="85"/>
      <c r="Y780" s="85"/>
      <c r="Z780" s="479"/>
      <c r="AA780" s="480"/>
      <c r="AB780" s="479"/>
      <c r="AC780" s="479"/>
      <c r="AD780" s="479"/>
      <c r="AE780" s="479"/>
      <c r="AF780" s="476"/>
      <c r="AG780" s="481"/>
      <c r="AH780" s="85"/>
      <c r="AI780" s="85"/>
      <c r="AJ780" s="85"/>
      <c r="AK780" s="85"/>
      <c r="AL780" s="482"/>
      <c r="AM780" s="479"/>
      <c r="AN780" s="480"/>
      <c r="AO780" s="480"/>
      <c r="AP780" s="480"/>
      <c r="AQ780" s="479"/>
    </row>
    <row r="781" spans="1:43" x14ac:dyDescent="0.2">
      <c r="A781" s="470"/>
      <c r="B781" s="471"/>
      <c r="C781" s="85"/>
      <c r="D781" s="472"/>
      <c r="E781" s="473"/>
      <c r="F781" s="474"/>
      <c r="G781" s="85"/>
      <c r="H781" s="85"/>
      <c r="I781" s="475"/>
      <c r="J781" s="85"/>
      <c r="K781" s="85"/>
      <c r="L781" s="85"/>
      <c r="M781" s="476"/>
      <c r="N781" s="85"/>
      <c r="O781" s="85"/>
      <c r="P781" s="85"/>
      <c r="Q781" s="85"/>
      <c r="R781" s="477"/>
      <c r="S781" s="478"/>
      <c r="T781" s="85"/>
      <c r="U781" s="85"/>
      <c r="V781" s="85"/>
      <c r="W781" s="470"/>
      <c r="X781" s="85"/>
      <c r="Y781" s="85"/>
      <c r="Z781" s="479"/>
      <c r="AA781" s="480"/>
      <c r="AB781" s="479"/>
      <c r="AC781" s="479"/>
      <c r="AD781" s="479"/>
      <c r="AE781" s="479"/>
      <c r="AF781" s="476"/>
      <c r="AG781" s="481"/>
      <c r="AH781" s="85"/>
      <c r="AI781" s="85"/>
      <c r="AJ781" s="85"/>
      <c r="AK781" s="85"/>
      <c r="AL781" s="482"/>
      <c r="AM781" s="479"/>
      <c r="AN781" s="480"/>
      <c r="AO781" s="480"/>
      <c r="AP781" s="480"/>
      <c r="AQ781" s="479"/>
    </row>
    <row r="782" spans="1:43" x14ac:dyDescent="0.2">
      <c r="A782" s="470"/>
      <c r="B782" s="471"/>
      <c r="C782" s="85"/>
      <c r="D782" s="472"/>
      <c r="E782" s="473"/>
      <c r="F782" s="474"/>
      <c r="G782" s="85"/>
      <c r="H782" s="85"/>
      <c r="I782" s="475"/>
      <c r="J782" s="85"/>
      <c r="K782" s="85"/>
      <c r="L782" s="85"/>
      <c r="M782" s="476"/>
      <c r="N782" s="85"/>
      <c r="O782" s="85"/>
      <c r="P782" s="85"/>
      <c r="Q782" s="85"/>
      <c r="R782" s="477"/>
      <c r="S782" s="478"/>
      <c r="T782" s="85"/>
      <c r="U782" s="85"/>
      <c r="V782" s="85"/>
      <c r="W782" s="470"/>
      <c r="X782" s="85"/>
      <c r="Y782" s="85"/>
      <c r="Z782" s="479"/>
      <c r="AA782" s="480"/>
      <c r="AB782" s="479"/>
      <c r="AC782" s="479"/>
      <c r="AD782" s="479"/>
      <c r="AE782" s="479"/>
      <c r="AF782" s="476"/>
      <c r="AG782" s="481"/>
      <c r="AH782" s="85"/>
      <c r="AI782" s="85"/>
      <c r="AJ782" s="85"/>
      <c r="AK782" s="85"/>
      <c r="AL782" s="482"/>
      <c r="AM782" s="479"/>
      <c r="AN782" s="480"/>
      <c r="AO782" s="480"/>
      <c r="AP782" s="480"/>
      <c r="AQ782" s="479"/>
    </row>
    <row r="783" spans="1:43" x14ac:dyDescent="0.2">
      <c r="A783" s="470"/>
      <c r="B783" s="471"/>
      <c r="C783" s="85"/>
      <c r="D783" s="472"/>
      <c r="E783" s="473"/>
      <c r="F783" s="474"/>
      <c r="G783" s="85"/>
      <c r="H783" s="85"/>
      <c r="I783" s="475"/>
      <c r="J783" s="85"/>
      <c r="K783" s="85"/>
      <c r="L783" s="85"/>
      <c r="M783" s="476"/>
      <c r="N783" s="85"/>
      <c r="O783" s="85"/>
      <c r="P783" s="85"/>
      <c r="Q783" s="85"/>
      <c r="R783" s="477"/>
      <c r="S783" s="478"/>
      <c r="T783" s="85"/>
      <c r="U783" s="85"/>
      <c r="V783" s="85"/>
      <c r="W783" s="470"/>
      <c r="X783" s="85"/>
      <c r="Y783" s="85"/>
      <c r="Z783" s="479"/>
      <c r="AA783" s="480"/>
      <c r="AB783" s="479"/>
      <c r="AC783" s="479"/>
      <c r="AD783" s="479"/>
      <c r="AE783" s="479"/>
      <c r="AF783" s="476"/>
      <c r="AG783" s="481"/>
      <c r="AH783" s="85"/>
      <c r="AI783" s="85"/>
      <c r="AJ783" s="85"/>
      <c r="AK783" s="85"/>
      <c r="AL783" s="482"/>
      <c r="AM783" s="479"/>
      <c r="AN783" s="480"/>
      <c r="AO783" s="480"/>
      <c r="AP783" s="480"/>
      <c r="AQ783" s="479"/>
    </row>
    <row r="784" spans="1:43" x14ac:dyDescent="0.2">
      <c r="A784" s="470"/>
      <c r="B784" s="471"/>
      <c r="C784" s="85"/>
      <c r="D784" s="472"/>
      <c r="E784" s="473"/>
      <c r="F784" s="474"/>
      <c r="G784" s="85"/>
      <c r="H784" s="85"/>
      <c r="I784" s="475"/>
      <c r="J784" s="85"/>
      <c r="K784" s="85"/>
      <c r="L784" s="85"/>
      <c r="M784" s="476"/>
      <c r="N784" s="85"/>
      <c r="O784" s="85"/>
      <c r="P784" s="85"/>
      <c r="Q784" s="85"/>
      <c r="R784" s="477"/>
      <c r="S784" s="478"/>
      <c r="T784" s="85"/>
      <c r="U784" s="85"/>
      <c r="V784" s="85"/>
      <c r="W784" s="470"/>
      <c r="X784" s="85"/>
      <c r="Y784" s="85"/>
      <c r="Z784" s="479"/>
      <c r="AA784" s="480"/>
      <c r="AB784" s="479"/>
      <c r="AC784" s="479"/>
      <c r="AD784" s="479"/>
      <c r="AE784" s="479"/>
      <c r="AF784" s="476"/>
      <c r="AG784" s="481"/>
      <c r="AH784" s="85"/>
      <c r="AI784" s="85"/>
      <c r="AJ784" s="85"/>
      <c r="AK784" s="85"/>
      <c r="AL784" s="482"/>
      <c r="AM784" s="479"/>
      <c r="AN784" s="480"/>
      <c r="AO784" s="480"/>
      <c r="AP784" s="480"/>
      <c r="AQ784" s="479"/>
    </row>
    <row r="785" spans="1:43" x14ac:dyDescent="0.2">
      <c r="A785" s="470"/>
      <c r="B785" s="471"/>
      <c r="C785" s="85"/>
      <c r="D785" s="472"/>
      <c r="E785" s="473"/>
      <c r="F785" s="474"/>
      <c r="G785" s="85"/>
      <c r="H785" s="85"/>
      <c r="I785" s="475"/>
      <c r="J785" s="85"/>
      <c r="K785" s="85"/>
      <c r="L785" s="85"/>
      <c r="M785" s="476"/>
      <c r="N785" s="85"/>
      <c r="O785" s="85"/>
      <c r="P785" s="85"/>
      <c r="Q785" s="85"/>
      <c r="R785" s="477"/>
      <c r="S785" s="478"/>
      <c r="T785" s="85"/>
      <c r="U785" s="85"/>
      <c r="V785" s="85"/>
      <c r="W785" s="470"/>
      <c r="X785" s="85"/>
      <c r="Y785" s="85"/>
      <c r="Z785" s="479"/>
      <c r="AA785" s="480"/>
      <c r="AB785" s="479"/>
      <c r="AC785" s="479"/>
      <c r="AD785" s="479"/>
      <c r="AE785" s="479"/>
      <c r="AF785" s="476"/>
      <c r="AG785" s="481"/>
      <c r="AH785" s="85"/>
      <c r="AI785" s="85"/>
      <c r="AJ785" s="85"/>
      <c r="AK785" s="85"/>
      <c r="AL785" s="482"/>
      <c r="AM785" s="479"/>
      <c r="AN785" s="480"/>
      <c r="AO785" s="480"/>
      <c r="AP785" s="480"/>
      <c r="AQ785" s="479"/>
    </row>
    <row r="786" spans="1:43" x14ac:dyDescent="0.2">
      <c r="A786" s="470"/>
      <c r="B786" s="471"/>
      <c r="C786" s="85"/>
      <c r="D786" s="472"/>
      <c r="E786" s="473"/>
      <c r="F786" s="474"/>
      <c r="G786" s="85"/>
      <c r="H786" s="85"/>
      <c r="I786" s="475"/>
      <c r="J786" s="85"/>
      <c r="K786" s="85"/>
      <c r="L786" s="85"/>
      <c r="M786" s="476"/>
      <c r="N786" s="85"/>
      <c r="O786" s="85"/>
      <c r="P786" s="85"/>
      <c r="Q786" s="85"/>
      <c r="R786" s="477"/>
      <c r="S786" s="478"/>
      <c r="T786" s="85"/>
      <c r="U786" s="85"/>
      <c r="V786" s="85"/>
      <c r="W786" s="470"/>
      <c r="X786" s="85"/>
      <c r="Y786" s="85"/>
      <c r="Z786" s="479"/>
      <c r="AA786" s="480"/>
      <c r="AB786" s="479"/>
      <c r="AC786" s="479"/>
      <c r="AD786" s="479"/>
      <c r="AE786" s="479"/>
      <c r="AF786" s="476"/>
      <c r="AG786" s="481"/>
      <c r="AH786" s="85"/>
      <c r="AI786" s="85"/>
      <c r="AJ786" s="85"/>
      <c r="AK786" s="85"/>
      <c r="AL786" s="482"/>
      <c r="AM786" s="479"/>
      <c r="AN786" s="480"/>
      <c r="AO786" s="480"/>
      <c r="AP786" s="480"/>
      <c r="AQ786" s="479"/>
    </row>
    <row r="787" spans="1:43" x14ac:dyDescent="0.2">
      <c r="A787" s="470"/>
      <c r="B787" s="471"/>
      <c r="C787" s="85"/>
      <c r="D787" s="472"/>
      <c r="E787" s="473"/>
      <c r="F787" s="474"/>
      <c r="G787" s="85"/>
      <c r="H787" s="85"/>
      <c r="I787" s="475"/>
      <c r="J787" s="85"/>
      <c r="K787" s="85"/>
      <c r="L787" s="85"/>
      <c r="M787" s="476"/>
      <c r="N787" s="85"/>
      <c r="O787" s="85"/>
      <c r="P787" s="85"/>
      <c r="Q787" s="85"/>
      <c r="R787" s="477"/>
      <c r="S787" s="478"/>
      <c r="T787" s="85"/>
      <c r="U787" s="85"/>
      <c r="V787" s="85"/>
      <c r="W787" s="470"/>
      <c r="X787" s="85"/>
      <c r="Y787" s="85"/>
      <c r="Z787" s="479"/>
      <c r="AA787" s="480"/>
      <c r="AB787" s="479"/>
      <c r="AC787" s="479"/>
      <c r="AD787" s="479"/>
      <c r="AE787" s="479"/>
      <c r="AF787" s="476"/>
      <c r="AG787" s="481"/>
      <c r="AH787" s="85"/>
      <c r="AI787" s="85"/>
      <c r="AJ787" s="85"/>
      <c r="AK787" s="85"/>
      <c r="AL787" s="482"/>
      <c r="AM787" s="479"/>
      <c r="AN787" s="480"/>
      <c r="AO787" s="480"/>
      <c r="AP787" s="480"/>
      <c r="AQ787" s="479"/>
    </row>
    <row r="788" spans="1:43" x14ac:dyDescent="0.2">
      <c r="A788" s="470"/>
      <c r="B788" s="471"/>
      <c r="C788" s="85"/>
      <c r="D788" s="472"/>
      <c r="E788" s="473"/>
      <c r="F788" s="474"/>
      <c r="G788" s="85"/>
      <c r="H788" s="85"/>
      <c r="I788" s="475"/>
      <c r="J788" s="85"/>
      <c r="K788" s="85"/>
      <c r="L788" s="85"/>
      <c r="M788" s="476"/>
      <c r="N788" s="85"/>
      <c r="O788" s="85"/>
      <c r="P788" s="85"/>
      <c r="Q788" s="85"/>
      <c r="R788" s="477"/>
      <c r="S788" s="478"/>
      <c r="T788" s="85"/>
      <c r="U788" s="85"/>
      <c r="V788" s="85"/>
      <c r="W788" s="470"/>
      <c r="X788" s="85"/>
      <c r="Y788" s="85"/>
      <c r="Z788" s="479"/>
      <c r="AA788" s="480"/>
      <c r="AB788" s="479"/>
      <c r="AC788" s="479"/>
      <c r="AD788" s="479"/>
      <c r="AE788" s="479"/>
      <c r="AF788" s="476"/>
      <c r="AG788" s="481"/>
      <c r="AH788" s="85"/>
      <c r="AI788" s="85"/>
      <c r="AJ788" s="85"/>
      <c r="AK788" s="85"/>
      <c r="AL788" s="482"/>
      <c r="AM788" s="479"/>
      <c r="AN788" s="480"/>
      <c r="AO788" s="480"/>
      <c r="AP788" s="480"/>
      <c r="AQ788" s="479"/>
    </row>
    <row r="789" spans="1:43" x14ac:dyDescent="0.2">
      <c r="A789" s="470"/>
      <c r="B789" s="471"/>
      <c r="C789" s="85"/>
      <c r="D789" s="472"/>
      <c r="E789" s="473"/>
      <c r="F789" s="474"/>
      <c r="G789" s="85"/>
      <c r="H789" s="85"/>
      <c r="I789" s="475"/>
      <c r="J789" s="85"/>
      <c r="K789" s="85"/>
      <c r="L789" s="85"/>
      <c r="M789" s="476"/>
      <c r="N789" s="85"/>
      <c r="O789" s="85"/>
      <c r="P789" s="85"/>
      <c r="Q789" s="85"/>
      <c r="R789" s="477"/>
      <c r="S789" s="478"/>
      <c r="T789" s="85"/>
      <c r="U789" s="85"/>
      <c r="V789" s="85"/>
      <c r="W789" s="470"/>
      <c r="X789" s="85"/>
      <c r="Y789" s="85"/>
      <c r="Z789" s="479"/>
      <c r="AA789" s="480"/>
      <c r="AB789" s="479"/>
      <c r="AC789" s="479"/>
      <c r="AD789" s="479"/>
      <c r="AE789" s="479"/>
      <c r="AF789" s="476"/>
      <c r="AG789" s="481"/>
      <c r="AH789" s="85"/>
      <c r="AI789" s="85"/>
      <c r="AJ789" s="85"/>
      <c r="AK789" s="85"/>
      <c r="AL789" s="482"/>
      <c r="AM789" s="479"/>
      <c r="AN789" s="480"/>
      <c r="AO789" s="480"/>
      <c r="AP789" s="480"/>
      <c r="AQ789" s="479"/>
    </row>
    <row r="790" spans="1:43" x14ac:dyDescent="0.2">
      <c r="A790" s="470"/>
      <c r="B790" s="471"/>
      <c r="C790" s="85"/>
      <c r="D790" s="472"/>
      <c r="E790" s="473"/>
      <c r="F790" s="474"/>
      <c r="G790" s="85"/>
      <c r="H790" s="85"/>
      <c r="I790" s="475"/>
      <c r="J790" s="85"/>
      <c r="K790" s="85"/>
      <c r="L790" s="85"/>
      <c r="M790" s="476"/>
      <c r="N790" s="85"/>
      <c r="O790" s="85"/>
      <c r="P790" s="85"/>
      <c r="Q790" s="85"/>
      <c r="R790" s="477"/>
      <c r="S790" s="478"/>
      <c r="T790" s="85"/>
      <c r="U790" s="85"/>
      <c r="V790" s="85"/>
      <c r="W790" s="470"/>
      <c r="X790" s="85"/>
      <c r="Y790" s="85"/>
      <c r="Z790" s="479"/>
      <c r="AA790" s="480"/>
      <c r="AB790" s="479"/>
      <c r="AC790" s="479"/>
      <c r="AD790" s="479"/>
      <c r="AE790" s="479"/>
      <c r="AF790" s="476"/>
      <c r="AG790" s="481"/>
      <c r="AH790" s="85"/>
      <c r="AI790" s="85"/>
      <c r="AJ790" s="85"/>
      <c r="AK790" s="85"/>
      <c r="AL790" s="482"/>
      <c r="AM790" s="479"/>
      <c r="AN790" s="480"/>
      <c r="AO790" s="480"/>
      <c r="AP790" s="480"/>
      <c r="AQ790" s="479"/>
    </row>
    <row r="791" spans="1:43" x14ac:dyDescent="0.2">
      <c r="A791" s="470"/>
      <c r="B791" s="471"/>
      <c r="C791" s="85"/>
      <c r="D791" s="472"/>
      <c r="E791" s="473"/>
      <c r="F791" s="474"/>
      <c r="G791" s="85"/>
      <c r="H791" s="85"/>
      <c r="I791" s="475"/>
      <c r="J791" s="85"/>
      <c r="K791" s="85"/>
      <c r="L791" s="85"/>
      <c r="M791" s="476"/>
      <c r="N791" s="85"/>
      <c r="O791" s="85"/>
      <c r="P791" s="85"/>
      <c r="Q791" s="85"/>
      <c r="R791" s="477"/>
      <c r="S791" s="478"/>
      <c r="T791" s="85"/>
      <c r="U791" s="85"/>
      <c r="V791" s="85"/>
      <c r="W791" s="470"/>
      <c r="X791" s="85"/>
      <c r="Y791" s="85"/>
      <c r="Z791" s="479"/>
      <c r="AA791" s="480"/>
      <c r="AB791" s="479"/>
      <c r="AC791" s="479"/>
      <c r="AD791" s="479"/>
      <c r="AE791" s="479"/>
      <c r="AF791" s="476"/>
      <c r="AG791" s="481"/>
      <c r="AH791" s="85"/>
      <c r="AI791" s="85"/>
      <c r="AJ791" s="85"/>
      <c r="AK791" s="85"/>
      <c r="AL791" s="482"/>
      <c r="AM791" s="479"/>
      <c r="AN791" s="480"/>
      <c r="AO791" s="480"/>
      <c r="AP791" s="480"/>
      <c r="AQ791" s="479"/>
    </row>
    <row r="792" spans="1:43" x14ac:dyDescent="0.2">
      <c r="A792" s="470"/>
      <c r="B792" s="471"/>
      <c r="C792" s="85"/>
      <c r="D792" s="472"/>
      <c r="E792" s="473"/>
      <c r="F792" s="474"/>
      <c r="G792" s="85"/>
      <c r="H792" s="85"/>
      <c r="I792" s="475"/>
      <c r="J792" s="85"/>
      <c r="K792" s="85"/>
      <c r="L792" s="85"/>
      <c r="M792" s="476"/>
      <c r="N792" s="85"/>
      <c r="O792" s="85"/>
      <c r="P792" s="85"/>
      <c r="Q792" s="85"/>
      <c r="R792" s="477"/>
      <c r="S792" s="478"/>
      <c r="T792" s="85"/>
      <c r="U792" s="85"/>
      <c r="V792" s="85"/>
      <c r="W792" s="470"/>
      <c r="X792" s="85"/>
      <c r="Y792" s="85"/>
      <c r="Z792" s="479"/>
      <c r="AA792" s="480"/>
      <c r="AB792" s="479"/>
      <c r="AC792" s="479"/>
      <c r="AD792" s="479"/>
      <c r="AE792" s="479"/>
      <c r="AF792" s="476"/>
      <c r="AG792" s="481"/>
      <c r="AH792" s="85"/>
      <c r="AI792" s="85"/>
      <c r="AJ792" s="85"/>
      <c r="AK792" s="85"/>
      <c r="AL792" s="482"/>
      <c r="AM792" s="479"/>
      <c r="AN792" s="480"/>
      <c r="AO792" s="480"/>
      <c r="AP792" s="480"/>
      <c r="AQ792" s="479"/>
    </row>
    <row r="793" spans="1:43" x14ac:dyDescent="0.2">
      <c r="A793" s="470"/>
      <c r="B793" s="471"/>
      <c r="C793" s="85"/>
      <c r="D793" s="472"/>
      <c r="E793" s="473"/>
      <c r="F793" s="474"/>
      <c r="G793" s="85"/>
      <c r="H793" s="85"/>
      <c r="I793" s="475"/>
      <c r="J793" s="85"/>
      <c r="K793" s="85"/>
      <c r="L793" s="85"/>
      <c r="M793" s="476"/>
      <c r="N793" s="85"/>
      <c r="O793" s="85"/>
      <c r="P793" s="85"/>
      <c r="Q793" s="85"/>
      <c r="R793" s="477"/>
      <c r="S793" s="478"/>
      <c r="T793" s="85"/>
      <c r="U793" s="85"/>
      <c r="V793" s="85"/>
      <c r="W793" s="470"/>
      <c r="X793" s="85"/>
      <c r="Y793" s="85"/>
      <c r="Z793" s="479"/>
      <c r="AA793" s="480"/>
      <c r="AB793" s="479"/>
      <c r="AC793" s="479"/>
      <c r="AD793" s="479"/>
      <c r="AE793" s="479"/>
      <c r="AF793" s="476"/>
      <c r="AG793" s="481"/>
      <c r="AH793" s="85"/>
      <c r="AI793" s="85"/>
      <c r="AJ793" s="85"/>
      <c r="AK793" s="85"/>
      <c r="AL793" s="482"/>
      <c r="AM793" s="479"/>
      <c r="AN793" s="480"/>
      <c r="AO793" s="480"/>
      <c r="AP793" s="480"/>
      <c r="AQ793" s="479"/>
    </row>
    <row r="794" spans="1:43" x14ac:dyDescent="0.2">
      <c r="A794" s="470"/>
      <c r="B794" s="471"/>
      <c r="C794" s="85"/>
      <c r="D794" s="472"/>
      <c r="E794" s="473"/>
      <c r="F794" s="474"/>
      <c r="G794" s="85"/>
      <c r="H794" s="85"/>
      <c r="I794" s="475"/>
      <c r="J794" s="85"/>
      <c r="K794" s="85"/>
      <c r="L794" s="85"/>
      <c r="M794" s="476"/>
      <c r="N794" s="85"/>
      <c r="O794" s="85"/>
      <c r="P794" s="85"/>
      <c r="Q794" s="85"/>
      <c r="R794" s="477"/>
      <c r="S794" s="478"/>
      <c r="T794" s="85"/>
      <c r="U794" s="85"/>
      <c r="V794" s="85"/>
      <c r="W794" s="470"/>
      <c r="X794" s="85"/>
      <c r="Y794" s="85"/>
      <c r="Z794" s="479"/>
      <c r="AA794" s="480"/>
      <c r="AB794" s="479"/>
      <c r="AC794" s="479"/>
      <c r="AD794" s="479"/>
      <c r="AE794" s="479"/>
      <c r="AF794" s="476"/>
      <c r="AG794" s="481"/>
      <c r="AH794" s="85"/>
      <c r="AI794" s="85"/>
      <c r="AJ794" s="85"/>
      <c r="AK794" s="85"/>
      <c r="AL794" s="482"/>
      <c r="AM794" s="479"/>
      <c r="AN794" s="480"/>
      <c r="AO794" s="480"/>
      <c r="AP794" s="480"/>
      <c r="AQ794" s="479"/>
    </row>
    <row r="795" spans="1:43" x14ac:dyDescent="0.2">
      <c r="A795" s="470"/>
      <c r="B795" s="471"/>
      <c r="C795" s="85"/>
      <c r="D795" s="472"/>
      <c r="E795" s="473"/>
      <c r="F795" s="474"/>
      <c r="G795" s="85"/>
      <c r="H795" s="85"/>
      <c r="I795" s="475"/>
      <c r="J795" s="85"/>
      <c r="K795" s="85"/>
      <c r="L795" s="85"/>
      <c r="M795" s="476"/>
      <c r="N795" s="85"/>
      <c r="O795" s="85"/>
      <c r="P795" s="85"/>
      <c r="Q795" s="85"/>
      <c r="R795" s="477"/>
      <c r="S795" s="478"/>
      <c r="T795" s="85"/>
      <c r="U795" s="85"/>
      <c r="V795" s="85"/>
      <c r="W795" s="470"/>
      <c r="X795" s="85"/>
      <c r="Y795" s="85"/>
      <c r="Z795" s="479"/>
      <c r="AA795" s="480"/>
      <c r="AB795" s="479"/>
      <c r="AC795" s="479"/>
      <c r="AD795" s="479"/>
      <c r="AE795" s="479"/>
      <c r="AF795" s="476"/>
      <c r="AG795" s="481"/>
      <c r="AH795" s="85"/>
      <c r="AI795" s="85"/>
      <c r="AJ795" s="85"/>
      <c r="AK795" s="85"/>
      <c r="AL795" s="482"/>
      <c r="AM795" s="479"/>
      <c r="AN795" s="480"/>
      <c r="AO795" s="480"/>
      <c r="AP795" s="480"/>
      <c r="AQ795" s="479"/>
    </row>
    <row r="796" spans="1:43" x14ac:dyDescent="0.2">
      <c r="A796" s="470"/>
      <c r="B796" s="471"/>
      <c r="C796" s="85"/>
      <c r="D796" s="472"/>
      <c r="E796" s="473"/>
      <c r="F796" s="474"/>
      <c r="G796" s="85"/>
      <c r="H796" s="85"/>
      <c r="I796" s="475"/>
      <c r="J796" s="85"/>
      <c r="K796" s="85"/>
      <c r="L796" s="85"/>
      <c r="M796" s="476"/>
      <c r="N796" s="85"/>
      <c r="O796" s="85"/>
      <c r="P796" s="85"/>
      <c r="Q796" s="85"/>
      <c r="R796" s="477"/>
      <c r="S796" s="478"/>
      <c r="T796" s="85"/>
      <c r="U796" s="85"/>
      <c r="V796" s="85"/>
      <c r="W796" s="470"/>
      <c r="X796" s="85"/>
      <c r="Y796" s="85"/>
      <c r="Z796" s="479"/>
      <c r="AA796" s="480"/>
      <c r="AB796" s="479"/>
      <c r="AC796" s="479"/>
      <c r="AD796" s="479"/>
      <c r="AE796" s="479"/>
      <c r="AF796" s="476"/>
      <c r="AG796" s="481"/>
      <c r="AH796" s="85"/>
      <c r="AI796" s="85"/>
      <c r="AJ796" s="85"/>
      <c r="AK796" s="85"/>
      <c r="AL796" s="482"/>
      <c r="AM796" s="479"/>
      <c r="AN796" s="480"/>
      <c r="AO796" s="480"/>
      <c r="AP796" s="480"/>
      <c r="AQ796" s="479"/>
    </row>
    <row r="797" spans="1:43" x14ac:dyDescent="0.2">
      <c r="A797" s="470"/>
      <c r="B797" s="471"/>
      <c r="C797" s="85"/>
      <c r="D797" s="472"/>
      <c r="E797" s="473"/>
      <c r="F797" s="474"/>
      <c r="G797" s="85"/>
      <c r="H797" s="85"/>
      <c r="I797" s="475"/>
      <c r="J797" s="85"/>
      <c r="K797" s="85"/>
      <c r="L797" s="85"/>
      <c r="M797" s="476"/>
      <c r="N797" s="85"/>
      <c r="O797" s="85"/>
      <c r="P797" s="85"/>
      <c r="Q797" s="85"/>
      <c r="R797" s="477"/>
      <c r="S797" s="478"/>
      <c r="T797" s="85"/>
      <c r="U797" s="85"/>
      <c r="V797" s="85"/>
      <c r="W797" s="470"/>
      <c r="X797" s="85"/>
      <c r="Y797" s="85"/>
      <c r="Z797" s="479"/>
      <c r="AA797" s="480"/>
      <c r="AB797" s="479"/>
      <c r="AC797" s="479"/>
      <c r="AD797" s="479"/>
      <c r="AE797" s="479"/>
      <c r="AF797" s="476"/>
      <c r="AG797" s="481"/>
      <c r="AH797" s="85"/>
      <c r="AI797" s="85"/>
      <c r="AJ797" s="85"/>
      <c r="AK797" s="85"/>
      <c r="AL797" s="482"/>
      <c r="AM797" s="479"/>
      <c r="AN797" s="480"/>
      <c r="AO797" s="480"/>
      <c r="AP797" s="480"/>
      <c r="AQ797" s="479"/>
    </row>
    <row r="798" spans="1:43" x14ac:dyDescent="0.2">
      <c r="A798" s="470"/>
      <c r="B798" s="471"/>
      <c r="C798" s="85"/>
      <c r="D798" s="472"/>
      <c r="E798" s="473"/>
      <c r="F798" s="474"/>
      <c r="G798" s="85"/>
      <c r="H798" s="85"/>
      <c r="I798" s="475"/>
      <c r="J798" s="85"/>
      <c r="K798" s="85"/>
      <c r="L798" s="85"/>
      <c r="M798" s="476"/>
      <c r="N798" s="85"/>
      <c r="O798" s="85"/>
      <c r="P798" s="85"/>
      <c r="Q798" s="85"/>
      <c r="R798" s="477"/>
      <c r="S798" s="478"/>
      <c r="T798" s="85"/>
      <c r="U798" s="85"/>
      <c r="V798" s="85"/>
      <c r="W798" s="470"/>
      <c r="X798" s="85"/>
      <c r="Y798" s="85"/>
      <c r="Z798" s="479"/>
      <c r="AA798" s="480"/>
      <c r="AB798" s="479"/>
      <c r="AC798" s="479"/>
      <c r="AD798" s="479"/>
      <c r="AE798" s="479"/>
      <c r="AF798" s="476"/>
      <c r="AG798" s="481"/>
      <c r="AH798" s="85"/>
      <c r="AI798" s="85"/>
      <c r="AJ798" s="85"/>
      <c r="AK798" s="85"/>
      <c r="AL798" s="482"/>
      <c r="AM798" s="479"/>
      <c r="AN798" s="480"/>
      <c r="AO798" s="480"/>
      <c r="AP798" s="480"/>
      <c r="AQ798" s="479"/>
    </row>
    <row r="799" spans="1:43" x14ac:dyDescent="0.2">
      <c r="A799" s="470"/>
      <c r="B799" s="471"/>
      <c r="C799" s="85"/>
      <c r="D799" s="472"/>
      <c r="E799" s="473"/>
      <c r="F799" s="474"/>
      <c r="G799" s="85"/>
      <c r="H799" s="85"/>
      <c r="I799" s="475"/>
      <c r="J799" s="85"/>
      <c r="K799" s="85"/>
      <c r="L799" s="85"/>
      <c r="M799" s="476"/>
      <c r="N799" s="85"/>
      <c r="O799" s="85"/>
      <c r="P799" s="85"/>
      <c r="Q799" s="85"/>
      <c r="R799" s="477"/>
      <c r="S799" s="478"/>
      <c r="T799" s="85"/>
      <c r="U799" s="85"/>
      <c r="V799" s="85"/>
      <c r="W799" s="470"/>
      <c r="X799" s="85"/>
      <c r="Y799" s="85"/>
      <c r="Z799" s="479"/>
      <c r="AA799" s="480"/>
      <c r="AB799" s="479"/>
      <c r="AC799" s="479"/>
      <c r="AD799" s="479"/>
      <c r="AE799" s="479"/>
      <c r="AF799" s="476"/>
      <c r="AG799" s="481"/>
      <c r="AH799" s="85"/>
      <c r="AI799" s="85"/>
      <c r="AJ799" s="85"/>
      <c r="AK799" s="85"/>
      <c r="AL799" s="482"/>
      <c r="AM799" s="479"/>
      <c r="AN799" s="480"/>
      <c r="AO799" s="480"/>
      <c r="AP799" s="480"/>
      <c r="AQ799" s="479"/>
    </row>
    <row r="800" spans="1:43" x14ac:dyDescent="0.2">
      <c r="A800" s="470"/>
      <c r="B800" s="471"/>
      <c r="C800" s="85"/>
      <c r="D800" s="472"/>
      <c r="E800" s="473"/>
      <c r="F800" s="474"/>
      <c r="G800" s="85"/>
      <c r="H800" s="85"/>
      <c r="I800" s="475"/>
      <c r="J800" s="85"/>
      <c r="K800" s="85"/>
      <c r="L800" s="85"/>
      <c r="M800" s="476"/>
      <c r="N800" s="85"/>
      <c r="O800" s="85"/>
      <c r="P800" s="85"/>
      <c r="Q800" s="85"/>
      <c r="R800" s="477"/>
      <c r="S800" s="478"/>
      <c r="T800" s="85"/>
      <c r="U800" s="85"/>
      <c r="V800" s="85"/>
      <c r="W800" s="470"/>
      <c r="X800" s="85"/>
      <c r="Y800" s="85"/>
      <c r="Z800" s="479"/>
      <c r="AA800" s="480"/>
      <c r="AB800" s="479"/>
      <c r="AC800" s="479"/>
      <c r="AD800" s="479"/>
      <c r="AE800" s="479"/>
      <c r="AF800" s="476"/>
      <c r="AG800" s="481"/>
      <c r="AH800" s="85"/>
      <c r="AI800" s="85"/>
      <c r="AJ800" s="85"/>
      <c r="AK800" s="85"/>
      <c r="AL800" s="482"/>
      <c r="AM800" s="479"/>
      <c r="AN800" s="480"/>
      <c r="AO800" s="480"/>
      <c r="AP800" s="480"/>
      <c r="AQ800" s="479"/>
    </row>
    <row r="801" spans="1:43" x14ac:dyDescent="0.2">
      <c r="A801" s="470"/>
      <c r="B801" s="471"/>
      <c r="C801" s="85"/>
      <c r="D801" s="472"/>
      <c r="E801" s="473"/>
      <c r="F801" s="474"/>
      <c r="G801" s="85"/>
      <c r="H801" s="85"/>
      <c r="I801" s="475"/>
      <c r="J801" s="85"/>
      <c r="K801" s="85"/>
      <c r="L801" s="85"/>
      <c r="M801" s="476"/>
      <c r="N801" s="85"/>
      <c r="O801" s="85"/>
      <c r="P801" s="85"/>
      <c r="Q801" s="85"/>
      <c r="R801" s="477"/>
      <c r="S801" s="478"/>
      <c r="T801" s="85"/>
      <c r="U801" s="85"/>
      <c r="V801" s="85"/>
      <c r="W801" s="470"/>
      <c r="X801" s="85"/>
      <c r="Y801" s="85"/>
      <c r="Z801" s="479"/>
      <c r="AA801" s="480"/>
      <c r="AB801" s="479"/>
      <c r="AC801" s="479"/>
      <c r="AD801" s="479"/>
      <c r="AE801" s="479"/>
      <c r="AF801" s="476"/>
      <c r="AG801" s="481"/>
      <c r="AH801" s="85"/>
      <c r="AI801" s="85"/>
      <c r="AJ801" s="85"/>
      <c r="AK801" s="85"/>
      <c r="AL801" s="482"/>
      <c r="AM801" s="479"/>
      <c r="AN801" s="480"/>
      <c r="AO801" s="480"/>
      <c r="AP801" s="480"/>
      <c r="AQ801" s="479"/>
    </row>
    <row r="802" spans="1:43" x14ac:dyDescent="0.2">
      <c r="A802" s="470"/>
      <c r="B802" s="471"/>
      <c r="C802" s="85"/>
      <c r="D802" s="472"/>
      <c r="E802" s="473"/>
      <c r="F802" s="474"/>
      <c r="G802" s="85"/>
      <c r="H802" s="85"/>
      <c r="I802" s="475"/>
      <c r="J802" s="85"/>
      <c r="K802" s="85"/>
      <c r="L802" s="85"/>
      <c r="M802" s="476"/>
      <c r="N802" s="85"/>
      <c r="O802" s="85"/>
      <c r="P802" s="85"/>
      <c r="Q802" s="85"/>
      <c r="R802" s="477"/>
      <c r="S802" s="478"/>
      <c r="T802" s="85"/>
      <c r="U802" s="85"/>
      <c r="V802" s="85"/>
      <c r="W802" s="470"/>
      <c r="X802" s="85"/>
      <c r="Y802" s="85"/>
      <c r="Z802" s="479"/>
      <c r="AA802" s="480"/>
      <c r="AB802" s="479"/>
      <c r="AC802" s="479"/>
      <c r="AD802" s="479"/>
      <c r="AE802" s="479"/>
      <c r="AF802" s="476"/>
      <c r="AG802" s="481"/>
      <c r="AH802" s="85"/>
      <c r="AI802" s="85"/>
      <c r="AJ802" s="85"/>
      <c r="AK802" s="85"/>
      <c r="AL802" s="482"/>
      <c r="AM802" s="479"/>
      <c r="AN802" s="480"/>
      <c r="AO802" s="480"/>
      <c r="AP802" s="480"/>
      <c r="AQ802" s="479"/>
    </row>
    <row r="803" spans="1:43" x14ac:dyDescent="0.2">
      <c r="A803" s="470"/>
      <c r="B803" s="471"/>
      <c r="C803" s="85"/>
      <c r="D803" s="472"/>
      <c r="E803" s="473"/>
      <c r="F803" s="474"/>
      <c r="G803" s="85"/>
      <c r="H803" s="85"/>
      <c r="I803" s="475"/>
      <c r="J803" s="85"/>
      <c r="K803" s="85"/>
      <c r="L803" s="85"/>
      <c r="M803" s="476"/>
      <c r="N803" s="85"/>
      <c r="O803" s="85"/>
      <c r="P803" s="85"/>
      <c r="Q803" s="85"/>
      <c r="R803" s="477"/>
      <c r="S803" s="478"/>
      <c r="T803" s="85"/>
      <c r="U803" s="85"/>
      <c r="V803" s="85"/>
      <c r="W803" s="470"/>
      <c r="X803" s="85"/>
      <c r="Y803" s="85"/>
      <c r="Z803" s="479"/>
      <c r="AA803" s="480"/>
      <c r="AB803" s="479"/>
      <c r="AC803" s="479"/>
      <c r="AD803" s="479"/>
      <c r="AE803" s="479"/>
      <c r="AF803" s="476"/>
      <c r="AG803" s="481"/>
      <c r="AH803" s="85"/>
      <c r="AI803" s="85"/>
      <c r="AJ803" s="85"/>
      <c r="AK803" s="85"/>
      <c r="AL803" s="482"/>
      <c r="AM803" s="479"/>
      <c r="AN803" s="480"/>
      <c r="AO803" s="480"/>
      <c r="AP803" s="480"/>
      <c r="AQ803" s="479"/>
    </row>
    <row r="804" spans="1:43" x14ac:dyDescent="0.2">
      <c r="A804" s="470"/>
      <c r="B804" s="471"/>
      <c r="C804" s="85"/>
      <c r="D804" s="472"/>
      <c r="E804" s="473"/>
      <c r="F804" s="474"/>
      <c r="G804" s="85"/>
      <c r="H804" s="85"/>
      <c r="I804" s="475"/>
      <c r="J804" s="85"/>
      <c r="K804" s="85"/>
      <c r="L804" s="85"/>
      <c r="M804" s="476"/>
      <c r="N804" s="85"/>
      <c r="O804" s="85"/>
      <c r="P804" s="85"/>
      <c r="Q804" s="85"/>
      <c r="R804" s="477"/>
      <c r="S804" s="478"/>
      <c r="T804" s="85"/>
      <c r="U804" s="85"/>
      <c r="V804" s="85"/>
      <c r="W804" s="470"/>
      <c r="X804" s="85"/>
      <c r="Y804" s="85"/>
      <c r="Z804" s="479"/>
      <c r="AA804" s="480"/>
      <c r="AB804" s="479"/>
      <c r="AC804" s="479"/>
      <c r="AD804" s="479"/>
      <c r="AE804" s="479"/>
      <c r="AF804" s="476"/>
      <c r="AG804" s="481"/>
      <c r="AH804" s="85"/>
      <c r="AI804" s="85"/>
      <c r="AJ804" s="85"/>
      <c r="AK804" s="85"/>
      <c r="AL804" s="482"/>
      <c r="AM804" s="479"/>
      <c r="AN804" s="480"/>
      <c r="AO804" s="480"/>
      <c r="AP804" s="480"/>
      <c r="AQ804" s="479"/>
    </row>
    <row r="805" spans="1:43" x14ac:dyDescent="0.2">
      <c r="A805" s="470"/>
      <c r="B805" s="471"/>
      <c r="C805" s="85"/>
      <c r="D805" s="472"/>
      <c r="E805" s="473"/>
      <c r="F805" s="474"/>
      <c r="G805" s="85"/>
      <c r="H805" s="85"/>
      <c r="I805" s="475"/>
      <c r="J805" s="85"/>
      <c r="K805" s="85"/>
      <c r="L805" s="85"/>
      <c r="M805" s="476"/>
      <c r="N805" s="85"/>
      <c r="O805" s="85"/>
      <c r="P805" s="85"/>
      <c r="Q805" s="85"/>
      <c r="R805" s="477"/>
      <c r="S805" s="478"/>
      <c r="T805" s="85"/>
      <c r="U805" s="85"/>
      <c r="V805" s="85"/>
      <c r="W805" s="470"/>
      <c r="X805" s="85"/>
      <c r="Y805" s="85"/>
      <c r="Z805" s="479"/>
      <c r="AA805" s="480"/>
      <c r="AB805" s="479"/>
      <c r="AC805" s="479"/>
      <c r="AD805" s="479"/>
      <c r="AE805" s="479"/>
      <c r="AF805" s="476"/>
      <c r="AG805" s="481"/>
      <c r="AH805" s="85"/>
      <c r="AI805" s="85"/>
      <c r="AJ805" s="85"/>
      <c r="AK805" s="85"/>
      <c r="AL805" s="482"/>
      <c r="AM805" s="479"/>
      <c r="AN805" s="480"/>
      <c r="AO805" s="480"/>
      <c r="AP805" s="480"/>
      <c r="AQ805" s="479"/>
    </row>
    <row r="806" spans="1:43" x14ac:dyDescent="0.2">
      <c r="A806" s="470"/>
      <c r="B806" s="471"/>
      <c r="C806" s="85"/>
      <c r="D806" s="472"/>
      <c r="E806" s="473"/>
      <c r="F806" s="474"/>
      <c r="G806" s="85"/>
      <c r="H806" s="85"/>
      <c r="I806" s="475"/>
      <c r="J806" s="85"/>
      <c r="K806" s="85"/>
      <c r="L806" s="85"/>
      <c r="M806" s="476"/>
      <c r="N806" s="85"/>
      <c r="O806" s="85"/>
      <c r="P806" s="85"/>
      <c r="Q806" s="85"/>
      <c r="R806" s="477"/>
      <c r="S806" s="478"/>
      <c r="T806" s="85"/>
      <c r="U806" s="85"/>
      <c r="V806" s="85"/>
      <c r="W806" s="470"/>
      <c r="X806" s="85"/>
      <c r="Y806" s="85"/>
      <c r="Z806" s="479"/>
      <c r="AA806" s="480"/>
      <c r="AB806" s="479"/>
      <c r="AC806" s="479"/>
      <c r="AD806" s="479"/>
      <c r="AE806" s="479"/>
      <c r="AF806" s="476"/>
      <c r="AG806" s="481"/>
      <c r="AH806" s="85"/>
      <c r="AI806" s="85"/>
      <c r="AJ806" s="85"/>
      <c r="AK806" s="85"/>
      <c r="AL806" s="482"/>
      <c r="AM806" s="479"/>
      <c r="AN806" s="480"/>
      <c r="AO806" s="480"/>
      <c r="AP806" s="480"/>
      <c r="AQ806" s="479"/>
    </row>
    <row r="807" spans="1:43" x14ac:dyDescent="0.2">
      <c r="A807" s="470"/>
      <c r="B807" s="471"/>
      <c r="C807" s="85"/>
      <c r="D807" s="472"/>
      <c r="E807" s="473"/>
      <c r="F807" s="474"/>
      <c r="G807" s="85"/>
      <c r="H807" s="85"/>
      <c r="I807" s="475"/>
      <c r="J807" s="85"/>
      <c r="K807" s="85"/>
      <c r="L807" s="85"/>
      <c r="M807" s="476"/>
      <c r="N807" s="85"/>
      <c r="O807" s="85"/>
      <c r="P807" s="85"/>
      <c r="Q807" s="85"/>
      <c r="R807" s="477"/>
      <c r="S807" s="478"/>
      <c r="T807" s="85"/>
      <c r="U807" s="85"/>
      <c r="V807" s="85"/>
      <c r="W807" s="470"/>
      <c r="X807" s="85"/>
      <c r="Y807" s="85"/>
      <c r="Z807" s="479"/>
      <c r="AA807" s="480"/>
      <c r="AB807" s="479"/>
      <c r="AC807" s="479"/>
      <c r="AD807" s="479"/>
      <c r="AE807" s="479"/>
      <c r="AF807" s="476"/>
      <c r="AG807" s="481"/>
      <c r="AH807" s="85"/>
      <c r="AI807" s="85"/>
      <c r="AJ807" s="85"/>
      <c r="AK807" s="85"/>
      <c r="AL807" s="482"/>
      <c r="AM807" s="479"/>
      <c r="AN807" s="480"/>
      <c r="AO807" s="480"/>
      <c r="AP807" s="480"/>
      <c r="AQ807" s="479"/>
    </row>
    <row r="808" spans="1:43" x14ac:dyDescent="0.2">
      <c r="A808" s="470"/>
      <c r="B808" s="471"/>
      <c r="C808" s="85"/>
      <c r="D808" s="472"/>
      <c r="E808" s="473"/>
      <c r="F808" s="474"/>
      <c r="G808" s="85"/>
      <c r="H808" s="85"/>
      <c r="I808" s="475"/>
      <c r="J808" s="85"/>
      <c r="K808" s="85"/>
      <c r="L808" s="85"/>
      <c r="M808" s="476"/>
      <c r="N808" s="85"/>
      <c r="O808" s="85"/>
      <c r="P808" s="85"/>
      <c r="Q808" s="85"/>
      <c r="R808" s="477"/>
      <c r="S808" s="478"/>
      <c r="T808" s="85"/>
      <c r="U808" s="85"/>
      <c r="V808" s="85"/>
      <c r="W808" s="470"/>
      <c r="X808" s="85"/>
      <c r="Y808" s="85"/>
      <c r="Z808" s="479"/>
      <c r="AA808" s="480"/>
      <c r="AB808" s="479"/>
      <c r="AC808" s="479"/>
      <c r="AD808" s="479"/>
      <c r="AE808" s="479"/>
      <c r="AF808" s="476"/>
      <c r="AG808" s="481"/>
      <c r="AH808" s="85"/>
      <c r="AI808" s="85"/>
      <c r="AJ808" s="85"/>
      <c r="AK808" s="85"/>
      <c r="AL808" s="482"/>
      <c r="AM808" s="479"/>
      <c r="AN808" s="480"/>
      <c r="AO808" s="480"/>
      <c r="AP808" s="480"/>
      <c r="AQ808" s="479"/>
    </row>
    <row r="809" spans="1:43" x14ac:dyDescent="0.2">
      <c r="A809" s="470"/>
      <c r="B809" s="471"/>
      <c r="C809" s="85"/>
      <c r="D809" s="472"/>
      <c r="E809" s="473"/>
      <c r="F809" s="474"/>
      <c r="G809" s="85"/>
      <c r="H809" s="85"/>
      <c r="I809" s="475"/>
      <c r="J809" s="85"/>
      <c r="K809" s="85"/>
      <c r="L809" s="85"/>
      <c r="M809" s="476"/>
      <c r="N809" s="85"/>
      <c r="O809" s="85"/>
      <c r="P809" s="85"/>
      <c r="Q809" s="85"/>
      <c r="R809" s="477"/>
      <c r="S809" s="478"/>
      <c r="T809" s="85"/>
      <c r="U809" s="85"/>
      <c r="V809" s="85"/>
      <c r="W809" s="470"/>
      <c r="X809" s="85"/>
      <c r="Y809" s="85"/>
      <c r="Z809" s="479"/>
      <c r="AA809" s="480"/>
      <c r="AB809" s="479"/>
      <c r="AC809" s="479"/>
      <c r="AD809" s="479"/>
      <c r="AE809" s="479"/>
      <c r="AF809" s="476"/>
      <c r="AG809" s="481"/>
      <c r="AH809" s="85"/>
      <c r="AI809" s="85"/>
      <c r="AJ809" s="85"/>
      <c r="AK809" s="85"/>
      <c r="AL809" s="482"/>
      <c r="AM809" s="479"/>
      <c r="AN809" s="480"/>
      <c r="AO809" s="480"/>
      <c r="AP809" s="480"/>
      <c r="AQ809" s="479"/>
    </row>
    <row r="810" spans="1:43" x14ac:dyDescent="0.2">
      <c r="A810" s="470"/>
      <c r="B810" s="471"/>
      <c r="C810" s="85"/>
      <c r="D810" s="472"/>
      <c r="E810" s="473"/>
      <c r="F810" s="474"/>
      <c r="G810" s="85"/>
      <c r="H810" s="85"/>
      <c r="I810" s="475"/>
      <c r="J810" s="85"/>
      <c r="K810" s="85"/>
      <c r="L810" s="85"/>
      <c r="M810" s="476"/>
      <c r="N810" s="85"/>
      <c r="O810" s="85"/>
      <c r="P810" s="85"/>
      <c r="Q810" s="85"/>
      <c r="R810" s="477"/>
      <c r="S810" s="478"/>
      <c r="T810" s="85"/>
      <c r="U810" s="85"/>
      <c r="V810" s="85"/>
      <c r="W810" s="470"/>
      <c r="X810" s="85"/>
      <c r="Y810" s="85"/>
      <c r="Z810" s="479"/>
      <c r="AA810" s="480"/>
      <c r="AB810" s="479"/>
      <c r="AC810" s="479"/>
      <c r="AD810" s="479"/>
      <c r="AE810" s="479"/>
      <c r="AF810" s="476"/>
      <c r="AG810" s="481"/>
      <c r="AH810" s="85"/>
      <c r="AI810" s="85"/>
      <c r="AJ810" s="85"/>
      <c r="AK810" s="85"/>
      <c r="AL810" s="482"/>
      <c r="AM810" s="479"/>
      <c r="AN810" s="480"/>
      <c r="AO810" s="480"/>
      <c r="AP810" s="480"/>
      <c r="AQ810" s="479"/>
    </row>
    <row r="811" spans="1:43" x14ac:dyDescent="0.2">
      <c r="A811" s="470"/>
      <c r="B811" s="471"/>
      <c r="C811" s="85"/>
      <c r="D811" s="472"/>
      <c r="E811" s="473"/>
      <c r="F811" s="474"/>
      <c r="G811" s="85"/>
      <c r="H811" s="85"/>
      <c r="I811" s="475"/>
      <c r="J811" s="85"/>
      <c r="K811" s="85"/>
      <c r="L811" s="85"/>
      <c r="M811" s="476"/>
      <c r="N811" s="85"/>
      <c r="O811" s="85"/>
      <c r="P811" s="85"/>
      <c r="Q811" s="85"/>
      <c r="R811" s="477"/>
      <c r="S811" s="478"/>
      <c r="T811" s="85"/>
      <c r="U811" s="85"/>
      <c r="V811" s="85"/>
      <c r="W811" s="470"/>
      <c r="X811" s="85"/>
      <c r="Y811" s="85"/>
      <c r="Z811" s="479"/>
      <c r="AA811" s="480"/>
      <c r="AB811" s="479"/>
      <c r="AC811" s="479"/>
      <c r="AD811" s="479"/>
      <c r="AE811" s="479"/>
      <c r="AF811" s="476"/>
      <c r="AG811" s="481"/>
      <c r="AH811" s="85"/>
      <c r="AI811" s="85"/>
      <c r="AJ811" s="85"/>
      <c r="AK811" s="85"/>
      <c r="AL811" s="482"/>
      <c r="AM811" s="479"/>
      <c r="AN811" s="480"/>
      <c r="AO811" s="480"/>
      <c r="AP811" s="480"/>
      <c r="AQ811" s="479"/>
    </row>
    <row r="812" spans="1:43" x14ac:dyDescent="0.2">
      <c r="A812" s="470"/>
      <c r="B812" s="471"/>
      <c r="C812" s="85"/>
      <c r="D812" s="472"/>
      <c r="E812" s="473"/>
      <c r="F812" s="474"/>
      <c r="G812" s="85"/>
      <c r="H812" s="85"/>
      <c r="I812" s="475"/>
      <c r="J812" s="85"/>
      <c r="K812" s="85"/>
      <c r="L812" s="85"/>
      <c r="M812" s="476"/>
      <c r="N812" s="85"/>
      <c r="O812" s="85"/>
      <c r="P812" s="85"/>
      <c r="Q812" s="85"/>
      <c r="R812" s="477"/>
      <c r="S812" s="478"/>
      <c r="T812" s="85"/>
      <c r="U812" s="85"/>
      <c r="V812" s="85"/>
      <c r="W812" s="470"/>
      <c r="X812" s="85"/>
      <c r="Y812" s="85"/>
      <c r="Z812" s="479"/>
      <c r="AA812" s="480"/>
      <c r="AB812" s="479"/>
      <c r="AC812" s="479"/>
      <c r="AD812" s="479"/>
      <c r="AE812" s="479"/>
      <c r="AF812" s="476"/>
      <c r="AG812" s="481"/>
      <c r="AH812" s="85"/>
      <c r="AI812" s="85"/>
      <c r="AJ812" s="85"/>
      <c r="AK812" s="85"/>
      <c r="AL812" s="482"/>
      <c r="AM812" s="479"/>
      <c r="AN812" s="480"/>
      <c r="AO812" s="480"/>
      <c r="AP812" s="480"/>
      <c r="AQ812" s="479"/>
    </row>
    <row r="813" spans="1:43" x14ac:dyDescent="0.2">
      <c r="A813" s="470"/>
      <c r="B813" s="471"/>
      <c r="C813" s="85"/>
      <c r="D813" s="472"/>
      <c r="E813" s="473"/>
      <c r="F813" s="474"/>
      <c r="G813" s="85"/>
      <c r="H813" s="85"/>
      <c r="I813" s="475"/>
      <c r="J813" s="85"/>
      <c r="K813" s="85"/>
      <c r="L813" s="85"/>
      <c r="M813" s="476"/>
      <c r="N813" s="85"/>
      <c r="O813" s="85"/>
      <c r="P813" s="85"/>
      <c r="Q813" s="85"/>
      <c r="R813" s="477"/>
      <c r="S813" s="478"/>
      <c r="T813" s="85"/>
      <c r="U813" s="85"/>
      <c r="V813" s="85"/>
      <c r="W813" s="470"/>
      <c r="X813" s="85"/>
      <c r="Y813" s="85"/>
      <c r="Z813" s="479"/>
      <c r="AA813" s="480"/>
      <c r="AB813" s="479"/>
      <c r="AC813" s="479"/>
      <c r="AD813" s="479"/>
      <c r="AE813" s="479"/>
      <c r="AF813" s="476"/>
      <c r="AG813" s="481"/>
      <c r="AH813" s="85"/>
      <c r="AI813" s="85"/>
      <c r="AJ813" s="85"/>
      <c r="AK813" s="85"/>
      <c r="AL813" s="482"/>
      <c r="AM813" s="479"/>
      <c r="AN813" s="480"/>
      <c r="AO813" s="480"/>
      <c r="AP813" s="480"/>
      <c r="AQ813" s="479"/>
    </row>
    <row r="814" spans="1:43" x14ac:dyDescent="0.2">
      <c r="A814" s="470"/>
      <c r="B814" s="471"/>
      <c r="C814" s="85"/>
      <c r="D814" s="472"/>
      <c r="E814" s="473"/>
      <c r="F814" s="474"/>
      <c r="G814" s="85"/>
      <c r="H814" s="85"/>
      <c r="I814" s="475"/>
      <c r="J814" s="85"/>
      <c r="K814" s="85"/>
      <c r="L814" s="85"/>
      <c r="M814" s="476"/>
      <c r="N814" s="85"/>
      <c r="O814" s="85"/>
      <c r="P814" s="85"/>
      <c r="Q814" s="85"/>
      <c r="R814" s="477"/>
      <c r="S814" s="478"/>
      <c r="T814" s="85"/>
      <c r="U814" s="85"/>
      <c r="V814" s="85"/>
      <c r="W814" s="470"/>
      <c r="X814" s="85"/>
      <c r="Y814" s="85"/>
      <c r="Z814" s="479"/>
      <c r="AA814" s="480"/>
      <c r="AB814" s="479"/>
      <c r="AC814" s="479"/>
      <c r="AD814" s="479"/>
      <c r="AE814" s="479"/>
      <c r="AF814" s="476"/>
      <c r="AG814" s="481"/>
      <c r="AH814" s="85"/>
      <c r="AI814" s="85"/>
      <c r="AJ814" s="85"/>
      <c r="AK814" s="85"/>
      <c r="AL814" s="482"/>
      <c r="AM814" s="479"/>
      <c r="AN814" s="480"/>
      <c r="AO814" s="480"/>
      <c r="AP814" s="480"/>
      <c r="AQ814" s="479"/>
    </row>
    <row r="815" spans="1:43" x14ac:dyDescent="0.2">
      <c r="A815" s="470"/>
      <c r="B815" s="471"/>
      <c r="C815" s="85"/>
      <c r="D815" s="472"/>
      <c r="E815" s="473"/>
      <c r="F815" s="474"/>
      <c r="G815" s="85"/>
      <c r="H815" s="85"/>
      <c r="I815" s="475"/>
      <c r="J815" s="85"/>
      <c r="K815" s="85"/>
      <c r="L815" s="85"/>
      <c r="M815" s="476"/>
      <c r="N815" s="85"/>
      <c r="O815" s="85"/>
      <c r="P815" s="85"/>
      <c r="Q815" s="85"/>
      <c r="R815" s="477"/>
      <c r="S815" s="478"/>
      <c r="T815" s="85"/>
      <c r="U815" s="85"/>
      <c r="V815" s="85"/>
      <c r="W815" s="470"/>
      <c r="X815" s="85"/>
      <c r="Y815" s="85"/>
      <c r="Z815" s="479"/>
      <c r="AA815" s="480"/>
      <c r="AB815" s="479"/>
      <c r="AC815" s="479"/>
      <c r="AD815" s="479"/>
      <c r="AE815" s="479"/>
      <c r="AF815" s="476"/>
      <c r="AG815" s="481"/>
      <c r="AH815" s="85"/>
      <c r="AI815" s="85"/>
      <c r="AJ815" s="85"/>
      <c r="AK815" s="85"/>
      <c r="AL815" s="482"/>
      <c r="AM815" s="479"/>
      <c r="AN815" s="480"/>
      <c r="AO815" s="480"/>
      <c r="AP815" s="480"/>
      <c r="AQ815" s="479"/>
    </row>
    <row r="816" spans="1:43" x14ac:dyDescent="0.2">
      <c r="A816" s="470"/>
      <c r="B816" s="471"/>
      <c r="C816" s="85"/>
      <c r="D816" s="472"/>
      <c r="E816" s="473"/>
      <c r="F816" s="474"/>
      <c r="G816" s="85"/>
      <c r="H816" s="85"/>
      <c r="I816" s="475"/>
      <c r="J816" s="85"/>
      <c r="K816" s="85"/>
      <c r="L816" s="85"/>
      <c r="M816" s="476"/>
      <c r="N816" s="85"/>
      <c r="O816" s="85"/>
      <c r="P816" s="85"/>
      <c r="Q816" s="85"/>
      <c r="R816" s="477"/>
      <c r="S816" s="478"/>
      <c r="T816" s="85"/>
      <c r="U816" s="85"/>
      <c r="V816" s="85"/>
      <c r="W816" s="470"/>
      <c r="X816" s="85"/>
      <c r="Y816" s="85"/>
      <c r="Z816" s="479"/>
      <c r="AA816" s="480"/>
      <c r="AB816" s="479"/>
      <c r="AC816" s="479"/>
      <c r="AD816" s="479"/>
      <c r="AE816" s="479"/>
      <c r="AF816" s="476"/>
      <c r="AG816" s="481"/>
      <c r="AH816" s="85"/>
      <c r="AI816" s="85"/>
      <c r="AJ816" s="85"/>
      <c r="AK816" s="85"/>
      <c r="AL816" s="482"/>
      <c r="AM816" s="479"/>
      <c r="AN816" s="480"/>
      <c r="AO816" s="480"/>
      <c r="AP816" s="480"/>
      <c r="AQ816" s="479"/>
    </row>
    <row r="817" spans="1:43" x14ac:dyDescent="0.2">
      <c r="A817" s="470"/>
      <c r="B817" s="471"/>
      <c r="C817" s="85"/>
      <c r="D817" s="472"/>
      <c r="E817" s="473"/>
      <c r="F817" s="474"/>
      <c r="G817" s="85"/>
      <c r="H817" s="85"/>
      <c r="I817" s="475"/>
      <c r="J817" s="85"/>
      <c r="K817" s="85"/>
      <c r="L817" s="85"/>
      <c r="M817" s="476"/>
      <c r="N817" s="85"/>
      <c r="O817" s="85"/>
      <c r="P817" s="85"/>
      <c r="Q817" s="85"/>
      <c r="R817" s="477"/>
      <c r="S817" s="478"/>
      <c r="T817" s="85"/>
      <c r="U817" s="85"/>
      <c r="V817" s="85"/>
      <c r="W817" s="470"/>
      <c r="X817" s="85"/>
      <c r="Y817" s="85"/>
      <c r="Z817" s="479"/>
      <c r="AA817" s="480"/>
      <c r="AB817" s="479"/>
      <c r="AC817" s="479"/>
      <c r="AD817" s="479"/>
      <c r="AE817" s="479"/>
      <c r="AF817" s="476"/>
      <c r="AG817" s="481"/>
      <c r="AH817" s="85"/>
      <c r="AI817" s="85"/>
      <c r="AJ817" s="85"/>
      <c r="AK817" s="85"/>
      <c r="AL817" s="482"/>
      <c r="AM817" s="479"/>
      <c r="AN817" s="480"/>
      <c r="AO817" s="480"/>
      <c r="AP817" s="480"/>
      <c r="AQ817" s="479"/>
    </row>
    <row r="818" spans="1:43" x14ac:dyDescent="0.2">
      <c r="A818" s="470"/>
      <c r="B818" s="471"/>
      <c r="C818" s="85"/>
      <c r="D818" s="472"/>
      <c r="E818" s="473"/>
      <c r="F818" s="474"/>
      <c r="G818" s="85"/>
      <c r="H818" s="85"/>
      <c r="I818" s="475"/>
      <c r="J818" s="85"/>
      <c r="K818" s="85"/>
      <c r="L818" s="85"/>
      <c r="M818" s="476"/>
      <c r="N818" s="85"/>
      <c r="O818" s="85"/>
      <c r="P818" s="85"/>
      <c r="Q818" s="85"/>
      <c r="R818" s="477"/>
      <c r="S818" s="478"/>
      <c r="T818" s="85"/>
      <c r="U818" s="85"/>
      <c r="V818" s="85"/>
      <c r="W818" s="470"/>
      <c r="X818" s="85"/>
      <c r="Y818" s="85"/>
      <c r="Z818" s="479"/>
      <c r="AA818" s="480"/>
      <c r="AB818" s="479"/>
      <c r="AC818" s="479"/>
      <c r="AD818" s="479"/>
      <c r="AE818" s="479"/>
      <c r="AF818" s="476"/>
      <c r="AG818" s="481"/>
      <c r="AH818" s="85"/>
      <c r="AI818" s="85"/>
      <c r="AJ818" s="85"/>
      <c r="AK818" s="85"/>
      <c r="AL818" s="482"/>
      <c r="AM818" s="479"/>
      <c r="AN818" s="480"/>
      <c r="AO818" s="480"/>
      <c r="AP818" s="480"/>
      <c r="AQ818" s="479"/>
    </row>
    <row r="819" spans="1:43" x14ac:dyDescent="0.2">
      <c r="A819" s="470"/>
      <c r="B819" s="471"/>
      <c r="C819" s="85"/>
      <c r="D819" s="472"/>
      <c r="E819" s="473"/>
      <c r="F819" s="474"/>
      <c r="G819" s="85"/>
      <c r="H819" s="85"/>
      <c r="I819" s="475"/>
      <c r="J819" s="85"/>
      <c r="K819" s="85"/>
      <c r="L819" s="85"/>
      <c r="M819" s="476"/>
      <c r="N819" s="85"/>
      <c r="O819" s="85"/>
      <c r="P819" s="85"/>
      <c r="Q819" s="85"/>
      <c r="R819" s="477"/>
      <c r="S819" s="478"/>
      <c r="T819" s="85"/>
      <c r="U819" s="85"/>
      <c r="V819" s="85"/>
      <c r="W819" s="470"/>
      <c r="X819" s="85"/>
      <c r="Y819" s="85"/>
      <c r="Z819" s="479"/>
      <c r="AA819" s="480"/>
      <c r="AB819" s="479"/>
      <c r="AC819" s="479"/>
      <c r="AD819" s="479"/>
      <c r="AE819" s="479"/>
      <c r="AF819" s="476"/>
      <c r="AG819" s="481"/>
      <c r="AH819" s="85"/>
      <c r="AI819" s="85"/>
      <c r="AJ819" s="85"/>
      <c r="AK819" s="85"/>
      <c r="AL819" s="482"/>
      <c r="AM819" s="479"/>
      <c r="AN819" s="480"/>
      <c r="AO819" s="480"/>
      <c r="AP819" s="480"/>
      <c r="AQ819" s="479"/>
    </row>
    <row r="820" spans="1:43" x14ac:dyDescent="0.2">
      <c r="A820" s="470"/>
      <c r="B820" s="471"/>
      <c r="C820" s="85"/>
      <c r="D820" s="472"/>
      <c r="E820" s="473"/>
      <c r="F820" s="474"/>
      <c r="G820" s="85"/>
      <c r="H820" s="85"/>
      <c r="I820" s="475"/>
      <c r="J820" s="85"/>
      <c r="K820" s="85"/>
      <c r="L820" s="85"/>
      <c r="M820" s="476"/>
      <c r="N820" s="85"/>
      <c r="O820" s="85"/>
      <c r="P820" s="85"/>
      <c r="Q820" s="85"/>
      <c r="R820" s="477"/>
      <c r="S820" s="478"/>
      <c r="T820" s="85"/>
      <c r="U820" s="85"/>
      <c r="V820" s="85"/>
      <c r="W820" s="470"/>
      <c r="X820" s="85"/>
      <c r="Y820" s="85"/>
      <c r="Z820" s="479"/>
      <c r="AA820" s="480"/>
      <c r="AB820" s="479"/>
      <c r="AC820" s="479"/>
      <c r="AD820" s="479"/>
      <c r="AE820" s="479"/>
      <c r="AF820" s="476"/>
      <c r="AG820" s="481"/>
      <c r="AH820" s="85"/>
      <c r="AI820" s="85"/>
      <c r="AJ820" s="85"/>
      <c r="AK820" s="85"/>
      <c r="AL820" s="482"/>
      <c r="AM820" s="479"/>
      <c r="AN820" s="480"/>
      <c r="AO820" s="480"/>
      <c r="AP820" s="480"/>
      <c r="AQ820" s="479"/>
    </row>
    <row r="821" spans="1:43" x14ac:dyDescent="0.2">
      <c r="A821" s="470"/>
      <c r="B821" s="471"/>
      <c r="C821" s="85"/>
      <c r="D821" s="472"/>
      <c r="E821" s="473"/>
      <c r="F821" s="474"/>
      <c r="G821" s="85"/>
      <c r="H821" s="85"/>
      <c r="I821" s="475"/>
      <c r="J821" s="85"/>
      <c r="K821" s="85"/>
      <c r="L821" s="85"/>
      <c r="M821" s="476"/>
      <c r="N821" s="85"/>
      <c r="O821" s="85"/>
      <c r="P821" s="85"/>
      <c r="Q821" s="85"/>
      <c r="R821" s="477"/>
      <c r="S821" s="478"/>
      <c r="T821" s="85"/>
      <c r="U821" s="85"/>
      <c r="V821" s="85"/>
      <c r="W821" s="470"/>
      <c r="X821" s="85"/>
      <c r="Y821" s="85"/>
      <c r="Z821" s="479"/>
      <c r="AA821" s="480"/>
      <c r="AB821" s="479"/>
      <c r="AC821" s="479"/>
      <c r="AD821" s="479"/>
      <c r="AE821" s="479"/>
      <c r="AF821" s="476"/>
      <c r="AG821" s="481"/>
      <c r="AH821" s="85"/>
      <c r="AI821" s="85"/>
      <c r="AJ821" s="85"/>
      <c r="AK821" s="85"/>
      <c r="AL821" s="482"/>
      <c r="AM821" s="479"/>
      <c r="AN821" s="480"/>
      <c r="AO821" s="480"/>
      <c r="AP821" s="480"/>
      <c r="AQ821" s="479"/>
    </row>
    <row r="822" spans="1:43" x14ac:dyDescent="0.2">
      <c r="A822" s="470"/>
      <c r="B822" s="471"/>
      <c r="C822" s="85"/>
      <c r="D822" s="472"/>
      <c r="E822" s="473"/>
      <c r="F822" s="474"/>
      <c r="G822" s="85"/>
      <c r="H822" s="85"/>
      <c r="I822" s="475"/>
      <c r="J822" s="85"/>
      <c r="K822" s="85"/>
      <c r="L822" s="85"/>
      <c r="M822" s="476"/>
      <c r="N822" s="85"/>
      <c r="O822" s="85"/>
      <c r="P822" s="85"/>
      <c r="Q822" s="85"/>
      <c r="R822" s="477"/>
      <c r="S822" s="478"/>
      <c r="T822" s="85"/>
      <c r="U822" s="85"/>
      <c r="V822" s="85"/>
      <c r="W822" s="470"/>
      <c r="X822" s="85"/>
      <c r="Y822" s="85"/>
      <c r="Z822" s="479"/>
      <c r="AA822" s="480"/>
      <c r="AB822" s="479"/>
      <c r="AC822" s="479"/>
      <c r="AD822" s="479"/>
      <c r="AE822" s="479"/>
      <c r="AF822" s="476"/>
      <c r="AG822" s="481"/>
      <c r="AH822" s="85"/>
      <c r="AI822" s="85"/>
      <c r="AJ822" s="85"/>
      <c r="AK822" s="85"/>
      <c r="AL822" s="482"/>
      <c r="AM822" s="479"/>
      <c r="AN822" s="480"/>
      <c r="AO822" s="480"/>
      <c r="AP822" s="480"/>
      <c r="AQ822" s="479"/>
    </row>
    <row r="823" spans="1:43" x14ac:dyDescent="0.2">
      <c r="A823" s="470"/>
      <c r="B823" s="471"/>
      <c r="C823" s="85"/>
      <c r="D823" s="472"/>
      <c r="E823" s="473"/>
      <c r="F823" s="474"/>
      <c r="G823" s="85"/>
      <c r="H823" s="85"/>
      <c r="I823" s="475"/>
      <c r="J823" s="85"/>
      <c r="K823" s="85"/>
      <c r="L823" s="85"/>
      <c r="M823" s="476"/>
      <c r="N823" s="85"/>
      <c r="O823" s="85"/>
      <c r="P823" s="85"/>
      <c r="Q823" s="85"/>
      <c r="R823" s="477"/>
      <c r="S823" s="478"/>
      <c r="T823" s="85"/>
      <c r="U823" s="85"/>
      <c r="V823" s="85"/>
      <c r="W823" s="470"/>
      <c r="X823" s="85"/>
      <c r="Y823" s="85"/>
      <c r="Z823" s="479"/>
      <c r="AA823" s="480"/>
      <c r="AB823" s="479"/>
      <c r="AC823" s="479"/>
      <c r="AD823" s="479"/>
      <c r="AE823" s="479"/>
      <c r="AF823" s="476"/>
      <c r="AG823" s="481"/>
      <c r="AH823" s="85"/>
      <c r="AI823" s="85"/>
      <c r="AJ823" s="85"/>
      <c r="AK823" s="85"/>
      <c r="AL823" s="482"/>
      <c r="AM823" s="479"/>
      <c r="AN823" s="480"/>
      <c r="AO823" s="480"/>
      <c r="AP823" s="480"/>
      <c r="AQ823" s="479"/>
    </row>
    <row r="824" spans="1:43" x14ac:dyDescent="0.2">
      <c r="F824" s="491"/>
      <c r="M824" s="162"/>
      <c r="R824" s="270"/>
      <c r="S824" s="261"/>
      <c r="AA824" s="111"/>
      <c r="AF824" s="162"/>
      <c r="AG824" s="245"/>
      <c r="AL824" s="110"/>
      <c r="AN824" s="111"/>
      <c r="AO824" s="132"/>
      <c r="AP824" s="132"/>
    </row>
    <row r="825" spans="1:43" x14ac:dyDescent="0.2">
      <c r="F825" s="125"/>
      <c r="M825" s="162"/>
      <c r="R825" s="267"/>
      <c r="S825" s="260"/>
      <c r="AA825" s="66"/>
      <c r="AF825" s="162"/>
      <c r="AG825" s="244"/>
      <c r="AL825" s="105"/>
      <c r="AN825" s="66"/>
      <c r="AO825" s="132"/>
      <c r="AP825" s="132"/>
    </row>
    <row r="826" spans="1:43" x14ac:dyDescent="0.2">
      <c r="F826" s="125"/>
      <c r="M826" s="162"/>
      <c r="R826" s="267"/>
      <c r="S826" s="260"/>
      <c r="AA826" s="66"/>
      <c r="AF826" s="162"/>
      <c r="AL826" s="105"/>
      <c r="AN826" s="66"/>
      <c r="AO826" s="132"/>
      <c r="AP826" s="132"/>
    </row>
    <row r="827" spans="1:43" x14ac:dyDescent="0.2">
      <c r="F827" s="125"/>
      <c r="M827" s="162"/>
      <c r="R827" s="267"/>
      <c r="S827" s="260"/>
      <c r="AA827" s="66"/>
      <c r="AF827" s="162"/>
      <c r="AL827" s="105"/>
      <c r="AN827" s="66"/>
      <c r="AO827" s="132"/>
      <c r="AP827" s="132"/>
    </row>
    <row r="828" spans="1:43" x14ac:dyDescent="0.2">
      <c r="F828" s="125"/>
      <c r="M828" s="162"/>
      <c r="R828" s="267"/>
      <c r="S828" s="260"/>
      <c r="AA828" s="66"/>
      <c r="AF828" s="162"/>
      <c r="AL828" s="105"/>
      <c r="AN828" s="66"/>
      <c r="AO828" s="132"/>
      <c r="AP828" s="132"/>
    </row>
    <row r="829" spans="1:43" x14ac:dyDescent="0.2">
      <c r="F829" s="125"/>
      <c r="M829" s="162"/>
      <c r="R829" s="267"/>
      <c r="S829" s="260"/>
      <c r="AA829" s="66"/>
      <c r="AF829" s="162"/>
      <c r="AL829" s="105"/>
      <c r="AN829" s="66"/>
      <c r="AO829" s="132"/>
      <c r="AP829" s="132"/>
    </row>
    <row r="830" spans="1:43" x14ac:dyDescent="0.2">
      <c r="F830" s="125"/>
      <c r="M830" s="162"/>
      <c r="R830" s="267"/>
      <c r="S830" s="260"/>
      <c r="AA830" s="66"/>
      <c r="AF830" s="162"/>
      <c r="AL830" s="105"/>
      <c r="AN830" s="66"/>
      <c r="AO830" s="132"/>
      <c r="AP830" s="132"/>
    </row>
    <row r="831" spans="1:43" x14ac:dyDescent="0.2">
      <c r="F831" s="125"/>
      <c r="M831" s="162"/>
      <c r="R831" s="267"/>
      <c r="S831" s="260"/>
      <c r="AA831" s="66"/>
      <c r="AF831" s="162"/>
      <c r="AL831" s="105"/>
      <c r="AN831" s="66"/>
      <c r="AO831" s="132"/>
      <c r="AP831" s="132"/>
    </row>
    <row r="832" spans="1:43" x14ac:dyDescent="0.2">
      <c r="F832" s="125"/>
      <c r="M832" s="162"/>
      <c r="R832" s="267"/>
      <c r="S832" s="260"/>
      <c r="AA832" s="66"/>
      <c r="AF832" s="162"/>
      <c r="AL832" s="105"/>
      <c r="AN832" s="66"/>
      <c r="AO832" s="132"/>
      <c r="AP832" s="132"/>
    </row>
    <row r="833" spans="6:42" x14ac:dyDescent="0.2">
      <c r="F833" s="125"/>
      <c r="M833" s="162"/>
      <c r="R833" s="267"/>
      <c r="S833" s="260"/>
      <c r="AA833" s="66"/>
      <c r="AF833" s="162"/>
      <c r="AL833" s="105"/>
      <c r="AN833" s="66"/>
      <c r="AO833" s="132"/>
      <c r="AP833" s="132"/>
    </row>
    <row r="834" spans="6:42" x14ac:dyDescent="0.2">
      <c r="F834" s="125"/>
      <c r="M834" s="162"/>
      <c r="R834" s="267"/>
      <c r="S834" s="260"/>
      <c r="AA834" s="66"/>
      <c r="AF834" s="162"/>
      <c r="AL834" s="105"/>
      <c r="AN834" s="66"/>
      <c r="AO834" s="132"/>
      <c r="AP834" s="132"/>
    </row>
    <row r="835" spans="6:42" x14ac:dyDescent="0.2">
      <c r="F835" s="125"/>
      <c r="M835" s="162"/>
      <c r="R835" s="267"/>
      <c r="S835" s="260"/>
      <c r="AA835" s="66"/>
      <c r="AF835" s="162"/>
      <c r="AL835" s="105"/>
      <c r="AN835" s="66"/>
      <c r="AO835" s="132"/>
      <c r="AP835" s="132"/>
    </row>
    <row r="836" spans="6:42" x14ac:dyDescent="0.2">
      <c r="F836" s="125"/>
      <c r="M836" s="162"/>
      <c r="R836" s="267"/>
      <c r="S836" s="260"/>
      <c r="AA836" s="66"/>
      <c r="AF836" s="162"/>
      <c r="AL836" s="105"/>
      <c r="AN836" s="66"/>
      <c r="AO836" s="132"/>
      <c r="AP836" s="132"/>
    </row>
    <row r="837" spans="6:42" x14ac:dyDescent="0.2">
      <c r="F837" s="125"/>
      <c r="M837" s="162"/>
      <c r="R837" s="267"/>
      <c r="S837" s="260"/>
      <c r="AA837" s="66"/>
      <c r="AF837" s="162"/>
      <c r="AL837" s="105"/>
      <c r="AN837" s="66"/>
      <c r="AO837" s="132"/>
      <c r="AP837" s="132"/>
    </row>
    <row r="838" spans="6:42" x14ac:dyDescent="0.2">
      <c r="F838" s="125"/>
      <c r="M838" s="162"/>
      <c r="R838" s="267"/>
      <c r="S838" s="260"/>
      <c r="AA838" s="66"/>
      <c r="AF838" s="162"/>
      <c r="AL838" s="105"/>
      <c r="AN838" s="66"/>
      <c r="AO838" s="132"/>
      <c r="AP838" s="132"/>
    </row>
    <row r="839" spans="6:42" x14ac:dyDescent="0.2">
      <c r="F839" s="125"/>
      <c r="M839" s="162"/>
      <c r="R839" s="267"/>
      <c r="S839" s="260"/>
      <c r="AA839" s="66"/>
      <c r="AF839" s="162"/>
      <c r="AL839" s="105"/>
      <c r="AN839" s="66"/>
      <c r="AO839" s="132"/>
      <c r="AP839" s="132"/>
    </row>
    <row r="840" spans="6:42" x14ac:dyDescent="0.2">
      <c r="F840" s="125"/>
      <c r="M840" s="162"/>
      <c r="R840" s="267"/>
      <c r="S840" s="260"/>
      <c r="AA840" s="66"/>
      <c r="AF840" s="162"/>
      <c r="AL840" s="105"/>
      <c r="AN840" s="66"/>
      <c r="AO840" s="132"/>
      <c r="AP840" s="132"/>
    </row>
    <row r="841" spans="6:42" x14ac:dyDescent="0.2">
      <c r="F841" s="125"/>
      <c r="M841" s="162"/>
      <c r="R841" s="267"/>
      <c r="S841" s="260"/>
      <c r="AA841" s="66"/>
      <c r="AF841" s="162"/>
      <c r="AL841" s="105"/>
      <c r="AN841" s="66"/>
      <c r="AO841" s="132"/>
      <c r="AP841" s="132"/>
    </row>
    <row r="842" spans="6:42" x14ac:dyDescent="0.2">
      <c r="F842" s="125"/>
      <c r="M842" s="162"/>
      <c r="R842" s="267"/>
      <c r="S842" s="260"/>
      <c r="AA842" s="66"/>
      <c r="AF842" s="162"/>
      <c r="AL842" s="105"/>
      <c r="AN842" s="66"/>
      <c r="AO842" s="132"/>
      <c r="AP842" s="132"/>
    </row>
    <row r="843" spans="6:42" x14ac:dyDescent="0.2">
      <c r="F843" s="125"/>
      <c r="M843" s="162"/>
      <c r="R843" s="267"/>
      <c r="S843" s="260"/>
      <c r="AA843" s="66"/>
      <c r="AF843" s="162"/>
      <c r="AL843" s="105"/>
      <c r="AN843" s="66"/>
      <c r="AO843" s="132"/>
      <c r="AP843" s="132"/>
    </row>
    <row r="844" spans="6:42" x14ac:dyDescent="0.2">
      <c r="F844" s="125"/>
      <c r="M844" s="162"/>
      <c r="R844" s="267"/>
      <c r="S844" s="260"/>
      <c r="AA844" s="66"/>
      <c r="AF844" s="162"/>
      <c r="AL844" s="105"/>
      <c r="AN844" s="66"/>
      <c r="AO844" s="132"/>
      <c r="AP844" s="132"/>
    </row>
    <row r="845" spans="6:42" x14ac:dyDescent="0.2">
      <c r="F845" s="125"/>
      <c r="M845" s="162"/>
      <c r="R845" s="267"/>
      <c r="S845" s="260"/>
      <c r="AA845" s="66"/>
      <c r="AF845" s="162"/>
      <c r="AL845" s="105"/>
      <c r="AN845" s="66"/>
      <c r="AO845" s="132"/>
      <c r="AP845" s="132"/>
    </row>
    <row r="846" spans="6:42" x14ac:dyDescent="0.2">
      <c r="F846" s="125"/>
      <c r="M846" s="162"/>
      <c r="R846" s="267"/>
      <c r="S846" s="260"/>
      <c r="AA846" s="66"/>
      <c r="AF846" s="162"/>
      <c r="AL846" s="105"/>
      <c r="AN846" s="66"/>
      <c r="AO846" s="132"/>
      <c r="AP846" s="132"/>
    </row>
    <row r="847" spans="6:42" x14ac:dyDescent="0.2">
      <c r="F847" s="125"/>
      <c r="M847" s="162"/>
      <c r="R847" s="267"/>
      <c r="S847" s="260"/>
      <c r="AA847" s="66"/>
      <c r="AF847" s="162"/>
      <c r="AL847" s="105"/>
      <c r="AN847" s="66"/>
      <c r="AO847" s="132"/>
      <c r="AP847" s="132"/>
    </row>
    <row r="848" spans="6:42" x14ac:dyDescent="0.2">
      <c r="F848" s="125"/>
      <c r="M848" s="162"/>
      <c r="R848" s="267"/>
      <c r="S848" s="260"/>
      <c r="AA848" s="66"/>
      <c r="AF848" s="162"/>
      <c r="AL848" s="105"/>
      <c r="AN848" s="66"/>
      <c r="AO848" s="132"/>
      <c r="AP848" s="132"/>
    </row>
    <row r="849" spans="6:42" x14ac:dyDescent="0.2">
      <c r="F849" s="125"/>
      <c r="M849" s="162"/>
      <c r="R849" s="267"/>
      <c r="S849" s="260"/>
      <c r="AA849" s="66"/>
      <c r="AF849" s="162"/>
      <c r="AL849" s="105"/>
      <c r="AN849" s="66"/>
      <c r="AO849" s="132"/>
      <c r="AP849" s="132"/>
    </row>
    <row r="850" spans="6:42" x14ac:dyDescent="0.2">
      <c r="F850" s="125"/>
      <c r="M850" s="162"/>
      <c r="R850" s="267"/>
      <c r="S850" s="260"/>
      <c r="AA850" s="66"/>
      <c r="AF850" s="162"/>
      <c r="AL850" s="105"/>
      <c r="AN850" s="66"/>
      <c r="AO850" s="132"/>
      <c r="AP850" s="132"/>
    </row>
    <row r="851" spans="6:42" x14ac:dyDescent="0.2">
      <c r="F851" s="125"/>
      <c r="M851" s="162"/>
      <c r="R851" s="267"/>
      <c r="S851" s="260"/>
      <c r="AA851" s="66"/>
      <c r="AF851" s="162"/>
      <c r="AL851" s="105"/>
      <c r="AN851" s="66"/>
      <c r="AO851" s="132"/>
      <c r="AP851" s="132"/>
    </row>
    <row r="852" spans="6:42" x14ac:dyDescent="0.2">
      <c r="F852" s="125"/>
      <c r="M852" s="162"/>
      <c r="R852" s="267"/>
      <c r="S852" s="260"/>
      <c r="AA852" s="66"/>
      <c r="AF852" s="162"/>
      <c r="AL852" s="105"/>
      <c r="AN852" s="66"/>
      <c r="AO852" s="132"/>
      <c r="AP852" s="132"/>
    </row>
    <row r="853" spans="6:42" x14ac:dyDescent="0.2">
      <c r="F853" s="125"/>
      <c r="M853" s="162"/>
      <c r="R853" s="267"/>
      <c r="S853" s="260"/>
      <c r="AA853" s="66"/>
      <c r="AF853" s="162"/>
      <c r="AL853" s="105"/>
      <c r="AN853" s="66"/>
      <c r="AO853" s="132"/>
      <c r="AP853" s="132"/>
    </row>
    <row r="854" spans="6:42" x14ac:dyDescent="0.2">
      <c r="F854" s="125"/>
      <c r="M854" s="162"/>
      <c r="R854" s="267"/>
      <c r="S854" s="260"/>
      <c r="AA854" s="66"/>
      <c r="AF854" s="162"/>
      <c r="AL854" s="105"/>
      <c r="AN854" s="66"/>
      <c r="AO854" s="132"/>
      <c r="AP854" s="132"/>
    </row>
    <row r="855" spans="6:42" x14ac:dyDescent="0.2">
      <c r="F855" s="125"/>
      <c r="M855" s="162"/>
      <c r="R855" s="267"/>
      <c r="S855" s="260"/>
      <c r="AA855" s="66"/>
      <c r="AF855" s="162"/>
      <c r="AL855" s="105"/>
      <c r="AN855" s="66"/>
      <c r="AO855" s="132"/>
      <c r="AP855" s="132"/>
    </row>
    <row r="856" spans="6:42" x14ac:dyDescent="0.2">
      <c r="F856" s="125"/>
      <c r="M856" s="162"/>
      <c r="R856" s="267"/>
      <c r="S856" s="260"/>
      <c r="AA856" s="66"/>
      <c r="AF856" s="162"/>
      <c r="AL856" s="105"/>
      <c r="AN856" s="66"/>
      <c r="AO856" s="132"/>
      <c r="AP856" s="132"/>
    </row>
    <row r="857" spans="6:42" x14ac:dyDescent="0.2">
      <c r="F857" s="125"/>
      <c r="M857" s="162"/>
      <c r="R857" s="267"/>
      <c r="S857" s="260"/>
      <c r="AA857" s="66"/>
      <c r="AF857" s="162"/>
      <c r="AL857" s="105"/>
      <c r="AN857" s="66"/>
      <c r="AO857" s="132"/>
      <c r="AP857" s="132"/>
    </row>
    <row r="858" spans="6:42" x14ac:dyDescent="0.2">
      <c r="F858" s="125"/>
      <c r="M858" s="162"/>
      <c r="R858" s="267"/>
      <c r="S858" s="260"/>
      <c r="AA858" s="66"/>
      <c r="AF858" s="162"/>
      <c r="AL858" s="105"/>
      <c r="AN858" s="66"/>
      <c r="AO858" s="132"/>
      <c r="AP858" s="132"/>
    </row>
    <row r="859" spans="6:42" x14ac:dyDescent="0.2">
      <c r="F859" s="125"/>
      <c r="M859" s="162"/>
      <c r="R859" s="267"/>
      <c r="S859" s="260"/>
      <c r="AA859" s="66"/>
      <c r="AF859" s="162"/>
      <c r="AL859" s="105"/>
      <c r="AN859" s="66"/>
      <c r="AO859" s="132"/>
      <c r="AP859" s="132"/>
    </row>
    <row r="860" spans="6:42" x14ac:dyDescent="0.2">
      <c r="F860" s="125"/>
      <c r="M860" s="162"/>
      <c r="R860" s="267"/>
      <c r="S860" s="260"/>
      <c r="AA860" s="66"/>
      <c r="AF860" s="162"/>
      <c r="AL860" s="105"/>
      <c r="AN860" s="66"/>
      <c r="AO860" s="132"/>
      <c r="AP860" s="132"/>
    </row>
    <row r="861" spans="6:42" x14ac:dyDescent="0.2">
      <c r="F861" s="125"/>
      <c r="M861" s="162"/>
      <c r="R861" s="267"/>
      <c r="S861" s="260"/>
      <c r="AA861" s="66"/>
      <c r="AF861" s="162"/>
      <c r="AN861" s="66"/>
      <c r="AO861" s="132"/>
      <c r="AP861" s="132"/>
    </row>
    <row r="862" spans="6:42" x14ac:dyDescent="0.2">
      <c r="F862" s="125"/>
      <c r="M862" s="162"/>
      <c r="R862" s="267"/>
      <c r="S862" s="260"/>
      <c r="AA862" s="66"/>
      <c r="AF862" s="162"/>
      <c r="AN862" s="66"/>
      <c r="AO862" s="132"/>
      <c r="AP862" s="132"/>
    </row>
    <row r="863" spans="6:42" x14ac:dyDescent="0.2">
      <c r="F863" s="125"/>
      <c r="M863" s="162"/>
      <c r="R863" s="267"/>
      <c r="S863" s="260"/>
      <c r="AA863" s="66"/>
      <c r="AF863" s="162"/>
      <c r="AN863" s="66"/>
      <c r="AO863" s="132"/>
      <c r="AP863" s="132"/>
    </row>
    <row r="864" spans="6:42" x14ac:dyDescent="0.2">
      <c r="F864" s="125"/>
      <c r="M864" s="162"/>
      <c r="R864" s="267"/>
      <c r="S864" s="260"/>
      <c r="AA864" s="66"/>
      <c r="AF864" s="162"/>
      <c r="AN864" s="66"/>
      <c r="AO864" s="132"/>
      <c r="AP864" s="132"/>
    </row>
    <row r="865" spans="6:42" x14ac:dyDescent="0.2">
      <c r="F865" s="125"/>
      <c r="M865" s="162"/>
      <c r="R865" s="267"/>
      <c r="S865" s="260"/>
      <c r="AA865" s="66"/>
      <c r="AF865" s="162"/>
      <c r="AN865" s="66"/>
      <c r="AO865" s="132"/>
      <c r="AP865" s="132"/>
    </row>
    <row r="866" spans="6:42" x14ac:dyDescent="0.2">
      <c r="F866" s="125"/>
      <c r="M866" s="162"/>
      <c r="R866" s="267"/>
      <c r="S866" s="260"/>
      <c r="AA866" s="66"/>
      <c r="AF866" s="162"/>
      <c r="AN866" s="66"/>
      <c r="AO866" s="132"/>
      <c r="AP866" s="132"/>
    </row>
    <row r="867" spans="6:42" x14ac:dyDescent="0.2">
      <c r="F867" s="125"/>
      <c r="M867" s="162"/>
      <c r="R867" s="267"/>
      <c r="S867" s="260"/>
      <c r="AA867" s="66"/>
      <c r="AF867" s="162"/>
      <c r="AN867" s="66"/>
      <c r="AO867" s="132"/>
      <c r="AP867" s="132"/>
    </row>
    <row r="868" spans="6:42" x14ac:dyDescent="0.2">
      <c r="F868" s="125"/>
      <c r="M868" s="162"/>
      <c r="R868" s="267"/>
      <c r="S868" s="260"/>
      <c r="AA868" s="66"/>
      <c r="AF868" s="162"/>
      <c r="AN868" s="66"/>
      <c r="AO868" s="132"/>
      <c r="AP868" s="132"/>
    </row>
    <row r="869" spans="6:42" x14ac:dyDescent="0.2">
      <c r="F869" s="125"/>
      <c r="M869" s="162"/>
      <c r="R869" s="267"/>
      <c r="S869" s="260"/>
      <c r="AA869" s="66"/>
      <c r="AF869" s="162"/>
      <c r="AN869" s="66"/>
      <c r="AO869" s="132"/>
      <c r="AP869" s="132"/>
    </row>
    <row r="870" spans="6:42" x14ac:dyDescent="0.2">
      <c r="F870" s="125"/>
      <c r="M870" s="162"/>
      <c r="R870" s="267"/>
      <c r="S870" s="260"/>
      <c r="AA870" s="66"/>
      <c r="AF870" s="162"/>
      <c r="AN870" s="66"/>
      <c r="AO870" s="132"/>
      <c r="AP870" s="132"/>
    </row>
    <row r="871" spans="6:42" x14ac:dyDescent="0.2">
      <c r="F871" s="125"/>
      <c r="M871" s="162"/>
      <c r="R871" s="267"/>
      <c r="S871" s="260"/>
      <c r="AA871" s="66"/>
      <c r="AF871" s="162"/>
      <c r="AN871" s="66"/>
      <c r="AO871" s="132"/>
      <c r="AP871" s="132"/>
    </row>
    <row r="872" spans="6:42" x14ac:dyDescent="0.2">
      <c r="F872" s="125"/>
      <c r="M872" s="162"/>
      <c r="R872" s="267"/>
      <c r="S872" s="260"/>
      <c r="AA872" s="66"/>
      <c r="AF872" s="162"/>
      <c r="AN872" s="66"/>
      <c r="AO872" s="132"/>
      <c r="AP872" s="132"/>
    </row>
    <row r="873" spans="6:42" x14ac:dyDescent="0.2">
      <c r="F873" s="125"/>
      <c r="M873" s="162"/>
      <c r="R873" s="267"/>
      <c r="S873" s="260"/>
      <c r="AA873" s="66"/>
      <c r="AF873" s="162"/>
      <c r="AN873" s="66"/>
      <c r="AO873" s="132"/>
      <c r="AP873" s="132"/>
    </row>
    <row r="874" spans="6:42" x14ac:dyDescent="0.2">
      <c r="F874" s="125"/>
      <c r="M874" s="162"/>
      <c r="R874" s="267"/>
      <c r="S874" s="260"/>
      <c r="AA874" s="66"/>
      <c r="AF874" s="162"/>
      <c r="AN874" s="66"/>
      <c r="AO874" s="132"/>
      <c r="AP874" s="132"/>
    </row>
    <row r="875" spans="6:42" x14ac:dyDescent="0.2">
      <c r="F875" s="125"/>
      <c r="M875" s="162"/>
      <c r="R875" s="267"/>
      <c r="S875" s="260"/>
      <c r="AA875" s="66"/>
      <c r="AF875" s="162"/>
      <c r="AN875" s="66"/>
      <c r="AO875" s="132"/>
      <c r="AP875" s="132"/>
    </row>
    <row r="876" spans="6:42" x14ac:dyDescent="0.2">
      <c r="F876" s="125"/>
      <c r="M876" s="162"/>
      <c r="R876" s="267"/>
      <c r="S876" s="260"/>
      <c r="AA876" s="66"/>
      <c r="AF876" s="162"/>
      <c r="AN876" s="66"/>
      <c r="AO876" s="132"/>
      <c r="AP876" s="132"/>
    </row>
    <row r="877" spans="6:42" x14ac:dyDescent="0.2">
      <c r="F877" s="125"/>
      <c r="M877" s="162"/>
      <c r="R877" s="267"/>
      <c r="S877" s="260"/>
      <c r="AA877" s="66"/>
      <c r="AF877" s="162"/>
      <c r="AN877" s="66"/>
      <c r="AO877" s="132"/>
      <c r="AP877" s="132"/>
    </row>
    <row r="878" spans="6:42" x14ac:dyDescent="0.2">
      <c r="F878" s="125"/>
      <c r="M878" s="162"/>
      <c r="R878" s="267"/>
      <c r="S878" s="260"/>
      <c r="AA878" s="66"/>
      <c r="AF878" s="162"/>
      <c r="AN878" s="66"/>
      <c r="AO878" s="132"/>
      <c r="AP878" s="132"/>
    </row>
    <row r="879" spans="6:42" x14ac:dyDescent="0.2">
      <c r="F879" s="125"/>
      <c r="M879" s="162"/>
      <c r="R879" s="267"/>
      <c r="S879" s="260"/>
      <c r="AA879" s="66"/>
      <c r="AF879" s="162"/>
      <c r="AN879" s="66"/>
      <c r="AO879" s="132"/>
      <c r="AP879" s="132"/>
    </row>
    <row r="880" spans="6:42" x14ac:dyDescent="0.2">
      <c r="F880" s="125"/>
      <c r="M880" s="162"/>
      <c r="R880" s="267"/>
      <c r="S880" s="260"/>
      <c r="AA880" s="66"/>
      <c r="AF880" s="162"/>
      <c r="AN880" s="66"/>
      <c r="AO880" s="132"/>
      <c r="AP880" s="132"/>
    </row>
    <row r="881" spans="6:42" x14ac:dyDescent="0.2">
      <c r="F881" s="125"/>
      <c r="M881" s="162"/>
      <c r="R881" s="267"/>
      <c r="S881" s="260"/>
      <c r="AA881" s="66"/>
      <c r="AF881" s="162"/>
      <c r="AN881" s="66"/>
      <c r="AO881" s="132"/>
      <c r="AP881" s="132"/>
    </row>
    <row r="882" spans="6:42" x14ac:dyDescent="0.2">
      <c r="F882" s="125"/>
      <c r="M882" s="162"/>
      <c r="R882" s="267"/>
      <c r="S882" s="260"/>
      <c r="AA882" s="66"/>
      <c r="AF882" s="162"/>
      <c r="AN882" s="66"/>
      <c r="AO882" s="132"/>
      <c r="AP882" s="132"/>
    </row>
    <row r="883" spans="6:42" x14ac:dyDescent="0.2">
      <c r="F883" s="125"/>
      <c r="M883" s="162"/>
      <c r="R883" s="267"/>
      <c r="S883" s="260"/>
      <c r="AA883" s="66"/>
      <c r="AF883" s="162"/>
      <c r="AN883" s="66"/>
      <c r="AO883" s="132"/>
      <c r="AP883" s="132"/>
    </row>
    <row r="884" spans="6:42" x14ac:dyDescent="0.2">
      <c r="F884" s="125"/>
      <c r="M884" s="162"/>
      <c r="R884" s="267"/>
      <c r="S884" s="260"/>
      <c r="AA884" s="66"/>
      <c r="AF884" s="162"/>
      <c r="AN884" s="66"/>
      <c r="AO884" s="132"/>
      <c r="AP884" s="132"/>
    </row>
    <row r="885" spans="6:42" x14ac:dyDescent="0.2">
      <c r="F885" s="125"/>
      <c r="M885" s="162"/>
      <c r="R885" s="267"/>
      <c r="S885" s="260"/>
      <c r="AA885" s="66"/>
      <c r="AF885" s="162"/>
      <c r="AN885" s="66"/>
      <c r="AO885" s="132"/>
      <c r="AP885" s="132"/>
    </row>
    <row r="886" spans="6:42" x14ac:dyDescent="0.2">
      <c r="F886" s="125"/>
      <c r="M886" s="162"/>
      <c r="R886" s="267"/>
      <c r="S886" s="260"/>
      <c r="AA886" s="66"/>
      <c r="AF886" s="162"/>
      <c r="AN886" s="66"/>
      <c r="AO886" s="132"/>
      <c r="AP886" s="132"/>
    </row>
    <row r="887" spans="6:42" x14ac:dyDescent="0.2">
      <c r="F887" s="125"/>
      <c r="M887" s="162"/>
      <c r="R887" s="267"/>
      <c r="S887" s="260"/>
      <c r="AA887" s="66"/>
      <c r="AF887" s="162"/>
      <c r="AN887" s="66"/>
      <c r="AO887" s="132"/>
      <c r="AP887" s="132"/>
    </row>
    <row r="888" spans="6:42" x14ac:dyDescent="0.2">
      <c r="F888" s="125"/>
      <c r="M888" s="162"/>
      <c r="R888" s="267"/>
      <c r="S888" s="260"/>
      <c r="AA888" s="66"/>
      <c r="AF888" s="162"/>
      <c r="AN888" s="66"/>
      <c r="AO888" s="132"/>
      <c r="AP888" s="132"/>
    </row>
    <row r="889" spans="6:42" x14ac:dyDescent="0.2">
      <c r="F889" s="125"/>
      <c r="M889" s="162"/>
      <c r="R889" s="267"/>
      <c r="S889" s="260"/>
      <c r="AA889" s="66"/>
      <c r="AF889" s="162"/>
      <c r="AN889" s="66"/>
      <c r="AO889" s="132"/>
      <c r="AP889" s="132"/>
    </row>
    <row r="890" spans="6:42" x14ac:dyDescent="0.2">
      <c r="F890" s="125"/>
      <c r="M890" s="162"/>
      <c r="R890" s="267"/>
      <c r="S890" s="260"/>
      <c r="AA890" s="66"/>
      <c r="AF890" s="162"/>
      <c r="AN890" s="66"/>
      <c r="AO890" s="132"/>
      <c r="AP890" s="132"/>
    </row>
    <row r="891" spans="6:42" x14ac:dyDescent="0.2">
      <c r="F891" s="125"/>
      <c r="M891" s="162"/>
      <c r="R891" s="267"/>
      <c r="S891" s="260"/>
      <c r="AA891" s="66"/>
      <c r="AF891" s="162"/>
      <c r="AN891" s="66"/>
      <c r="AO891" s="132"/>
      <c r="AP891" s="132"/>
    </row>
    <row r="892" spans="6:42" x14ac:dyDescent="0.2">
      <c r="F892" s="125"/>
      <c r="M892" s="162"/>
      <c r="R892" s="267"/>
      <c r="S892" s="260"/>
      <c r="AA892" s="66"/>
      <c r="AF892" s="162"/>
      <c r="AN892" s="66"/>
      <c r="AO892" s="132"/>
      <c r="AP892" s="132"/>
    </row>
    <row r="893" spans="6:42" x14ac:dyDescent="0.2">
      <c r="F893" s="125"/>
      <c r="M893" s="162"/>
      <c r="R893" s="267"/>
      <c r="S893" s="260"/>
      <c r="AA893" s="66"/>
      <c r="AF893" s="162"/>
      <c r="AN893" s="66"/>
      <c r="AO893" s="132"/>
      <c r="AP893" s="132"/>
    </row>
    <row r="894" spans="6:42" x14ac:dyDescent="0.2">
      <c r="F894" s="125"/>
      <c r="M894" s="162"/>
      <c r="R894" s="267"/>
      <c r="S894" s="260"/>
      <c r="AA894" s="66"/>
      <c r="AF894" s="162"/>
      <c r="AN894" s="66"/>
      <c r="AO894" s="132"/>
      <c r="AP894" s="132"/>
    </row>
    <row r="895" spans="6:42" x14ac:dyDescent="0.2">
      <c r="F895" s="125"/>
      <c r="M895" s="162"/>
      <c r="R895" s="267"/>
      <c r="S895" s="260"/>
      <c r="AA895" s="66"/>
      <c r="AF895" s="162"/>
      <c r="AN895" s="66"/>
      <c r="AO895" s="132"/>
      <c r="AP895" s="132"/>
    </row>
    <row r="896" spans="6:42" x14ac:dyDescent="0.2">
      <c r="F896" s="125"/>
      <c r="M896" s="162"/>
      <c r="R896" s="267"/>
      <c r="S896" s="260"/>
      <c r="AA896" s="66"/>
      <c r="AF896" s="162"/>
      <c r="AN896" s="66"/>
      <c r="AO896" s="132"/>
      <c r="AP896" s="132"/>
    </row>
    <row r="897" spans="6:42" x14ac:dyDescent="0.2">
      <c r="F897" s="125"/>
      <c r="M897" s="162"/>
      <c r="R897" s="267"/>
      <c r="S897" s="260"/>
      <c r="AA897" s="66"/>
      <c r="AF897" s="162"/>
      <c r="AN897" s="66"/>
      <c r="AO897" s="132"/>
      <c r="AP897" s="132"/>
    </row>
    <row r="898" spans="6:42" x14ac:dyDescent="0.2">
      <c r="F898" s="125"/>
      <c r="M898" s="162"/>
      <c r="R898" s="267"/>
      <c r="S898" s="260"/>
      <c r="AA898" s="66"/>
      <c r="AF898" s="162"/>
      <c r="AN898" s="66"/>
      <c r="AO898" s="132"/>
      <c r="AP898" s="132"/>
    </row>
    <row r="899" spans="6:42" x14ac:dyDescent="0.2">
      <c r="F899" s="125"/>
      <c r="M899" s="162"/>
      <c r="R899" s="267"/>
      <c r="S899" s="260"/>
      <c r="AA899" s="66"/>
      <c r="AF899" s="162"/>
      <c r="AN899" s="66"/>
      <c r="AO899" s="132"/>
      <c r="AP899" s="132"/>
    </row>
    <row r="900" spans="6:42" x14ac:dyDescent="0.2">
      <c r="F900" s="125"/>
      <c r="M900" s="162"/>
      <c r="R900" s="267"/>
      <c r="S900" s="260"/>
      <c r="AA900" s="66"/>
      <c r="AF900" s="162"/>
      <c r="AN900" s="66"/>
      <c r="AO900" s="132"/>
      <c r="AP900" s="132"/>
    </row>
    <row r="901" spans="6:42" x14ac:dyDescent="0.2">
      <c r="F901" s="125"/>
      <c r="M901" s="162"/>
      <c r="R901" s="267"/>
      <c r="S901" s="260"/>
      <c r="AA901" s="66"/>
      <c r="AF901" s="162"/>
      <c r="AN901" s="66"/>
      <c r="AO901" s="132"/>
      <c r="AP901" s="132"/>
    </row>
    <row r="902" spans="6:42" x14ac:dyDescent="0.2">
      <c r="F902" s="125"/>
      <c r="M902" s="162"/>
      <c r="R902" s="267"/>
      <c r="S902" s="260"/>
      <c r="AA902" s="66"/>
      <c r="AF902" s="162"/>
      <c r="AN902" s="66"/>
      <c r="AO902" s="132"/>
      <c r="AP902" s="132"/>
    </row>
    <row r="903" spans="6:42" x14ac:dyDescent="0.2">
      <c r="F903" s="125"/>
      <c r="M903" s="162"/>
      <c r="R903" s="267"/>
      <c r="S903" s="260"/>
      <c r="AA903" s="66"/>
      <c r="AF903" s="162"/>
      <c r="AN903" s="66"/>
      <c r="AO903" s="132"/>
      <c r="AP903" s="132"/>
    </row>
    <row r="904" spans="6:42" x14ac:dyDescent="0.2">
      <c r="F904" s="125"/>
      <c r="M904" s="162"/>
      <c r="R904" s="267"/>
      <c r="S904" s="260"/>
      <c r="AA904" s="66"/>
      <c r="AF904" s="162"/>
      <c r="AN904" s="66"/>
      <c r="AO904" s="132"/>
      <c r="AP904" s="132"/>
    </row>
    <row r="905" spans="6:42" x14ac:dyDescent="0.2">
      <c r="F905" s="125"/>
      <c r="M905" s="162"/>
      <c r="R905" s="267"/>
      <c r="S905" s="260"/>
      <c r="AA905" s="66"/>
      <c r="AF905" s="162"/>
      <c r="AN905" s="66"/>
      <c r="AO905" s="132"/>
      <c r="AP905" s="132"/>
    </row>
    <row r="906" spans="6:42" x14ac:dyDescent="0.2">
      <c r="F906" s="125"/>
      <c r="M906" s="162"/>
      <c r="R906" s="267"/>
      <c r="S906" s="260"/>
      <c r="AA906" s="66"/>
      <c r="AF906" s="162"/>
      <c r="AN906" s="66"/>
      <c r="AO906" s="132"/>
      <c r="AP906" s="132"/>
    </row>
    <row r="907" spans="6:42" x14ac:dyDescent="0.2">
      <c r="F907" s="125"/>
      <c r="M907" s="162"/>
      <c r="R907" s="267"/>
      <c r="S907" s="260"/>
      <c r="AA907" s="66"/>
      <c r="AF907" s="162"/>
      <c r="AN907" s="66"/>
      <c r="AO907" s="132"/>
      <c r="AP907" s="132"/>
    </row>
    <row r="908" spans="6:42" x14ac:dyDescent="0.2">
      <c r="F908" s="125"/>
      <c r="M908" s="162"/>
      <c r="R908" s="267"/>
      <c r="S908" s="260"/>
      <c r="AA908" s="66"/>
      <c r="AF908" s="162"/>
      <c r="AN908" s="66"/>
      <c r="AO908" s="132"/>
      <c r="AP908" s="132"/>
    </row>
    <row r="909" spans="6:42" x14ac:dyDescent="0.2">
      <c r="F909" s="125"/>
      <c r="M909" s="162"/>
      <c r="R909" s="267"/>
      <c r="S909" s="260"/>
      <c r="AA909" s="66"/>
      <c r="AF909" s="162"/>
      <c r="AN909" s="66"/>
      <c r="AO909" s="132"/>
      <c r="AP909" s="132"/>
    </row>
    <row r="910" spans="6:42" x14ac:dyDescent="0.2">
      <c r="F910" s="125"/>
      <c r="M910" s="162"/>
      <c r="R910" s="267"/>
      <c r="S910" s="260"/>
      <c r="AA910" s="66"/>
      <c r="AF910" s="162"/>
      <c r="AN910" s="66"/>
      <c r="AO910" s="132"/>
      <c r="AP910" s="132"/>
    </row>
    <row r="911" spans="6:42" x14ac:dyDescent="0.2">
      <c r="F911" s="125"/>
      <c r="M911" s="162"/>
      <c r="R911" s="267"/>
      <c r="S911" s="260"/>
      <c r="AA911" s="66"/>
      <c r="AF911" s="162"/>
      <c r="AN911" s="66"/>
      <c r="AO911" s="132"/>
      <c r="AP911" s="132"/>
    </row>
    <row r="912" spans="6:42" x14ac:dyDescent="0.2">
      <c r="F912" s="125"/>
      <c r="M912" s="162"/>
      <c r="R912" s="267"/>
      <c r="S912" s="260"/>
      <c r="AA912" s="66"/>
      <c r="AF912" s="162"/>
      <c r="AN912" s="66"/>
      <c r="AO912" s="132"/>
      <c r="AP912" s="132"/>
    </row>
    <row r="913" spans="6:42" x14ac:dyDescent="0.2">
      <c r="F913" s="125"/>
      <c r="M913" s="162"/>
      <c r="R913" s="267"/>
      <c r="S913" s="260"/>
      <c r="AA913" s="66"/>
      <c r="AF913" s="162"/>
      <c r="AN913" s="66"/>
      <c r="AO913" s="132"/>
      <c r="AP913" s="132"/>
    </row>
    <row r="914" spans="6:42" x14ac:dyDescent="0.2">
      <c r="F914" s="125"/>
      <c r="M914" s="162"/>
      <c r="R914" s="267"/>
      <c r="S914" s="260"/>
      <c r="AA914" s="66"/>
      <c r="AF914" s="162"/>
      <c r="AN914" s="66"/>
      <c r="AO914" s="132"/>
      <c r="AP914" s="132"/>
    </row>
    <row r="915" spans="6:42" x14ac:dyDescent="0.2">
      <c r="F915" s="125"/>
      <c r="M915" s="162"/>
      <c r="R915" s="267"/>
      <c r="S915" s="260"/>
      <c r="AA915" s="66"/>
      <c r="AF915" s="162"/>
      <c r="AN915" s="66"/>
      <c r="AO915" s="132"/>
      <c r="AP915" s="132"/>
    </row>
    <row r="916" spans="6:42" x14ac:dyDescent="0.2">
      <c r="F916" s="125"/>
      <c r="M916" s="162"/>
      <c r="R916" s="267"/>
      <c r="S916" s="260"/>
      <c r="AA916" s="66"/>
      <c r="AF916" s="162"/>
      <c r="AN916" s="66"/>
      <c r="AO916" s="132"/>
      <c r="AP916" s="132"/>
    </row>
    <row r="917" spans="6:42" x14ac:dyDescent="0.2">
      <c r="F917" s="125"/>
      <c r="M917" s="162"/>
      <c r="R917" s="267"/>
      <c r="S917" s="260"/>
      <c r="AA917" s="66"/>
      <c r="AF917" s="162"/>
      <c r="AN917" s="66"/>
      <c r="AO917" s="132"/>
      <c r="AP917" s="132"/>
    </row>
    <row r="918" spans="6:42" x14ac:dyDescent="0.2">
      <c r="F918" s="125"/>
      <c r="M918" s="162"/>
      <c r="R918" s="267"/>
      <c r="S918" s="260"/>
      <c r="AA918" s="66"/>
      <c r="AF918" s="162"/>
      <c r="AN918" s="66"/>
      <c r="AO918" s="132"/>
      <c r="AP918" s="132"/>
    </row>
    <row r="919" spans="6:42" x14ac:dyDescent="0.2">
      <c r="F919" s="125"/>
      <c r="M919" s="162"/>
      <c r="R919" s="267"/>
      <c r="S919" s="260"/>
      <c r="AA919" s="66"/>
      <c r="AF919" s="162"/>
      <c r="AN919" s="66"/>
      <c r="AO919" s="132"/>
      <c r="AP919" s="132"/>
    </row>
    <row r="920" spans="6:42" x14ac:dyDescent="0.2">
      <c r="F920" s="125"/>
      <c r="M920" s="162"/>
      <c r="R920" s="267"/>
      <c r="S920" s="260"/>
      <c r="AA920" s="66"/>
      <c r="AF920" s="162"/>
      <c r="AN920" s="66"/>
      <c r="AO920" s="132"/>
      <c r="AP920" s="132"/>
    </row>
    <row r="921" spans="6:42" x14ac:dyDescent="0.2">
      <c r="F921" s="125"/>
      <c r="M921" s="162"/>
      <c r="R921" s="267"/>
      <c r="S921" s="260"/>
      <c r="AA921" s="66"/>
      <c r="AF921" s="162"/>
      <c r="AN921" s="66"/>
      <c r="AO921" s="132"/>
      <c r="AP921" s="132"/>
    </row>
    <row r="922" spans="6:42" x14ac:dyDescent="0.2">
      <c r="F922" s="125"/>
      <c r="M922" s="162"/>
      <c r="R922" s="267"/>
      <c r="S922" s="260"/>
      <c r="AA922" s="66"/>
      <c r="AF922" s="162"/>
      <c r="AN922" s="66"/>
      <c r="AO922" s="132"/>
      <c r="AP922" s="132"/>
    </row>
    <row r="923" spans="6:42" x14ac:dyDescent="0.2">
      <c r="F923" s="125"/>
      <c r="M923" s="162"/>
      <c r="R923" s="267"/>
      <c r="S923" s="260"/>
      <c r="AA923" s="66"/>
      <c r="AF923" s="162"/>
      <c r="AN923" s="66"/>
      <c r="AO923" s="132"/>
      <c r="AP923" s="132"/>
    </row>
    <row r="924" spans="6:42" x14ac:dyDescent="0.2">
      <c r="F924" s="125"/>
      <c r="M924" s="162"/>
      <c r="R924" s="267"/>
      <c r="S924" s="260"/>
      <c r="AA924" s="66"/>
      <c r="AF924" s="162"/>
      <c r="AN924" s="66"/>
      <c r="AO924" s="132"/>
      <c r="AP924" s="132"/>
    </row>
    <row r="925" spans="6:42" x14ac:dyDescent="0.2">
      <c r="F925" s="125"/>
      <c r="M925" s="162"/>
      <c r="R925" s="267"/>
      <c r="S925" s="260"/>
      <c r="AA925" s="66"/>
      <c r="AF925" s="162"/>
      <c r="AN925" s="66"/>
      <c r="AO925" s="132"/>
      <c r="AP925" s="132"/>
    </row>
    <row r="926" spans="6:42" x14ac:dyDescent="0.2">
      <c r="F926" s="125"/>
      <c r="M926" s="162"/>
      <c r="R926" s="267"/>
      <c r="S926" s="260"/>
      <c r="AA926" s="66"/>
      <c r="AF926" s="162"/>
      <c r="AN926" s="66"/>
      <c r="AO926" s="132"/>
      <c r="AP926" s="132"/>
    </row>
    <row r="927" spans="6:42" x14ac:dyDescent="0.2">
      <c r="F927" s="125"/>
      <c r="M927" s="162"/>
      <c r="R927" s="267"/>
      <c r="S927" s="260"/>
      <c r="AA927" s="66"/>
      <c r="AF927" s="162"/>
      <c r="AN927" s="66"/>
      <c r="AO927" s="132"/>
      <c r="AP927" s="132"/>
    </row>
    <row r="928" spans="6:42" x14ac:dyDescent="0.2">
      <c r="F928" s="125"/>
      <c r="M928" s="162"/>
      <c r="R928" s="267"/>
      <c r="S928" s="260"/>
      <c r="AA928" s="66"/>
      <c r="AF928" s="162"/>
      <c r="AN928" s="66"/>
      <c r="AO928" s="132"/>
      <c r="AP928" s="132"/>
    </row>
    <row r="929" spans="6:42" x14ac:dyDescent="0.2">
      <c r="F929" s="125"/>
      <c r="M929" s="162"/>
      <c r="R929" s="267"/>
      <c r="S929" s="260"/>
      <c r="AA929" s="66"/>
      <c r="AF929" s="162"/>
      <c r="AN929" s="66"/>
      <c r="AO929" s="132"/>
      <c r="AP929" s="132"/>
    </row>
    <row r="930" spans="6:42" x14ac:dyDescent="0.2">
      <c r="F930" s="125"/>
      <c r="M930" s="162"/>
      <c r="R930" s="267"/>
      <c r="S930" s="260"/>
      <c r="AA930" s="66"/>
      <c r="AF930" s="162"/>
      <c r="AN930" s="66"/>
      <c r="AO930" s="132"/>
      <c r="AP930" s="132"/>
    </row>
    <row r="931" spans="6:42" x14ac:dyDescent="0.2">
      <c r="F931" s="125"/>
      <c r="M931" s="162"/>
      <c r="R931" s="267"/>
      <c r="S931" s="260"/>
      <c r="AA931" s="66"/>
      <c r="AF931" s="162"/>
      <c r="AN931" s="66"/>
      <c r="AO931" s="132"/>
      <c r="AP931" s="132"/>
    </row>
    <row r="932" spans="6:42" x14ac:dyDescent="0.2">
      <c r="F932" s="125"/>
      <c r="M932" s="162"/>
      <c r="R932" s="267"/>
      <c r="S932" s="260"/>
      <c r="AA932" s="66"/>
      <c r="AF932" s="162"/>
      <c r="AN932" s="66"/>
      <c r="AO932" s="132"/>
      <c r="AP932" s="132"/>
    </row>
    <row r="933" spans="6:42" x14ac:dyDescent="0.2">
      <c r="F933" s="125"/>
      <c r="M933" s="162"/>
      <c r="R933" s="267"/>
      <c r="S933" s="260"/>
      <c r="AA933" s="66"/>
      <c r="AF933" s="162"/>
      <c r="AN933" s="66"/>
      <c r="AO933" s="132"/>
      <c r="AP933" s="132"/>
    </row>
    <row r="934" spans="6:42" x14ac:dyDescent="0.2">
      <c r="F934" s="125"/>
      <c r="M934" s="162"/>
      <c r="R934" s="267"/>
      <c r="S934" s="260"/>
      <c r="AA934" s="66"/>
      <c r="AF934" s="162"/>
      <c r="AN934" s="66"/>
      <c r="AO934" s="132"/>
      <c r="AP934" s="132"/>
    </row>
    <row r="935" spans="6:42" x14ac:dyDescent="0.2">
      <c r="F935" s="125"/>
      <c r="M935" s="162"/>
      <c r="R935" s="267"/>
      <c r="S935" s="260"/>
      <c r="AA935" s="66"/>
      <c r="AF935" s="162"/>
      <c r="AN935" s="66"/>
      <c r="AO935" s="132"/>
      <c r="AP935" s="132"/>
    </row>
    <row r="936" spans="6:42" x14ac:dyDescent="0.2">
      <c r="F936" s="125"/>
      <c r="M936" s="162"/>
      <c r="R936" s="267"/>
      <c r="S936" s="260"/>
      <c r="AA936" s="66"/>
      <c r="AF936" s="162"/>
      <c r="AN936" s="66"/>
      <c r="AO936" s="132"/>
      <c r="AP936" s="132"/>
    </row>
    <row r="937" spans="6:42" x14ac:dyDescent="0.2">
      <c r="F937" s="125"/>
      <c r="M937" s="162"/>
      <c r="R937" s="267"/>
      <c r="S937" s="260"/>
      <c r="AA937" s="66"/>
      <c r="AF937" s="162"/>
      <c r="AN937" s="66"/>
      <c r="AO937" s="132"/>
      <c r="AP937" s="132"/>
    </row>
    <row r="938" spans="6:42" x14ac:dyDescent="0.2">
      <c r="F938" s="125"/>
      <c r="M938" s="162"/>
      <c r="R938" s="267"/>
      <c r="S938" s="260"/>
      <c r="AA938" s="66"/>
      <c r="AF938" s="162"/>
      <c r="AN938" s="66"/>
      <c r="AO938" s="132"/>
      <c r="AP938" s="132"/>
    </row>
    <row r="939" spans="6:42" x14ac:dyDescent="0.2">
      <c r="F939" s="125"/>
      <c r="M939" s="162"/>
      <c r="R939" s="267"/>
      <c r="S939" s="260"/>
      <c r="AA939" s="66"/>
      <c r="AF939" s="162"/>
      <c r="AN939" s="66"/>
      <c r="AO939" s="132"/>
      <c r="AP939" s="132"/>
    </row>
    <row r="940" spans="6:42" x14ac:dyDescent="0.2">
      <c r="F940" s="125"/>
      <c r="M940" s="162"/>
      <c r="R940" s="267"/>
      <c r="S940" s="260"/>
      <c r="AA940" s="66"/>
      <c r="AF940" s="162"/>
      <c r="AN940" s="66"/>
      <c r="AO940" s="132"/>
      <c r="AP940" s="132"/>
    </row>
    <row r="941" spans="6:42" x14ac:dyDescent="0.2">
      <c r="F941" s="125"/>
      <c r="M941" s="162"/>
      <c r="R941" s="267"/>
      <c r="S941" s="260"/>
      <c r="AA941" s="66"/>
      <c r="AF941" s="162"/>
      <c r="AN941" s="66"/>
      <c r="AO941" s="132"/>
      <c r="AP941" s="132"/>
    </row>
    <row r="942" spans="6:42" x14ac:dyDescent="0.2">
      <c r="F942" s="125"/>
      <c r="M942" s="162"/>
      <c r="R942" s="267"/>
      <c r="S942" s="260"/>
      <c r="AA942" s="66"/>
      <c r="AF942" s="162"/>
      <c r="AN942" s="66"/>
      <c r="AO942" s="132"/>
      <c r="AP942" s="132"/>
    </row>
    <row r="943" spans="6:42" x14ac:dyDescent="0.2">
      <c r="F943" s="125"/>
      <c r="M943" s="162"/>
      <c r="R943" s="267"/>
      <c r="S943" s="260"/>
      <c r="AA943" s="66"/>
      <c r="AF943" s="162"/>
      <c r="AN943" s="66"/>
      <c r="AO943" s="132"/>
      <c r="AP943" s="132"/>
    </row>
    <row r="944" spans="6:42" x14ac:dyDescent="0.2">
      <c r="F944" s="125"/>
      <c r="M944" s="162"/>
      <c r="R944" s="267"/>
      <c r="S944" s="260"/>
      <c r="AA944" s="66"/>
      <c r="AF944" s="162"/>
      <c r="AN944" s="66"/>
      <c r="AO944" s="132"/>
      <c r="AP944" s="132"/>
    </row>
    <row r="945" spans="6:42" x14ac:dyDescent="0.2">
      <c r="F945" s="125"/>
      <c r="M945" s="162"/>
      <c r="R945" s="267"/>
      <c r="S945" s="260"/>
      <c r="AA945" s="66"/>
      <c r="AF945" s="162"/>
      <c r="AN945" s="66"/>
      <c r="AO945" s="132"/>
      <c r="AP945" s="132"/>
    </row>
    <row r="946" spans="6:42" x14ac:dyDescent="0.2">
      <c r="F946" s="125"/>
      <c r="M946" s="162"/>
      <c r="R946" s="267"/>
      <c r="S946" s="260"/>
      <c r="AA946" s="66"/>
      <c r="AF946" s="162"/>
      <c r="AN946" s="66"/>
      <c r="AO946" s="132"/>
      <c r="AP946" s="132"/>
    </row>
    <row r="947" spans="6:42" x14ac:dyDescent="0.2">
      <c r="F947" s="125"/>
      <c r="M947" s="162"/>
      <c r="R947" s="267"/>
      <c r="S947" s="260"/>
      <c r="AA947" s="66"/>
      <c r="AF947" s="162"/>
      <c r="AN947" s="66"/>
      <c r="AO947" s="132"/>
      <c r="AP947" s="132"/>
    </row>
    <row r="948" spans="6:42" x14ac:dyDescent="0.2">
      <c r="F948" s="125"/>
      <c r="M948" s="162"/>
      <c r="R948" s="267"/>
      <c r="S948" s="260"/>
      <c r="AA948" s="66"/>
      <c r="AF948" s="162"/>
      <c r="AN948" s="66"/>
      <c r="AO948" s="132"/>
      <c r="AP948" s="132"/>
    </row>
    <row r="949" spans="6:42" x14ac:dyDescent="0.2">
      <c r="F949" s="125"/>
      <c r="M949" s="162"/>
      <c r="R949" s="267"/>
      <c r="S949" s="260"/>
      <c r="AA949" s="66"/>
      <c r="AF949" s="162"/>
      <c r="AN949" s="66"/>
      <c r="AO949" s="132"/>
      <c r="AP949" s="132"/>
    </row>
    <row r="950" spans="6:42" x14ac:dyDescent="0.2">
      <c r="F950" s="125"/>
      <c r="M950" s="162"/>
      <c r="R950" s="267"/>
      <c r="S950" s="260"/>
      <c r="AA950" s="66"/>
      <c r="AF950" s="162"/>
      <c r="AN950" s="66"/>
      <c r="AO950" s="132"/>
      <c r="AP950" s="132"/>
    </row>
    <row r="951" spans="6:42" x14ac:dyDescent="0.2">
      <c r="F951" s="125"/>
      <c r="M951" s="162"/>
      <c r="R951" s="267"/>
      <c r="S951" s="260"/>
      <c r="AA951" s="66"/>
      <c r="AF951" s="162"/>
      <c r="AN951" s="66"/>
      <c r="AO951" s="132"/>
      <c r="AP951" s="132"/>
    </row>
    <row r="952" spans="6:42" x14ac:dyDescent="0.2">
      <c r="F952" s="125"/>
      <c r="M952" s="162"/>
      <c r="R952" s="267"/>
      <c r="S952" s="260"/>
      <c r="AA952" s="66"/>
      <c r="AF952" s="162"/>
      <c r="AN952" s="66"/>
      <c r="AO952" s="132"/>
      <c r="AP952" s="132"/>
    </row>
    <row r="953" spans="6:42" x14ac:dyDescent="0.2">
      <c r="F953" s="125"/>
      <c r="M953" s="162"/>
      <c r="R953" s="267"/>
      <c r="S953" s="260"/>
      <c r="AA953" s="66"/>
      <c r="AF953" s="162"/>
      <c r="AN953" s="66"/>
      <c r="AO953" s="132"/>
      <c r="AP953" s="132"/>
    </row>
    <row r="954" spans="6:42" x14ac:dyDescent="0.2">
      <c r="F954" s="125"/>
      <c r="M954" s="162"/>
      <c r="R954" s="267"/>
      <c r="S954" s="260"/>
      <c r="AA954" s="66"/>
      <c r="AF954" s="162"/>
      <c r="AN954" s="66"/>
      <c r="AO954" s="132"/>
      <c r="AP954" s="132"/>
    </row>
    <row r="955" spans="6:42" x14ac:dyDescent="0.2">
      <c r="F955" s="125"/>
      <c r="M955" s="162"/>
      <c r="R955" s="267"/>
      <c r="S955" s="260"/>
      <c r="AA955" s="66"/>
      <c r="AF955" s="162"/>
      <c r="AN955" s="66"/>
      <c r="AO955" s="132"/>
      <c r="AP955" s="132"/>
    </row>
    <row r="956" spans="6:42" x14ac:dyDescent="0.2">
      <c r="F956" s="125"/>
      <c r="M956" s="162"/>
      <c r="R956" s="267"/>
      <c r="S956" s="260"/>
      <c r="AA956" s="66"/>
      <c r="AF956" s="162"/>
      <c r="AN956" s="66"/>
      <c r="AO956" s="132"/>
      <c r="AP956" s="132"/>
    </row>
    <row r="957" spans="6:42" x14ac:dyDescent="0.2">
      <c r="F957" s="125"/>
      <c r="M957" s="162"/>
      <c r="R957" s="267"/>
      <c r="S957" s="260"/>
      <c r="AA957" s="66"/>
      <c r="AF957" s="162"/>
      <c r="AN957" s="66"/>
      <c r="AO957" s="132"/>
      <c r="AP957" s="132"/>
    </row>
    <row r="958" spans="6:42" x14ac:dyDescent="0.2">
      <c r="F958" s="125"/>
      <c r="M958" s="162"/>
      <c r="R958" s="267"/>
      <c r="S958" s="260"/>
      <c r="AA958" s="66"/>
      <c r="AF958" s="162"/>
      <c r="AN958" s="66"/>
      <c r="AO958" s="132"/>
      <c r="AP958" s="132"/>
    </row>
    <row r="959" spans="6:42" x14ac:dyDescent="0.2">
      <c r="F959" s="125"/>
      <c r="M959" s="162"/>
      <c r="R959" s="267"/>
      <c r="S959" s="260"/>
      <c r="AA959" s="66"/>
      <c r="AF959" s="162"/>
      <c r="AN959" s="66"/>
      <c r="AO959" s="132"/>
      <c r="AP959" s="132"/>
    </row>
    <row r="960" spans="6:42" x14ac:dyDescent="0.2">
      <c r="F960" s="125"/>
      <c r="M960" s="162"/>
      <c r="R960" s="267"/>
      <c r="S960" s="260"/>
      <c r="AA960" s="66"/>
      <c r="AF960" s="162"/>
      <c r="AN960" s="66"/>
      <c r="AO960" s="132"/>
      <c r="AP960" s="132"/>
    </row>
    <row r="961" spans="6:42" x14ac:dyDescent="0.2">
      <c r="F961" s="125"/>
      <c r="M961" s="162"/>
      <c r="R961" s="267"/>
      <c r="S961" s="260"/>
      <c r="AA961" s="66"/>
      <c r="AF961" s="162"/>
      <c r="AN961" s="66"/>
      <c r="AO961" s="132"/>
      <c r="AP961" s="132"/>
    </row>
    <row r="962" spans="6:42" x14ac:dyDescent="0.2">
      <c r="F962" s="125"/>
      <c r="M962" s="162"/>
      <c r="R962" s="267"/>
      <c r="S962" s="260"/>
      <c r="AA962" s="66"/>
      <c r="AF962" s="162"/>
      <c r="AN962" s="66"/>
      <c r="AO962" s="132"/>
      <c r="AP962" s="132"/>
    </row>
    <row r="963" spans="6:42" x14ac:dyDescent="0.2">
      <c r="F963" s="125"/>
      <c r="M963" s="162"/>
      <c r="R963" s="267"/>
      <c r="S963" s="260"/>
      <c r="AA963" s="66"/>
      <c r="AF963" s="162"/>
      <c r="AN963" s="66"/>
      <c r="AO963" s="132"/>
      <c r="AP963" s="132"/>
    </row>
    <row r="964" spans="6:42" x14ac:dyDescent="0.2">
      <c r="F964" s="125"/>
      <c r="M964" s="162"/>
      <c r="R964" s="267"/>
      <c r="S964" s="260"/>
      <c r="AA964" s="66"/>
      <c r="AF964" s="162"/>
      <c r="AN964" s="66"/>
      <c r="AO964" s="132"/>
      <c r="AP964" s="132"/>
    </row>
    <row r="965" spans="6:42" x14ac:dyDescent="0.2">
      <c r="F965" s="125"/>
      <c r="M965" s="162"/>
      <c r="R965" s="267"/>
      <c r="S965" s="260"/>
      <c r="AA965" s="66"/>
      <c r="AF965" s="162"/>
      <c r="AN965" s="66"/>
      <c r="AO965" s="132"/>
      <c r="AP965" s="132"/>
    </row>
    <row r="966" spans="6:42" x14ac:dyDescent="0.2">
      <c r="F966" s="125"/>
      <c r="M966" s="162"/>
      <c r="R966" s="267"/>
      <c r="S966" s="260"/>
      <c r="AA966" s="66"/>
      <c r="AF966" s="162"/>
      <c r="AN966" s="66"/>
      <c r="AO966" s="132"/>
      <c r="AP966" s="132"/>
    </row>
    <row r="967" spans="6:42" x14ac:dyDescent="0.2">
      <c r="F967" s="125"/>
      <c r="M967" s="162"/>
      <c r="R967" s="267"/>
      <c r="S967" s="260"/>
      <c r="AA967" s="66"/>
      <c r="AF967" s="162"/>
      <c r="AN967" s="66"/>
      <c r="AO967" s="132"/>
      <c r="AP967" s="132"/>
    </row>
    <row r="968" spans="6:42" x14ac:dyDescent="0.2">
      <c r="F968" s="125"/>
      <c r="M968" s="162"/>
      <c r="R968" s="267"/>
      <c r="S968" s="260"/>
      <c r="AA968" s="66"/>
      <c r="AF968" s="162"/>
      <c r="AN968" s="66"/>
      <c r="AO968" s="132"/>
      <c r="AP968" s="132"/>
    </row>
    <row r="969" spans="6:42" x14ac:dyDescent="0.2">
      <c r="F969" s="125"/>
      <c r="M969" s="162"/>
      <c r="R969" s="267"/>
      <c r="S969" s="260"/>
      <c r="AA969" s="66"/>
      <c r="AF969" s="162"/>
      <c r="AN969" s="66"/>
      <c r="AO969" s="132"/>
      <c r="AP969" s="132"/>
    </row>
    <row r="970" spans="6:42" x14ac:dyDescent="0.2">
      <c r="F970" s="125"/>
      <c r="M970" s="162"/>
      <c r="R970" s="267"/>
      <c r="S970" s="260"/>
      <c r="AA970" s="66"/>
      <c r="AF970" s="162"/>
      <c r="AN970" s="66"/>
      <c r="AO970" s="132"/>
      <c r="AP970" s="132"/>
    </row>
    <row r="971" spans="6:42" x14ac:dyDescent="0.2">
      <c r="F971" s="125"/>
      <c r="M971" s="162"/>
      <c r="R971" s="267"/>
      <c r="S971" s="260"/>
      <c r="AA971" s="66"/>
      <c r="AF971" s="162"/>
      <c r="AN971" s="66"/>
      <c r="AO971" s="132"/>
      <c r="AP971" s="132"/>
    </row>
    <row r="972" spans="6:42" x14ac:dyDescent="0.2">
      <c r="F972" s="125"/>
      <c r="M972" s="162"/>
      <c r="R972" s="267"/>
      <c r="S972" s="260"/>
      <c r="AA972" s="66"/>
      <c r="AF972" s="162"/>
      <c r="AN972" s="66"/>
      <c r="AO972" s="132"/>
      <c r="AP972" s="132"/>
    </row>
    <row r="973" spans="6:42" x14ac:dyDescent="0.2">
      <c r="F973" s="125"/>
      <c r="M973" s="162"/>
      <c r="R973" s="267"/>
      <c r="S973" s="260"/>
      <c r="AA973" s="66"/>
      <c r="AF973" s="162"/>
      <c r="AN973" s="66"/>
      <c r="AO973" s="132"/>
      <c r="AP973" s="132"/>
    </row>
    <row r="974" spans="6:42" x14ac:dyDescent="0.2">
      <c r="F974" s="125"/>
      <c r="M974" s="162"/>
      <c r="R974" s="267"/>
      <c r="S974" s="260"/>
      <c r="AA974" s="66"/>
      <c r="AF974" s="162"/>
      <c r="AN974" s="66"/>
      <c r="AO974" s="132"/>
      <c r="AP974" s="132"/>
    </row>
    <row r="975" spans="6:42" x14ac:dyDescent="0.2">
      <c r="F975" s="125"/>
      <c r="M975" s="162"/>
      <c r="R975" s="267"/>
      <c r="S975" s="260"/>
      <c r="AA975" s="66"/>
      <c r="AF975" s="162"/>
      <c r="AN975" s="66"/>
      <c r="AO975" s="132"/>
      <c r="AP975" s="132"/>
    </row>
    <row r="976" spans="6:42" x14ac:dyDescent="0.2">
      <c r="F976" s="125"/>
      <c r="M976" s="162"/>
      <c r="R976" s="267"/>
      <c r="S976" s="260"/>
      <c r="AA976" s="66"/>
      <c r="AF976" s="162"/>
      <c r="AN976" s="66"/>
      <c r="AO976" s="132"/>
      <c r="AP976" s="132"/>
    </row>
    <row r="977" spans="6:42" x14ac:dyDescent="0.2">
      <c r="F977" s="125"/>
      <c r="M977" s="162"/>
      <c r="R977" s="267"/>
      <c r="S977" s="260"/>
      <c r="AA977" s="66"/>
      <c r="AF977" s="162"/>
      <c r="AN977" s="66"/>
      <c r="AO977" s="132"/>
      <c r="AP977" s="132"/>
    </row>
    <row r="978" spans="6:42" x14ac:dyDescent="0.2">
      <c r="F978" s="125"/>
      <c r="M978" s="162"/>
      <c r="R978" s="267"/>
      <c r="S978" s="260"/>
      <c r="AA978" s="66"/>
      <c r="AF978" s="162"/>
      <c r="AN978" s="66"/>
      <c r="AO978" s="132"/>
      <c r="AP978" s="132"/>
    </row>
    <row r="979" spans="6:42" x14ac:dyDescent="0.2">
      <c r="F979" s="125"/>
      <c r="M979" s="162"/>
      <c r="R979" s="267"/>
      <c r="S979" s="260"/>
      <c r="AA979" s="66"/>
      <c r="AF979" s="162"/>
      <c r="AN979" s="66"/>
      <c r="AO979" s="132"/>
      <c r="AP979" s="132"/>
    </row>
    <row r="980" spans="6:42" x14ac:dyDescent="0.2">
      <c r="F980" s="125"/>
      <c r="M980" s="162"/>
      <c r="R980" s="267"/>
      <c r="S980" s="260"/>
      <c r="AA980" s="66"/>
      <c r="AF980" s="162"/>
      <c r="AN980" s="66"/>
      <c r="AO980" s="132"/>
      <c r="AP980" s="132"/>
    </row>
    <row r="981" spans="6:42" x14ac:dyDescent="0.2">
      <c r="F981" s="125"/>
      <c r="M981" s="162"/>
      <c r="R981" s="267"/>
      <c r="S981" s="260"/>
      <c r="AA981" s="66"/>
      <c r="AF981" s="162"/>
      <c r="AN981" s="66"/>
      <c r="AO981" s="132"/>
      <c r="AP981" s="132"/>
    </row>
    <row r="982" spans="6:42" x14ac:dyDescent="0.2">
      <c r="F982" s="125"/>
      <c r="M982" s="162"/>
      <c r="R982" s="267"/>
      <c r="S982" s="260"/>
      <c r="AA982" s="66"/>
      <c r="AF982" s="162"/>
      <c r="AN982" s="66"/>
      <c r="AO982" s="132"/>
      <c r="AP982" s="132"/>
    </row>
    <row r="983" spans="6:42" x14ac:dyDescent="0.2">
      <c r="F983" s="125"/>
      <c r="M983" s="162"/>
      <c r="R983" s="267"/>
      <c r="S983" s="260"/>
      <c r="AA983" s="66"/>
      <c r="AF983" s="162"/>
      <c r="AN983" s="66"/>
      <c r="AO983" s="132"/>
      <c r="AP983" s="132"/>
    </row>
    <row r="984" spans="6:42" x14ac:dyDescent="0.2">
      <c r="F984" s="125"/>
      <c r="M984" s="162"/>
      <c r="R984" s="267"/>
      <c r="S984" s="260"/>
      <c r="AA984" s="66"/>
      <c r="AF984" s="162"/>
      <c r="AN984" s="66"/>
      <c r="AO984" s="132"/>
      <c r="AP984" s="132"/>
    </row>
    <row r="985" spans="6:42" x14ac:dyDescent="0.2">
      <c r="F985" s="125"/>
      <c r="M985" s="162"/>
      <c r="R985" s="267"/>
      <c r="S985" s="260"/>
      <c r="AA985" s="66"/>
      <c r="AF985" s="162"/>
      <c r="AN985" s="66"/>
      <c r="AO985" s="132"/>
      <c r="AP985" s="132"/>
    </row>
    <row r="986" spans="6:42" x14ac:dyDescent="0.2">
      <c r="F986" s="125"/>
      <c r="M986" s="162"/>
      <c r="R986" s="267"/>
      <c r="S986" s="260"/>
      <c r="AA986" s="66"/>
      <c r="AF986" s="162"/>
      <c r="AN986" s="66"/>
      <c r="AO986" s="132"/>
      <c r="AP986" s="132"/>
    </row>
    <row r="987" spans="6:42" x14ac:dyDescent="0.2">
      <c r="F987" s="125"/>
      <c r="M987" s="162"/>
      <c r="R987" s="267"/>
      <c r="S987" s="260"/>
      <c r="AA987" s="66"/>
      <c r="AF987" s="162"/>
      <c r="AN987" s="66"/>
      <c r="AO987" s="132"/>
      <c r="AP987" s="132"/>
    </row>
    <row r="988" spans="6:42" x14ac:dyDescent="0.2">
      <c r="F988" s="125"/>
      <c r="M988" s="162"/>
      <c r="R988" s="267"/>
      <c r="S988" s="260"/>
      <c r="AA988" s="66"/>
      <c r="AF988" s="162"/>
      <c r="AN988" s="66"/>
      <c r="AO988" s="132"/>
      <c r="AP988" s="132"/>
    </row>
    <row r="989" spans="6:42" x14ac:dyDescent="0.2">
      <c r="F989" s="125"/>
      <c r="M989" s="162"/>
      <c r="R989" s="267"/>
      <c r="S989" s="260"/>
      <c r="AA989" s="66"/>
      <c r="AF989" s="162"/>
      <c r="AN989" s="66"/>
      <c r="AO989" s="132"/>
      <c r="AP989" s="132"/>
    </row>
    <row r="990" spans="6:42" x14ac:dyDescent="0.2">
      <c r="F990" s="125"/>
      <c r="M990" s="162"/>
      <c r="R990" s="267"/>
      <c r="S990" s="260"/>
      <c r="AA990" s="66"/>
      <c r="AF990" s="162"/>
      <c r="AN990" s="66"/>
      <c r="AO990" s="132"/>
      <c r="AP990" s="132"/>
    </row>
    <row r="991" spans="6:42" x14ac:dyDescent="0.2">
      <c r="F991" s="125"/>
      <c r="M991" s="162"/>
      <c r="R991" s="267"/>
      <c r="S991" s="260"/>
      <c r="AA991" s="66"/>
      <c r="AF991" s="162"/>
      <c r="AN991" s="66"/>
      <c r="AO991" s="132"/>
      <c r="AP991" s="132"/>
    </row>
    <row r="992" spans="6:42" x14ac:dyDescent="0.2">
      <c r="F992" s="125"/>
      <c r="M992" s="162"/>
      <c r="R992" s="267"/>
      <c r="S992" s="260"/>
      <c r="AA992" s="66"/>
      <c r="AF992" s="162"/>
      <c r="AN992" s="66"/>
      <c r="AO992" s="132"/>
      <c r="AP992" s="132"/>
    </row>
    <row r="993" spans="6:42" x14ac:dyDescent="0.2">
      <c r="F993" s="125"/>
      <c r="M993" s="162"/>
      <c r="R993" s="267"/>
      <c r="S993" s="260"/>
      <c r="AA993" s="66"/>
      <c r="AF993" s="162"/>
      <c r="AN993" s="66"/>
      <c r="AO993" s="132"/>
      <c r="AP993" s="132"/>
    </row>
    <row r="994" spans="6:42" x14ac:dyDescent="0.2">
      <c r="F994" s="125"/>
      <c r="M994" s="162"/>
      <c r="R994" s="267"/>
      <c r="S994" s="260"/>
      <c r="AA994" s="66"/>
      <c r="AF994" s="162"/>
      <c r="AN994" s="66"/>
      <c r="AO994" s="132"/>
      <c r="AP994" s="132"/>
    </row>
    <row r="995" spans="6:42" x14ac:dyDescent="0.2">
      <c r="F995" s="125"/>
      <c r="M995" s="162"/>
      <c r="R995" s="267"/>
      <c r="S995" s="260"/>
      <c r="AA995" s="66"/>
      <c r="AF995" s="162"/>
      <c r="AN995" s="66"/>
      <c r="AO995" s="132"/>
      <c r="AP995" s="132"/>
    </row>
    <row r="996" spans="6:42" x14ac:dyDescent="0.2">
      <c r="F996" s="125"/>
      <c r="M996" s="162"/>
      <c r="R996" s="267"/>
      <c r="S996" s="260"/>
      <c r="AA996" s="66"/>
      <c r="AF996" s="162"/>
      <c r="AN996" s="66"/>
      <c r="AO996" s="132"/>
      <c r="AP996" s="132"/>
    </row>
    <row r="997" spans="6:42" x14ac:dyDescent="0.2">
      <c r="F997" s="125"/>
      <c r="M997" s="162"/>
      <c r="R997" s="267"/>
      <c r="S997" s="260"/>
      <c r="AA997" s="66"/>
      <c r="AF997" s="162"/>
      <c r="AN997" s="66"/>
      <c r="AO997" s="132"/>
      <c r="AP997" s="132"/>
    </row>
    <row r="998" spans="6:42" x14ac:dyDescent="0.2">
      <c r="F998" s="125"/>
      <c r="M998" s="162"/>
      <c r="R998" s="267"/>
      <c r="S998" s="260"/>
      <c r="AA998" s="66"/>
      <c r="AF998" s="162"/>
      <c r="AN998" s="66"/>
      <c r="AO998" s="132"/>
      <c r="AP998" s="132"/>
    </row>
    <row r="999" spans="6:42" x14ac:dyDescent="0.2">
      <c r="F999" s="125"/>
      <c r="M999" s="162"/>
      <c r="R999" s="267"/>
      <c r="S999" s="260"/>
      <c r="AA999" s="66"/>
      <c r="AF999" s="162"/>
      <c r="AN999" s="66"/>
      <c r="AO999" s="132"/>
      <c r="AP999" s="132"/>
    </row>
    <row r="1000" spans="6:42" x14ac:dyDescent="0.2">
      <c r="F1000" s="125"/>
      <c r="M1000" s="162"/>
      <c r="R1000" s="267"/>
      <c r="S1000" s="260"/>
      <c r="AA1000" s="66"/>
      <c r="AF1000" s="162"/>
      <c r="AN1000" s="66"/>
      <c r="AO1000" s="132"/>
      <c r="AP1000" s="132"/>
    </row>
    <row r="1001" spans="6:42" x14ac:dyDescent="0.2">
      <c r="F1001" s="125"/>
      <c r="M1001" s="162"/>
      <c r="R1001" s="267"/>
      <c r="S1001" s="260"/>
      <c r="AA1001" s="66"/>
      <c r="AF1001" s="162"/>
      <c r="AN1001" s="66"/>
      <c r="AO1001" s="132"/>
      <c r="AP1001" s="132"/>
    </row>
    <row r="1002" spans="6:42" x14ac:dyDescent="0.2">
      <c r="F1002" s="125"/>
      <c r="M1002" s="162"/>
      <c r="R1002" s="267"/>
      <c r="S1002" s="260"/>
      <c r="AA1002" s="66"/>
      <c r="AF1002" s="162"/>
      <c r="AN1002" s="66"/>
      <c r="AO1002" s="132"/>
      <c r="AP1002" s="132"/>
    </row>
    <row r="1003" spans="6:42" x14ac:dyDescent="0.2">
      <c r="F1003" s="125"/>
      <c r="M1003" s="162"/>
      <c r="R1003" s="267"/>
      <c r="S1003" s="260"/>
      <c r="AA1003" s="66"/>
      <c r="AF1003" s="162"/>
      <c r="AN1003" s="66"/>
      <c r="AO1003" s="132"/>
      <c r="AP1003" s="132"/>
    </row>
    <row r="1004" spans="6:42" x14ac:dyDescent="0.2">
      <c r="F1004" s="125"/>
      <c r="M1004" s="162"/>
      <c r="R1004" s="267"/>
      <c r="S1004" s="260"/>
      <c r="AA1004" s="66"/>
      <c r="AF1004" s="162"/>
      <c r="AN1004" s="66"/>
      <c r="AO1004" s="132"/>
      <c r="AP1004" s="132"/>
    </row>
    <row r="1005" spans="6:42" x14ac:dyDescent="0.2">
      <c r="F1005" s="125"/>
      <c r="M1005" s="162"/>
      <c r="R1005" s="267"/>
      <c r="S1005" s="260"/>
      <c r="AA1005" s="66"/>
      <c r="AF1005" s="162"/>
      <c r="AN1005" s="66"/>
      <c r="AO1005" s="132"/>
      <c r="AP1005" s="132"/>
    </row>
    <row r="1006" spans="6:42" x14ac:dyDescent="0.2">
      <c r="F1006" s="125"/>
      <c r="M1006" s="162"/>
      <c r="R1006" s="267"/>
      <c r="S1006" s="260"/>
      <c r="AA1006" s="66"/>
      <c r="AF1006" s="162"/>
      <c r="AN1006" s="66"/>
      <c r="AO1006" s="132"/>
      <c r="AP1006" s="132"/>
    </row>
    <row r="1007" spans="6:42" x14ac:dyDescent="0.2">
      <c r="F1007" s="125"/>
      <c r="M1007" s="162"/>
      <c r="R1007" s="267"/>
      <c r="S1007" s="260"/>
      <c r="AA1007" s="66"/>
      <c r="AF1007" s="162"/>
      <c r="AN1007" s="66"/>
      <c r="AO1007" s="132"/>
      <c r="AP1007" s="132"/>
    </row>
    <row r="1008" spans="6:42" x14ac:dyDescent="0.2">
      <c r="F1008" s="125"/>
      <c r="M1008" s="162"/>
      <c r="R1008" s="267"/>
      <c r="S1008" s="260"/>
      <c r="AA1008" s="66"/>
      <c r="AF1008" s="162"/>
      <c r="AN1008" s="66"/>
      <c r="AO1008" s="132"/>
      <c r="AP1008" s="132"/>
    </row>
    <row r="1009" spans="6:42" x14ac:dyDescent="0.2">
      <c r="F1009" s="125"/>
      <c r="M1009" s="162"/>
      <c r="R1009" s="267"/>
      <c r="S1009" s="260"/>
      <c r="AA1009" s="66"/>
      <c r="AF1009" s="162"/>
      <c r="AN1009" s="66"/>
      <c r="AO1009" s="132"/>
      <c r="AP1009" s="132"/>
    </row>
    <row r="1010" spans="6:42" x14ac:dyDescent="0.2">
      <c r="F1010" s="125"/>
      <c r="M1010" s="162"/>
      <c r="R1010" s="267"/>
      <c r="S1010" s="260"/>
      <c r="AA1010" s="66"/>
      <c r="AF1010" s="162"/>
      <c r="AN1010" s="66"/>
      <c r="AO1010" s="132"/>
      <c r="AP1010" s="132"/>
    </row>
    <row r="1011" spans="6:42" x14ac:dyDescent="0.2">
      <c r="F1011" s="125"/>
      <c r="M1011" s="162"/>
      <c r="R1011" s="267"/>
      <c r="S1011" s="260"/>
      <c r="AA1011" s="66"/>
      <c r="AF1011" s="162"/>
      <c r="AN1011" s="66"/>
      <c r="AO1011" s="132"/>
      <c r="AP1011" s="132"/>
    </row>
    <row r="1012" spans="6:42" x14ac:dyDescent="0.2">
      <c r="F1012" s="125"/>
      <c r="M1012" s="162"/>
      <c r="R1012" s="267"/>
      <c r="S1012" s="260"/>
      <c r="AA1012" s="66"/>
      <c r="AF1012" s="162"/>
      <c r="AN1012" s="66"/>
      <c r="AO1012" s="132"/>
      <c r="AP1012" s="132"/>
    </row>
    <row r="1013" spans="6:42" x14ac:dyDescent="0.2">
      <c r="F1013" s="125"/>
      <c r="M1013" s="162"/>
      <c r="R1013" s="267"/>
      <c r="S1013" s="260"/>
      <c r="AA1013" s="66"/>
      <c r="AF1013" s="162"/>
      <c r="AN1013" s="66"/>
      <c r="AO1013" s="132"/>
      <c r="AP1013" s="132"/>
    </row>
    <row r="1014" spans="6:42" x14ac:dyDescent="0.2">
      <c r="F1014" s="125"/>
      <c r="M1014" s="162"/>
      <c r="R1014" s="267"/>
      <c r="S1014" s="260"/>
      <c r="AA1014" s="66"/>
      <c r="AF1014" s="162"/>
      <c r="AN1014" s="66"/>
      <c r="AO1014" s="132"/>
      <c r="AP1014" s="132"/>
    </row>
    <row r="1015" spans="6:42" x14ac:dyDescent="0.2">
      <c r="F1015" s="125"/>
      <c r="M1015" s="162"/>
      <c r="R1015" s="267"/>
      <c r="S1015" s="260"/>
      <c r="AA1015" s="66"/>
      <c r="AF1015" s="162"/>
      <c r="AN1015" s="66"/>
      <c r="AO1015" s="132"/>
      <c r="AP1015" s="132"/>
    </row>
    <row r="1016" spans="6:42" x14ac:dyDescent="0.2">
      <c r="F1016" s="125"/>
      <c r="M1016" s="162"/>
      <c r="R1016" s="267"/>
      <c r="S1016" s="260"/>
      <c r="AA1016" s="66"/>
      <c r="AF1016" s="162"/>
      <c r="AN1016" s="66"/>
      <c r="AO1016" s="132"/>
      <c r="AP1016" s="132"/>
    </row>
    <row r="1017" spans="6:42" x14ac:dyDescent="0.2">
      <c r="F1017" s="125"/>
      <c r="M1017" s="162"/>
      <c r="R1017" s="267"/>
      <c r="S1017" s="260"/>
      <c r="AA1017" s="66"/>
      <c r="AF1017" s="162"/>
      <c r="AN1017" s="66"/>
      <c r="AO1017" s="132"/>
      <c r="AP1017" s="132"/>
    </row>
    <row r="1018" spans="6:42" x14ac:dyDescent="0.2">
      <c r="F1018" s="125"/>
      <c r="M1018" s="162"/>
      <c r="R1018" s="267"/>
      <c r="S1018" s="260"/>
      <c r="AA1018" s="66"/>
      <c r="AF1018" s="162"/>
      <c r="AN1018" s="66"/>
      <c r="AO1018" s="132"/>
      <c r="AP1018" s="132"/>
    </row>
    <row r="1019" spans="6:42" x14ac:dyDescent="0.2">
      <c r="F1019" s="125"/>
      <c r="M1019" s="162"/>
      <c r="R1019" s="267"/>
      <c r="S1019" s="260"/>
      <c r="AA1019" s="66"/>
      <c r="AF1019" s="162"/>
      <c r="AN1019" s="66"/>
      <c r="AO1019" s="132"/>
      <c r="AP1019" s="132"/>
    </row>
    <row r="1020" spans="6:42" x14ac:dyDescent="0.2">
      <c r="F1020" s="125"/>
      <c r="M1020" s="162"/>
      <c r="R1020" s="267"/>
      <c r="S1020" s="260"/>
      <c r="AA1020" s="66"/>
      <c r="AF1020" s="162"/>
      <c r="AN1020" s="66"/>
      <c r="AO1020" s="132"/>
      <c r="AP1020" s="132"/>
    </row>
    <row r="1021" spans="6:42" x14ac:dyDescent="0.2">
      <c r="F1021" s="125"/>
      <c r="M1021" s="162"/>
      <c r="R1021" s="267"/>
      <c r="S1021" s="260"/>
      <c r="AA1021" s="66"/>
      <c r="AF1021" s="162"/>
      <c r="AN1021" s="66"/>
      <c r="AO1021" s="132"/>
      <c r="AP1021" s="132"/>
    </row>
    <row r="1022" spans="6:42" x14ac:dyDescent="0.2">
      <c r="F1022" s="125"/>
      <c r="M1022" s="162"/>
      <c r="R1022" s="267"/>
      <c r="S1022" s="260"/>
      <c r="AA1022" s="66"/>
      <c r="AF1022" s="162"/>
      <c r="AN1022" s="66"/>
      <c r="AO1022" s="132"/>
      <c r="AP1022" s="132"/>
    </row>
    <row r="1023" spans="6:42" x14ac:dyDescent="0.2">
      <c r="F1023" s="125"/>
      <c r="M1023" s="162"/>
      <c r="R1023" s="267"/>
      <c r="S1023" s="260"/>
      <c r="AA1023" s="66"/>
      <c r="AF1023" s="162"/>
      <c r="AN1023" s="66"/>
      <c r="AO1023" s="132"/>
      <c r="AP1023" s="132"/>
    </row>
    <row r="1024" spans="6:42" x14ac:dyDescent="0.2">
      <c r="F1024" s="125"/>
      <c r="M1024" s="162"/>
      <c r="R1024" s="267"/>
      <c r="S1024" s="260"/>
      <c r="AA1024" s="66"/>
      <c r="AF1024" s="162"/>
      <c r="AN1024" s="66"/>
      <c r="AO1024" s="132"/>
      <c r="AP1024" s="132"/>
    </row>
    <row r="1025" spans="6:42" x14ac:dyDescent="0.2">
      <c r="F1025" s="125"/>
      <c r="M1025" s="162"/>
      <c r="R1025" s="267"/>
      <c r="S1025" s="260"/>
      <c r="AA1025" s="66"/>
      <c r="AF1025" s="162"/>
      <c r="AN1025" s="66"/>
      <c r="AO1025" s="132"/>
      <c r="AP1025" s="132"/>
    </row>
    <row r="1026" spans="6:42" x14ac:dyDescent="0.2">
      <c r="F1026" s="125"/>
      <c r="M1026" s="162"/>
      <c r="R1026" s="267"/>
      <c r="S1026" s="260"/>
      <c r="AA1026" s="66"/>
      <c r="AF1026" s="162"/>
      <c r="AN1026" s="66"/>
      <c r="AO1026" s="132"/>
      <c r="AP1026" s="132"/>
    </row>
    <row r="1027" spans="6:42" x14ac:dyDescent="0.2">
      <c r="F1027" s="125"/>
      <c r="M1027" s="162"/>
      <c r="R1027" s="267"/>
      <c r="S1027" s="260"/>
      <c r="AA1027" s="66"/>
      <c r="AF1027" s="162"/>
      <c r="AN1027" s="66"/>
      <c r="AO1027" s="132"/>
      <c r="AP1027" s="132"/>
    </row>
    <row r="1028" spans="6:42" x14ac:dyDescent="0.2">
      <c r="F1028" s="125"/>
      <c r="M1028" s="162"/>
      <c r="R1028" s="267"/>
      <c r="S1028" s="260"/>
      <c r="AA1028" s="66"/>
      <c r="AF1028" s="162"/>
      <c r="AN1028" s="66"/>
      <c r="AO1028" s="132"/>
      <c r="AP1028" s="132"/>
    </row>
    <row r="1029" spans="6:42" x14ac:dyDescent="0.2">
      <c r="F1029" s="125"/>
      <c r="M1029" s="162"/>
      <c r="R1029" s="267"/>
      <c r="S1029" s="260"/>
      <c r="AA1029" s="66"/>
      <c r="AF1029" s="162"/>
      <c r="AN1029" s="66"/>
      <c r="AO1029" s="132"/>
      <c r="AP1029" s="132"/>
    </row>
    <row r="1030" spans="6:42" x14ac:dyDescent="0.2">
      <c r="F1030" s="125"/>
      <c r="M1030" s="162"/>
      <c r="R1030" s="267"/>
      <c r="S1030" s="260"/>
      <c r="AA1030" s="66"/>
      <c r="AF1030" s="162"/>
      <c r="AN1030" s="66"/>
      <c r="AO1030" s="132"/>
      <c r="AP1030" s="132"/>
    </row>
    <row r="1031" spans="6:42" x14ac:dyDescent="0.2">
      <c r="F1031" s="125"/>
      <c r="M1031" s="162"/>
      <c r="R1031" s="267"/>
      <c r="S1031" s="260"/>
      <c r="AA1031" s="66"/>
      <c r="AF1031" s="162"/>
      <c r="AN1031" s="66"/>
      <c r="AO1031" s="132"/>
      <c r="AP1031" s="132"/>
    </row>
    <row r="1032" spans="6:42" x14ac:dyDescent="0.2">
      <c r="F1032" s="125"/>
      <c r="M1032" s="162"/>
      <c r="R1032" s="267"/>
      <c r="S1032" s="260"/>
      <c r="AA1032" s="66"/>
      <c r="AF1032" s="162"/>
      <c r="AN1032" s="66"/>
      <c r="AO1032" s="132"/>
      <c r="AP1032" s="132"/>
    </row>
    <row r="1033" spans="6:42" x14ac:dyDescent="0.2">
      <c r="F1033" s="125"/>
      <c r="M1033" s="162"/>
      <c r="R1033" s="267"/>
      <c r="S1033" s="260"/>
      <c r="AA1033" s="66"/>
      <c r="AF1033" s="162"/>
      <c r="AN1033" s="66"/>
      <c r="AO1033" s="132"/>
      <c r="AP1033" s="132"/>
    </row>
    <row r="1034" spans="6:42" x14ac:dyDescent="0.2">
      <c r="F1034" s="125"/>
      <c r="M1034" s="162"/>
      <c r="R1034" s="267"/>
      <c r="S1034" s="260"/>
      <c r="AA1034" s="66"/>
      <c r="AF1034" s="162"/>
      <c r="AN1034" s="66"/>
      <c r="AO1034" s="132"/>
      <c r="AP1034" s="132"/>
    </row>
    <row r="1035" spans="6:42" x14ac:dyDescent="0.2">
      <c r="F1035" s="125"/>
      <c r="M1035" s="162"/>
      <c r="R1035" s="267"/>
      <c r="S1035" s="260"/>
      <c r="AA1035" s="66"/>
      <c r="AF1035" s="162"/>
      <c r="AN1035" s="66"/>
      <c r="AO1035" s="132"/>
      <c r="AP1035" s="132"/>
    </row>
    <row r="1036" spans="6:42" x14ac:dyDescent="0.2">
      <c r="F1036" s="125"/>
      <c r="M1036" s="162"/>
      <c r="R1036" s="267"/>
      <c r="S1036" s="260"/>
      <c r="AA1036" s="66"/>
      <c r="AF1036" s="162"/>
      <c r="AN1036" s="66"/>
      <c r="AO1036" s="132"/>
      <c r="AP1036" s="132"/>
    </row>
    <row r="1037" spans="6:42" x14ac:dyDescent="0.2">
      <c r="F1037" s="125"/>
      <c r="M1037" s="162"/>
      <c r="R1037" s="267"/>
      <c r="S1037" s="260"/>
      <c r="AA1037" s="66"/>
      <c r="AF1037" s="162"/>
      <c r="AN1037" s="66"/>
      <c r="AO1037" s="132"/>
      <c r="AP1037" s="132"/>
    </row>
    <row r="1038" spans="6:42" x14ac:dyDescent="0.2">
      <c r="F1038" s="125"/>
      <c r="M1038" s="162"/>
      <c r="R1038" s="267"/>
      <c r="S1038" s="260"/>
      <c r="AA1038" s="66"/>
      <c r="AF1038" s="162"/>
      <c r="AN1038" s="66"/>
      <c r="AO1038" s="132"/>
      <c r="AP1038" s="132"/>
    </row>
    <row r="1039" spans="6:42" x14ac:dyDescent="0.2">
      <c r="F1039" s="125"/>
      <c r="M1039" s="162"/>
      <c r="R1039" s="267"/>
      <c r="S1039" s="260"/>
      <c r="AA1039" s="66"/>
      <c r="AF1039" s="162"/>
      <c r="AN1039" s="66"/>
      <c r="AO1039" s="132"/>
      <c r="AP1039" s="132"/>
    </row>
    <row r="1040" spans="6:42" x14ac:dyDescent="0.2">
      <c r="F1040" s="125"/>
      <c r="M1040" s="162"/>
      <c r="R1040" s="267"/>
      <c r="S1040" s="260"/>
      <c r="AA1040" s="66"/>
      <c r="AF1040" s="162"/>
      <c r="AN1040" s="66"/>
      <c r="AO1040" s="132"/>
      <c r="AP1040" s="132"/>
    </row>
    <row r="1041" spans="6:42" x14ac:dyDescent="0.2">
      <c r="F1041" s="125"/>
      <c r="M1041" s="162"/>
      <c r="R1041" s="267"/>
      <c r="S1041" s="260"/>
      <c r="AA1041" s="66"/>
      <c r="AF1041" s="162"/>
      <c r="AN1041" s="66"/>
      <c r="AO1041" s="132"/>
      <c r="AP1041" s="132"/>
    </row>
    <row r="1042" spans="6:42" x14ac:dyDescent="0.2">
      <c r="F1042" s="125"/>
      <c r="M1042" s="162"/>
      <c r="R1042" s="267"/>
      <c r="S1042" s="260"/>
      <c r="AA1042" s="66"/>
      <c r="AF1042" s="162"/>
      <c r="AN1042" s="66"/>
      <c r="AO1042" s="132"/>
      <c r="AP1042" s="132"/>
    </row>
    <row r="1043" spans="6:42" x14ac:dyDescent="0.2">
      <c r="F1043" s="125"/>
      <c r="M1043" s="162"/>
      <c r="R1043" s="267"/>
      <c r="S1043" s="260"/>
      <c r="AA1043" s="66"/>
      <c r="AF1043" s="162"/>
      <c r="AN1043" s="66"/>
      <c r="AO1043" s="132"/>
      <c r="AP1043" s="132"/>
    </row>
    <row r="1044" spans="6:42" x14ac:dyDescent="0.2">
      <c r="F1044" s="125"/>
      <c r="M1044" s="162"/>
      <c r="R1044" s="267"/>
      <c r="S1044" s="260"/>
      <c r="AA1044" s="66"/>
      <c r="AF1044" s="162"/>
      <c r="AN1044" s="66"/>
      <c r="AO1044" s="132"/>
      <c r="AP1044" s="132"/>
    </row>
    <row r="1045" spans="6:42" x14ac:dyDescent="0.2">
      <c r="F1045" s="125"/>
      <c r="M1045" s="162"/>
      <c r="R1045" s="267"/>
      <c r="S1045" s="260"/>
      <c r="AA1045" s="66"/>
      <c r="AF1045" s="162"/>
      <c r="AN1045" s="66"/>
      <c r="AO1045" s="132"/>
      <c r="AP1045" s="132"/>
    </row>
    <row r="1046" spans="6:42" x14ac:dyDescent="0.2">
      <c r="F1046" s="125"/>
      <c r="M1046" s="162"/>
      <c r="R1046" s="267"/>
      <c r="S1046" s="260"/>
      <c r="AA1046" s="66"/>
      <c r="AF1046" s="162"/>
      <c r="AN1046" s="66"/>
      <c r="AO1046" s="132"/>
      <c r="AP1046" s="132"/>
    </row>
    <row r="1047" spans="6:42" x14ac:dyDescent="0.2">
      <c r="F1047" s="125"/>
      <c r="M1047" s="162"/>
      <c r="R1047" s="267"/>
      <c r="S1047" s="260"/>
      <c r="AA1047" s="66"/>
      <c r="AF1047" s="162"/>
      <c r="AN1047" s="66"/>
      <c r="AO1047" s="132"/>
      <c r="AP1047" s="132"/>
    </row>
    <row r="1048" spans="6:42" x14ac:dyDescent="0.2">
      <c r="F1048" s="125"/>
      <c r="M1048" s="162"/>
      <c r="R1048" s="267"/>
      <c r="S1048" s="260"/>
      <c r="AA1048" s="66"/>
      <c r="AF1048" s="162"/>
      <c r="AN1048" s="66"/>
      <c r="AO1048" s="132"/>
      <c r="AP1048" s="132"/>
    </row>
    <row r="1049" spans="6:42" x14ac:dyDescent="0.2">
      <c r="F1049" s="125"/>
      <c r="M1049" s="162"/>
      <c r="R1049" s="267"/>
      <c r="S1049" s="260"/>
      <c r="AA1049" s="66"/>
      <c r="AF1049" s="162"/>
      <c r="AN1049" s="66"/>
      <c r="AO1049" s="132"/>
      <c r="AP1049" s="132"/>
    </row>
    <row r="1050" spans="6:42" x14ac:dyDescent="0.2">
      <c r="F1050" s="125"/>
      <c r="M1050" s="162"/>
      <c r="R1050" s="267"/>
      <c r="S1050" s="260"/>
      <c r="AA1050" s="66"/>
      <c r="AF1050" s="162"/>
      <c r="AN1050" s="66"/>
      <c r="AO1050" s="132"/>
      <c r="AP1050" s="132"/>
    </row>
    <row r="1051" spans="6:42" x14ac:dyDescent="0.2">
      <c r="F1051" s="125"/>
      <c r="M1051" s="162"/>
      <c r="R1051" s="267"/>
      <c r="S1051" s="260"/>
      <c r="AA1051" s="66"/>
      <c r="AF1051" s="162"/>
      <c r="AN1051" s="66"/>
      <c r="AO1051" s="132"/>
      <c r="AP1051" s="132"/>
    </row>
    <row r="1052" spans="6:42" x14ac:dyDescent="0.2">
      <c r="F1052" s="125"/>
      <c r="M1052" s="162"/>
      <c r="R1052" s="267"/>
      <c r="S1052" s="260"/>
      <c r="AA1052" s="66"/>
      <c r="AF1052" s="162"/>
      <c r="AN1052" s="66"/>
      <c r="AO1052" s="132"/>
      <c r="AP1052" s="132"/>
    </row>
    <row r="1053" spans="6:42" x14ac:dyDescent="0.2">
      <c r="F1053" s="125"/>
      <c r="M1053" s="162"/>
      <c r="R1053" s="267"/>
      <c r="S1053" s="260"/>
      <c r="AA1053" s="66"/>
      <c r="AF1053" s="162"/>
      <c r="AN1053" s="66"/>
      <c r="AO1053" s="132"/>
      <c r="AP1053" s="132"/>
    </row>
    <row r="1054" spans="6:42" x14ac:dyDescent="0.2">
      <c r="F1054" s="125"/>
      <c r="M1054" s="162"/>
      <c r="R1054" s="267"/>
      <c r="S1054" s="260"/>
      <c r="AA1054" s="66"/>
      <c r="AF1054" s="162"/>
      <c r="AN1054" s="66"/>
      <c r="AO1054" s="132"/>
      <c r="AP1054" s="132"/>
    </row>
    <row r="1055" spans="6:42" x14ac:dyDescent="0.2">
      <c r="F1055" s="125"/>
      <c r="M1055" s="162"/>
      <c r="R1055" s="267"/>
      <c r="S1055" s="260"/>
      <c r="AA1055" s="66"/>
      <c r="AF1055" s="162"/>
      <c r="AN1055" s="66"/>
      <c r="AO1055" s="132"/>
      <c r="AP1055" s="132"/>
    </row>
    <row r="1056" spans="6:42" x14ac:dyDescent="0.2">
      <c r="F1056" s="125"/>
      <c r="M1056" s="162"/>
      <c r="R1056" s="267"/>
      <c r="S1056" s="260"/>
      <c r="AA1056" s="66"/>
      <c r="AF1056" s="162"/>
      <c r="AN1056" s="66"/>
      <c r="AO1056" s="132"/>
      <c r="AP1056" s="132"/>
    </row>
    <row r="1057" spans="6:42" x14ac:dyDescent="0.2">
      <c r="F1057" s="125"/>
      <c r="M1057" s="162"/>
      <c r="R1057" s="267"/>
      <c r="S1057" s="260"/>
      <c r="AA1057" s="66"/>
      <c r="AF1057" s="162"/>
      <c r="AN1057" s="66"/>
      <c r="AO1057" s="132"/>
      <c r="AP1057" s="132"/>
    </row>
    <row r="1058" spans="6:42" x14ac:dyDescent="0.2">
      <c r="F1058" s="125"/>
      <c r="M1058" s="162"/>
      <c r="R1058" s="267"/>
      <c r="S1058" s="260"/>
      <c r="AA1058" s="66"/>
      <c r="AF1058" s="162"/>
      <c r="AN1058" s="66"/>
      <c r="AO1058" s="132"/>
      <c r="AP1058" s="132"/>
    </row>
    <row r="1059" spans="6:42" x14ac:dyDescent="0.2">
      <c r="F1059" s="125"/>
      <c r="M1059" s="162"/>
      <c r="R1059" s="267"/>
      <c r="S1059" s="260"/>
      <c r="AA1059" s="66"/>
      <c r="AF1059" s="162"/>
      <c r="AN1059" s="66"/>
      <c r="AO1059" s="132"/>
      <c r="AP1059" s="132"/>
    </row>
    <row r="1060" spans="6:42" x14ac:dyDescent="0.2">
      <c r="F1060" s="125"/>
      <c r="M1060" s="162"/>
      <c r="R1060" s="267"/>
      <c r="S1060" s="260"/>
      <c r="AA1060" s="66"/>
      <c r="AF1060" s="162"/>
      <c r="AN1060" s="66"/>
      <c r="AO1060" s="132"/>
      <c r="AP1060" s="132"/>
    </row>
    <row r="1061" spans="6:42" x14ac:dyDescent="0.2">
      <c r="F1061" s="125"/>
      <c r="M1061" s="162"/>
      <c r="R1061" s="267"/>
      <c r="S1061" s="260"/>
      <c r="AA1061" s="66"/>
      <c r="AF1061" s="162"/>
      <c r="AN1061" s="66"/>
      <c r="AO1061" s="132"/>
      <c r="AP1061" s="132"/>
    </row>
    <row r="1062" spans="6:42" x14ac:dyDescent="0.2">
      <c r="F1062" s="125"/>
      <c r="M1062" s="162"/>
      <c r="R1062" s="267"/>
      <c r="S1062" s="260"/>
      <c r="AA1062" s="66"/>
      <c r="AF1062" s="162"/>
      <c r="AN1062" s="66"/>
      <c r="AO1062" s="132"/>
      <c r="AP1062" s="132"/>
    </row>
    <row r="1063" spans="6:42" x14ac:dyDescent="0.2">
      <c r="F1063" s="125"/>
      <c r="M1063" s="162"/>
      <c r="R1063" s="267"/>
      <c r="S1063" s="260"/>
      <c r="AA1063" s="66"/>
      <c r="AF1063" s="162"/>
      <c r="AN1063" s="66"/>
      <c r="AO1063" s="132"/>
      <c r="AP1063" s="132"/>
    </row>
    <row r="1064" spans="6:42" x14ac:dyDescent="0.2">
      <c r="F1064" s="125"/>
      <c r="M1064" s="162"/>
      <c r="R1064" s="267"/>
      <c r="S1064" s="260"/>
      <c r="AA1064" s="66"/>
      <c r="AF1064" s="162"/>
      <c r="AN1064" s="66"/>
      <c r="AO1064" s="132"/>
      <c r="AP1064" s="132"/>
    </row>
    <row r="1065" spans="6:42" x14ac:dyDescent="0.2">
      <c r="F1065" s="125"/>
      <c r="M1065" s="162"/>
      <c r="R1065" s="267"/>
      <c r="S1065" s="260"/>
      <c r="AA1065" s="66"/>
      <c r="AF1065" s="162"/>
      <c r="AN1065" s="66"/>
      <c r="AO1065" s="132"/>
      <c r="AP1065" s="132"/>
    </row>
    <row r="1066" spans="6:42" x14ac:dyDescent="0.2">
      <c r="F1066" s="125"/>
      <c r="M1066" s="162"/>
      <c r="R1066" s="267"/>
      <c r="S1066" s="260"/>
      <c r="AA1066" s="66"/>
      <c r="AF1066" s="162"/>
      <c r="AN1066" s="66"/>
      <c r="AO1066" s="132"/>
      <c r="AP1066" s="132"/>
    </row>
    <row r="1067" spans="6:42" x14ac:dyDescent="0.2">
      <c r="F1067" s="125"/>
      <c r="M1067" s="162"/>
      <c r="R1067" s="267"/>
      <c r="S1067" s="260"/>
      <c r="AA1067" s="66"/>
      <c r="AF1067" s="162"/>
      <c r="AN1067" s="66"/>
      <c r="AO1067" s="132"/>
      <c r="AP1067" s="132"/>
    </row>
    <row r="1068" spans="6:42" x14ac:dyDescent="0.2">
      <c r="F1068" s="125"/>
      <c r="M1068" s="162"/>
      <c r="R1068" s="267"/>
      <c r="S1068" s="260"/>
      <c r="AA1068" s="66"/>
      <c r="AF1068" s="162"/>
      <c r="AN1068" s="66"/>
      <c r="AO1068" s="132"/>
      <c r="AP1068" s="132"/>
    </row>
    <row r="1069" spans="6:42" x14ac:dyDescent="0.2">
      <c r="F1069" s="125"/>
      <c r="M1069" s="162"/>
      <c r="R1069" s="267"/>
      <c r="S1069" s="260"/>
      <c r="AA1069" s="66"/>
      <c r="AF1069" s="162"/>
      <c r="AN1069" s="66"/>
      <c r="AO1069" s="132"/>
      <c r="AP1069" s="132"/>
    </row>
    <row r="1070" spans="6:42" x14ac:dyDescent="0.2">
      <c r="F1070" s="125"/>
      <c r="M1070" s="162"/>
      <c r="R1070" s="267"/>
      <c r="S1070" s="260"/>
      <c r="AA1070" s="66"/>
      <c r="AF1070" s="162"/>
      <c r="AN1070" s="66"/>
      <c r="AO1070" s="132"/>
      <c r="AP1070" s="132"/>
    </row>
    <row r="1071" spans="6:42" x14ac:dyDescent="0.2">
      <c r="F1071" s="125"/>
      <c r="M1071" s="162"/>
      <c r="R1071" s="267"/>
      <c r="S1071" s="260"/>
      <c r="AA1071" s="66"/>
      <c r="AF1071" s="162"/>
      <c r="AN1071" s="66"/>
      <c r="AO1071" s="132"/>
      <c r="AP1071" s="132"/>
    </row>
    <row r="1072" spans="6:42" x14ac:dyDescent="0.2">
      <c r="F1072" s="125"/>
      <c r="M1072" s="162"/>
      <c r="R1072" s="267"/>
      <c r="S1072" s="260"/>
      <c r="AA1072" s="66"/>
      <c r="AF1072" s="162"/>
      <c r="AN1072" s="66"/>
      <c r="AO1072" s="132"/>
      <c r="AP1072" s="132"/>
    </row>
    <row r="1073" spans="6:42" x14ac:dyDescent="0.2">
      <c r="F1073" s="125"/>
      <c r="M1073" s="162"/>
      <c r="R1073" s="267"/>
      <c r="S1073" s="260"/>
      <c r="AA1073" s="66"/>
      <c r="AF1073" s="162"/>
      <c r="AN1073" s="66"/>
      <c r="AO1073" s="132"/>
      <c r="AP1073" s="132"/>
    </row>
    <row r="1074" spans="6:42" x14ac:dyDescent="0.2">
      <c r="F1074" s="125"/>
      <c r="M1074" s="162"/>
      <c r="R1074" s="267"/>
      <c r="S1074" s="260"/>
      <c r="AA1074" s="66"/>
      <c r="AF1074" s="162"/>
      <c r="AN1074" s="66"/>
      <c r="AO1074" s="132"/>
      <c r="AP1074" s="132"/>
    </row>
    <row r="1075" spans="6:42" x14ac:dyDescent="0.2">
      <c r="F1075" s="125"/>
      <c r="M1075" s="162"/>
      <c r="R1075" s="267"/>
      <c r="S1075" s="260"/>
      <c r="AA1075" s="66"/>
      <c r="AF1075" s="162"/>
      <c r="AN1075" s="66"/>
      <c r="AO1075" s="132"/>
      <c r="AP1075" s="132"/>
    </row>
    <row r="1076" spans="6:42" x14ac:dyDescent="0.2">
      <c r="F1076" s="125"/>
      <c r="M1076" s="162"/>
      <c r="R1076" s="267"/>
      <c r="S1076" s="260"/>
      <c r="AA1076" s="66"/>
      <c r="AF1076" s="162"/>
      <c r="AN1076" s="66"/>
      <c r="AO1076" s="132"/>
      <c r="AP1076" s="132"/>
    </row>
    <row r="1077" spans="6:42" x14ac:dyDescent="0.2">
      <c r="F1077" s="125"/>
      <c r="M1077" s="162"/>
      <c r="R1077" s="267"/>
      <c r="S1077" s="260"/>
      <c r="AA1077" s="66"/>
      <c r="AF1077" s="162"/>
      <c r="AN1077" s="66"/>
      <c r="AO1077" s="132"/>
      <c r="AP1077" s="132"/>
    </row>
    <row r="1078" spans="6:42" x14ac:dyDescent="0.2">
      <c r="F1078" s="125"/>
      <c r="M1078" s="162"/>
      <c r="R1078" s="267"/>
      <c r="S1078" s="260"/>
      <c r="AA1078" s="66"/>
      <c r="AF1078" s="162"/>
      <c r="AN1078" s="66"/>
      <c r="AO1078" s="132"/>
      <c r="AP1078" s="132"/>
    </row>
    <row r="1079" spans="6:42" x14ac:dyDescent="0.2">
      <c r="F1079" s="125"/>
      <c r="M1079" s="162"/>
      <c r="R1079" s="267"/>
      <c r="S1079" s="260"/>
      <c r="AA1079" s="66"/>
      <c r="AF1079" s="162"/>
      <c r="AN1079" s="66"/>
      <c r="AO1079" s="132"/>
      <c r="AP1079" s="132"/>
    </row>
    <row r="1080" spans="6:42" x14ac:dyDescent="0.2">
      <c r="F1080" s="125"/>
      <c r="M1080" s="162"/>
      <c r="R1080" s="267"/>
      <c r="S1080" s="260"/>
      <c r="AA1080" s="66"/>
      <c r="AF1080" s="162"/>
      <c r="AN1080" s="66"/>
      <c r="AO1080" s="132"/>
      <c r="AP1080" s="132"/>
    </row>
    <row r="1081" spans="6:42" x14ac:dyDescent="0.2">
      <c r="F1081" s="125"/>
      <c r="M1081" s="162"/>
      <c r="R1081" s="267"/>
      <c r="S1081" s="260"/>
      <c r="AA1081" s="66"/>
      <c r="AF1081" s="162"/>
      <c r="AN1081" s="66"/>
      <c r="AO1081" s="132"/>
      <c r="AP1081" s="132"/>
    </row>
    <row r="1082" spans="6:42" x14ac:dyDescent="0.2">
      <c r="F1082" s="125"/>
      <c r="M1082" s="162"/>
      <c r="R1082" s="267"/>
      <c r="S1082" s="260"/>
      <c r="AA1082" s="66"/>
      <c r="AF1082" s="162"/>
      <c r="AN1082" s="66"/>
      <c r="AO1082" s="132"/>
      <c r="AP1082" s="132"/>
    </row>
    <row r="1083" spans="6:42" x14ac:dyDescent="0.2">
      <c r="F1083" s="125"/>
      <c r="M1083" s="162"/>
      <c r="R1083" s="267"/>
      <c r="S1083" s="260"/>
      <c r="AA1083" s="66"/>
      <c r="AF1083" s="162"/>
      <c r="AN1083" s="66"/>
      <c r="AO1083" s="132"/>
      <c r="AP1083" s="132"/>
    </row>
    <row r="1084" spans="6:42" x14ac:dyDescent="0.2">
      <c r="F1084" s="125"/>
      <c r="M1084" s="162"/>
      <c r="R1084" s="267"/>
      <c r="S1084" s="260"/>
      <c r="AA1084" s="66"/>
      <c r="AF1084" s="162"/>
      <c r="AN1084" s="66"/>
      <c r="AO1084" s="132"/>
      <c r="AP1084" s="132"/>
    </row>
    <row r="1085" spans="6:42" x14ac:dyDescent="0.2">
      <c r="F1085" s="125"/>
      <c r="M1085" s="162"/>
      <c r="R1085" s="267"/>
      <c r="S1085" s="260"/>
      <c r="AA1085" s="66"/>
      <c r="AF1085" s="162"/>
      <c r="AN1085" s="66"/>
      <c r="AO1085" s="132"/>
      <c r="AP1085" s="132"/>
    </row>
    <row r="1086" spans="6:42" x14ac:dyDescent="0.2">
      <c r="F1086" s="125"/>
      <c r="M1086" s="162"/>
      <c r="R1086" s="267"/>
      <c r="S1086" s="260"/>
      <c r="AA1086" s="66"/>
      <c r="AF1086" s="162"/>
      <c r="AN1086" s="66"/>
      <c r="AO1086" s="132"/>
      <c r="AP1086" s="132"/>
    </row>
    <row r="1087" spans="6:42" x14ac:dyDescent="0.2">
      <c r="F1087" s="125"/>
      <c r="M1087" s="162"/>
      <c r="R1087" s="267"/>
      <c r="S1087" s="260"/>
      <c r="AA1087" s="66"/>
      <c r="AF1087" s="162"/>
      <c r="AN1087" s="66"/>
      <c r="AO1087" s="132"/>
      <c r="AP1087" s="132"/>
    </row>
    <row r="1088" spans="6:42" x14ac:dyDescent="0.2">
      <c r="F1088" s="125"/>
      <c r="M1088" s="162"/>
      <c r="R1088" s="267"/>
      <c r="S1088" s="260"/>
      <c r="AA1088" s="66"/>
      <c r="AF1088" s="162"/>
      <c r="AN1088" s="66"/>
      <c r="AO1088" s="132"/>
      <c r="AP1088" s="132"/>
    </row>
    <row r="1089" spans="6:42" x14ac:dyDescent="0.2">
      <c r="F1089" s="125"/>
      <c r="M1089" s="162"/>
      <c r="R1089" s="267"/>
      <c r="S1089" s="260"/>
      <c r="AA1089" s="66"/>
      <c r="AF1089" s="162"/>
      <c r="AN1089" s="66"/>
      <c r="AO1089" s="132"/>
      <c r="AP1089" s="132"/>
    </row>
    <row r="1090" spans="6:42" x14ac:dyDescent="0.2">
      <c r="F1090" s="125"/>
      <c r="M1090" s="162"/>
      <c r="R1090" s="267"/>
      <c r="S1090" s="260"/>
      <c r="AA1090" s="66"/>
      <c r="AF1090" s="162"/>
      <c r="AN1090" s="66"/>
      <c r="AO1090" s="132"/>
      <c r="AP1090" s="132"/>
    </row>
    <row r="1091" spans="6:42" x14ac:dyDescent="0.2">
      <c r="F1091" s="125"/>
      <c r="M1091" s="162"/>
      <c r="R1091" s="267"/>
      <c r="S1091" s="260"/>
      <c r="AA1091" s="66"/>
      <c r="AF1091" s="162"/>
      <c r="AN1091" s="66"/>
      <c r="AO1091" s="132"/>
      <c r="AP1091" s="132"/>
    </row>
    <row r="1092" spans="6:42" x14ac:dyDescent="0.2">
      <c r="F1092" s="125"/>
      <c r="M1092" s="162"/>
      <c r="R1092" s="267"/>
      <c r="S1092" s="260"/>
      <c r="AA1092" s="66"/>
      <c r="AF1092" s="162"/>
      <c r="AN1092" s="66"/>
      <c r="AO1092" s="132"/>
      <c r="AP1092" s="132"/>
    </row>
    <row r="1093" spans="6:42" x14ac:dyDescent="0.2">
      <c r="F1093" s="125"/>
      <c r="M1093" s="162"/>
      <c r="R1093" s="267"/>
      <c r="S1093" s="260"/>
      <c r="AA1093" s="66"/>
      <c r="AF1093" s="162"/>
      <c r="AN1093" s="66"/>
      <c r="AO1093" s="132"/>
      <c r="AP1093" s="132"/>
    </row>
    <row r="1094" spans="6:42" x14ac:dyDescent="0.2">
      <c r="F1094" s="125"/>
      <c r="M1094" s="162"/>
      <c r="R1094" s="267"/>
      <c r="S1094" s="260"/>
      <c r="AA1094" s="66"/>
      <c r="AF1094" s="162"/>
      <c r="AN1094" s="66"/>
      <c r="AO1094" s="132"/>
      <c r="AP1094" s="132"/>
    </row>
    <row r="1095" spans="6:42" x14ac:dyDescent="0.2">
      <c r="F1095" s="125"/>
      <c r="M1095" s="162"/>
      <c r="R1095" s="267"/>
      <c r="S1095" s="260"/>
      <c r="AA1095" s="66"/>
      <c r="AF1095" s="162"/>
      <c r="AN1095" s="66"/>
      <c r="AO1095" s="132"/>
      <c r="AP1095" s="132"/>
    </row>
    <row r="1096" spans="6:42" x14ac:dyDescent="0.2">
      <c r="F1096" s="125"/>
      <c r="M1096" s="162"/>
      <c r="R1096" s="267"/>
      <c r="S1096" s="260"/>
      <c r="AA1096" s="66"/>
      <c r="AF1096" s="162"/>
      <c r="AN1096" s="66"/>
      <c r="AO1096" s="132"/>
      <c r="AP1096" s="132"/>
    </row>
    <row r="1097" spans="6:42" x14ac:dyDescent="0.2">
      <c r="F1097" s="125"/>
      <c r="M1097" s="162"/>
      <c r="R1097" s="267"/>
      <c r="S1097" s="260"/>
      <c r="AA1097" s="66"/>
      <c r="AF1097" s="162"/>
      <c r="AN1097" s="66"/>
      <c r="AO1097" s="132"/>
      <c r="AP1097" s="132"/>
    </row>
    <row r="1098" spans="6:42" x14ac:dyDescent="0.2">
      <c r="F1098" s="125"/>
      <c r="M1098" s="162"/>
      <c r="R1098" s="267"/>
      <c r="S1098" s="260"/>
      <c r="AA1098" s="66"/>
      <c r="AF1098" s="162"/>
      <c r="AN1098" s="66"/>
      <c r="AO1098" s="132"/>
      <c r="AP1098" s="132"/>
    </row>
    <row r="1099" spans="6:42" x14ac:dyDescent="0.2">
      <c r="F1099" s="125"/>
      <c r="M1099" s="162"/>
      <c r="R1099" s="267"/>
      <c r="S1099" s="260"/>
      <c r="AA1099" s="66"/>
      <c r="AF1099" s="162"/>
      <c r="AN1099" s="66"/>
      <c r="AO1099" s="132"/>
      <c r="AP1099" s="132"/>
    </row>
    <row r="1100" spans="6:42" x14ac:dyDescent="0.2">
      <c r="F1100" s="125"/>
      <c r="M1100" s="162"/>
      <c r="R1100" s="267"/>
      <c r="S1100" s="260"/>
      <c r="AA1100" s="66"/>
      <c r="AF1100" s="162"/>
      <c r="AN1100" s="66"/>
      <c r="AO1100" s="132"/>
      <c r="AP1100" s="132"/>
    </row>
    <row r="1101" spans="6:42" x14ac:dyDescent="0.2">
      <c r="F1101" s="125"/>
      <c r="M1101" s="162"/>
      <c r="R1101" s="267"/>
      <c r="S1101" s="260"/>
      <c r="AA1101" s="66"/>
      <c r="AF1101" s="162"/>
      <c r="AN1101" s="66"/>
      <c r="AO1101" s="132"/>
      <c r="AP1101" s="132"/>
    </row>
    <row r="1102" spans="6:42" x14ac:dyDescent="0.2">
      <c r="F1102" s="125"/>
      <c r="M1102" s="162"/>
      <c r="R1102" s="267"/>
      <c r="S1102" s="260"/>
      <c r="AA1102" s="66"/>
      <c r="AF1102" s="162"/>
      <c r="AN1102" s="66"/>
      <c r="AO1102" s="132"/>
      <c r="AP1102" s="132"/>
    </row>
    <row r="1103" spans="6:42" x14ac:dyDescent="0.2">
      <c r="F1103" s="125"/>
      <c r="M1103" s="162"/>
      <c r="R1103" s="267"/>
      <c r="S1103" s="260"/>
      <c r="AA1103" s="66"/>
      <c r="AF1103" s="162"/>
      <c r="AN1103" s="66"/>
      <c r="AO1103" s="132"/>
      <c r="AP1103" s="132"/>
    </row>
    <row r="1104" spans="6:42" x14ac:dyDescent="0.2">
      <c r="F1104" s="125"/>
      <c r="M1104" s="162"/>
      <c r="R1104" s="267"/>
      <c r="S1104" s="260"/>
      <c r="AA1104" s="66"/>
      <c r="AF1104" s="162"/>
      <c r="AN1104" s="66"/>
      <c r="AO1104" s="132"/>
      <c r="AP1104" s="132"/>
    </row>
    <row r="1105" spans="6:42" x14ac:dyDescent="0.2">
      <c r="F1105" s="125"/>
      <c r="M1105" s="162"/>
      <c r="R1105" s="267"/>
      <c r="S1105" s="260"/>
      <c r="AA1105" s="66"/>
      <c r="AF1105" s="162"/>
      <c r="AN1105" s="66"/>
      <c r="AO1105" s="132"/>
      <c r="AP1105" s="132"/>
    </row>
    <row r="1106" spans="6:42" x14ac:dyDescent="0.2">
      <c r="F1106" s="125"/>
      <c r="M1106" s="162"/>
      <c r="R1106" s="267"/>
      <c r="S1106" s="260"/>
      <c r="AA1106" s="66"/>
      <c r="AF1106" s="162"/>
      <c r="AN1106" s="66"/>
      <c r="AO1106" s="132"/>
      <c r="AP1106" s="132"/>
    </row>
    <row r="1107" spans="6:42" x14ac:dyDescent="0.2">
      <c r="F1107" s="125"/>
      <c r="M1107" s="162"/>
      <c r="R1107" s="267"/>
      <c r="S1107" s="260"/>
      <c r="AA1107" s="66"/>
      <c r="AF1107" s="162"/>
      <c r="AN1107" s="66"/>
      <c r="AO1107" s="132"/>
      <c r="AP1107" s="132"/>
    </row>
    <row r="1108" spans="6:42" x14ac:dyDescent="0.2">
      <c r="F1108" s="125"/>
      <c r="M1108" s="162"/>
      <c r="R1108" s="267"/>
      <c r="S1108" s="260"/>
      <c r="AA1108" s="66"/>
      <c r="AF1108" s="162"/>
      <c r="AN1108" s="66"/>
      <c r="AO1108" s="132"/>
      <c r="AP1108" s="132"/>
    </row>
    <row r="1109" spans="6:42" x14ac:dyDescent="0.2">
      <c r="F1109" s="125"/>
      <c r="M1109" s="162"/>
      <c r="R1109" s="267"/>
      <c r="S1109" s="260"/>
      <c r="AA1109" s="66"/>
      <c r="AF1109" s="162"/>
      <c r="AN1109" s="66"/>
      <c r="AO1109" s="132"/>
      <c r="AP1109" s="132"/>
    </row>
    <row r="1110" spans="6:42" x14ac:dyDescent="0.2">
      <c r="F1110" s="125"/>
      <c r="M1110" s="162"/>
      <c r="R1110" s="267"/>
      <c r="S1110" s="260"/>
      <c r="AA1110" s="66"/>
      <c r="AF1110" s="162"/>
      <c r="AN1110" s="66"/>
      <c r="AO1110" s="132"/>
      <c r="AP1110" s="132"/>
    </row>
    <row r="1111" spans="6:42" x14ac:dyDescent="0.2">
      <c r="F1111" s="125"/>
      <c r="M1111" s="162"/>
      <c r="R1111" s="267"/>
      <c r="S1111" s="260"/>
      <c r="AA1111" s="66"/>
      <c r="AF1111" s="162"/>
      <c r="AN1111" s="66"/>
      <c r="AO1111" s="132"/>
      <c r="AP1111" s="132"/>
    </row>
    <row r="1112" spans="6:42" x14ac:dyDescent="0.2">
      <c r="F1112" s="125"/>
      <c r="M1112" s="162"/>
      <c r="R1112" s="267"/>
      <c r="S1112" s="260"/>
      <c r="AA1112" s="66"/>
      <c r="AF1112" s="162"/>
      <c r="AN1112" s="66"/>
      <c r="AO1112" s="132"/>
      <c r="AP1112" s="132"/>
    </row>
    <row r="1113" spans="6:42" x14ac:dyDescent="0.2">
      <c r="F1113" s="125"/>
      <c r="M1113" s="162"/>
      <c r="R1113" s="267"/>
      <c r="S1113" s="260"/>
      <c r="AA1113" s="66"/>
      <c r="AF1113" s="162"/>
      <c r="AN1113" s="66"/>
      <c r="AO1113" s="132"/>
      <c r="AP1113" s="132"/>
    </row>
    <row r="1114" spans="6:42" x14ac:dyDescent="0.2">
      <c r="F1114" s="125"/>
      <c r="M1114" s="162"/>
      <c r="R1114" s="267"/>
      <c r="S1114" s="260"/>
      <c r="AA1114" s="66"/>
      <c r="AF1114" s="162"/>
      <c r="AN1114" s="66"/>
      <c r="AO1114" s="132"/>
      <c r="AP1114" s="132"/>
    </row>
    <row r="1115" spans="6:42" x14ac:dyDescent="0.2">
      <c r="F1115" s="125"/>
      <c r="M1115" s="162"/>
      <c r="R1115" s="267"/>
      <c r="S1115" s="260"/>
      <c r="AA1115" s="66"/>
      <c r="AF1115" s="162"/>
      <c r="AN1115" s="66"/>
      <c r="AO1115" s="132"/>
      <c r="AP1115" s="132"/>
    </row>
    <row r="1116" spans="6:42" x14ac:dyDescent="0.2">
      <c r="F1116" s="125"/>
      <c r="M1116" s="162"/>
      <c r="R1116" s="267"/>
      <c r="S1116" s="260"/>
      <c r="AA1116" s="66"/>
      <c r="AF1116" s="162"/>
      <c r="AN1116" s="66"/>
      <c r="AO1116" s="132"/>
      <c r="AP1116" s="132"/>
    </row>
    <row r="1117" spans="6:42" x14ac:dyDescent="0.2">
      <c r="F1117" s="125"/>
      <c r="M1117" s="162"/>
      <c r="R1117" s="267"/>
      <c r="S1117" s="260"/>
      <c r="AA1117" s="66"/>
      <c r="AF1117" s="162"/>
      <c r="AN1117" s="66"/>
      <c r="AO1117" s="132"/>
      <c r="AP1117" s="132"/>
    </row>
    <row r="1118" spans="6:42" x14ac:dyDescent="0.2">
      <c r="F1118" s="125"/>
      <c r="M1118" s="162"/>
      <c r="R1118" s="267"/>
      <c r="S1118" s="260"/>
      <c r="AA1118" s="66"/>
      <c r="AF1118" s="162"/>
      <c r="AN1118" s="66"/>
      <c r="AO1118" s="132"/>
      <c r="AP1118" s="132"/>
    </row>
    <row r="1119" spans="6:42" x14ac:dyDescent="0.2">
      <c r="F1119" s="125"/>
      <c r="M1119" s="162"/>
      <c r="R1119" s="267"/>
      <c r="S1119" s="260"/>
      <c r="AA1119" s="66"/>
      <c r="AF1119" s="162"/>
      <c r="AN1119" s="66"/>
      <c r="AO1119" s="132"/>
      <c r="AP1119" s="132"/>
    </row>
    <row r="1120" spans="6:42" x14ac:dyDescent="0.2">
      <c r="F1120" s="125"/>
      <c r="M1120" s="162"/>
      <c r="R1120" s="267"/>
      <c r="S1120" s="260"/>
      <c r="AA1120" s="66"/>
      <c r="AF1120" s="162"/>
      <c r="AN1120" s="66"/>
      <c r="AO1120" s="132"/>
      <c r="AP1120" s="132"/>
    </row>
    <row r="1121" spans="6:42" x14ac:dyDescent="0.2">
      <c r="F1121" s="125"/>
      <c r="M1121" s="162"/>
      <c r="R1121" s="267"/>
      <c r="S1121" s="260"/>
      <c r="AA1121" s="66"/>
      <c r="AF1121" s="162"/>
      <c r="AN1121" s="66"/>
      <c r="AO1121" s="132"/>
      <c r="AP1121" s="132"/>
    </row>
    <row r="1122" spans="6:42" x14ac:dyDescent="0.2">
      <c r="F1122" s="125"/>
      <c r="M1122" s="162"/>
      <c r="R1122" s="267"/>
      <c r="S1122" s="260"/>
      <c r="AA1122" s="66"/>
      <c r="AF1122" s="162"/>
      <c r="AN1122" s="66"/>
      <c r="AO1122" s="132"/>
      <c r="AP1122" s="132"/>
    </row>
    <row r="1123" spans="6:42" x14ac:dyDescent="0.2">
      <c r="F1123" s="125"/>
      <c r="M1123" s="162"/>
      <c r="R1123" s="267"/>
      <c r="S1123" s="260"/>
      <c r="AA1123" s="66"/>
      <c r="AF1123" s="162"/>
      <c r="AN1123" s="66"/>
      <c r="AO1123" s="132"/>
      <c r="AP1123" s="132"/>
    </row>
    <row r="1124" spans="6:42" x14ac:dyDescent="0.2">
      <c r="F1124" s="125"/>
      <c r="M1124" s="162"/>
      <c r="R1124" s="267"/>
      <c r="S1124" s="260"/>
      <c r="AA1124" s="66"/>
      <c r="AF1124" s="162"/>
      <c r="AN1124" s="66"/>
      <c r="AO1124" s="132"/>
      <c r="AP1124" s="132"/>
    </row>
    <row r="1125" spans="6:42" x14ac:dyDescent="0.2">
      <c r="F1125" s="125"/>
      <c r="M1125" s="162"/>
      <c r="R1125" s="267"/>
      <c r="S1125" s="260"/>
      <c r="AA1125" s="66"/>
      <c r="AF1125" s="162"/>
      <c r="AN1125" s="66"/>
      <c r="AO1125" s="132"/>
      <c r="AP1125" s="132"/>
    </row>
    <row r="1126" spans="6:42" x14ac:dyDescent="0.2">
      <c r="F1126" s="125"/>
      <c r="M1126" s="162"/>
      <c r="R1126" s="267"/>
      <c r="S1126" s="260"/>
      <c r="AA1126" s="66"/>
      <c r="AF1126" s="162"/>
      <c r="AN1126" s="66"/>
      <c r="AO1126" s="132"/>
      <c r="AP1126" s="132"/>
    </row>
    <row r="1127" spans="6:42" x14ac:dyDescent="0.2">
      <c r="F1127" s="125"/>
      <c r="M1127" s="162"/>
      <c r="R1127" s="267"/>
      <c r="S1127" s="260"/>
      <c r="AA1127" s="66"/>
      <c r="AF1127" s="162"/>
      <c r="AN1127" s="66"/>
      <c r="AO1127" s="132"/>
      <c r="AP1127" s="132"/>
    </row>
    <row r="1128" spans="6:42" x14ac:dyDescent="0.2">
      <c r="F1128" s="125"/>
      <c r="M1128" s="162"/>
      <c r="R1128" s="267"/>
      <c r="S1128" s="260"/>
      <c r="AA1128" s="66"/>
      <c r="AF1128" s="162"/>
      <c r="AN1128" s="66"/>
      <c r="AO1128" s="132"/>
      <c r="AP1128" s="132"/>
    </row>
    <row r="1129" spans="6:42" x14ac:dyDescent="0.2">
      <c r="F1129" s="125"/>
      <c r="M1129" s="162"/>
      <c r="R1129" s="267"/>
      <c r="S1129" s="260"/>
      <c r="AA1129" s="66"/>
      <c r="AF1129" s="162"/>
      <c r="AN1129" s="66"/>
      <c r="AO1129" s="132"/>
      <c r="AP1129" s="132"/>
    </row>
    <row r="1130" spans="6:42" x14ac:dyDescent="0.2">
      <c r="F1130" s="125"/>
      <c r="M1130" s="162"/>
      <c r="R1130" s="267"/>
      <c r="S1130" s="260"/>
      <c r="AA1130" s="66"/>
      <c r="AF1130" s="162"/>
      <c r="AN1130" s="66"/>
      <c r="AO1130" s="132"/>
      <c r="AP1130" s="132"/>
    </row>
    <row r="1131" spans="6:42" x14ac:dyDescent="0.2">
      <c r="F1131" s="125"/>
      <c r="M1131" s="162"/>
      <c r="R1131" s="267"/>
      <c r="S1131" s="260"/>
      <c r="AA1131" s="66"/>
      <c r="AF1131" s="162"/>
      <c r="AN1131" s="66"/>
      <c r="AO1131" s="132"/>
      <c r="AP1131" s="132"/>
    </row>
    <row r="1132" spans="6:42" x14ac:dyDescent="0.2">
      <c r="F1132" s="125"/>
      <c r="M1132" s="162"/>
      <c r="R1132" s="267"/>
      <c r="S1132" s="260"/>
      <c r="AA1132" s="66"/>
      <c r="AF1132" s="162"/>
      <c r="AN1132" s="66"/>
      <c r="AO1132" s="132"/>
      <c r="AP1132" s="132"/>
    </row>
    <row r="1133" spans="6:42" x14ac:dyDescent="0.2">
      <c r="F1133" s="125"/>
      <c r="M1133" s="162"/>
      <c r="R1133" s="267"/>
      <c r="S1133" s="260"/>
      <c r="AA1133" s="66"/>
      <c r="AF1133" s="162"/>
      <c r="AN1133" s="66"/>
      <c r="AO1133" s="132"/>
      <c r="AP1133" s="132"/>
    </row>
    <row r="1134" spans="6:42" x14ac:dyDescent="0.2">
      <c r="F1134" s="125"/>
      <c r="M1134" s="162"/>
      <c r="R1134" s="267"/>
      <c r="S1134" s="260"/>
      <c r="AA1134" s="66"/>
      <c r="AF1134" s="162"/>
      <c r="AN1134" s="66"/>
      <c r="AO1134" s="132"/>
      <c r="AP1134" s="132"/>
    </row>
    <row r="1135" spans="6:42" x14ac:dyDescent="0.2">
      <c r="F1135" s="125"/>
      <c r="M1135" s="162"/>
      <c r="R1135" s="267"/>
      <c r="S1135" s="260"/>
      <c r="AA1135" s="66"/>
      <c r="AF1135" s="162"/>
      <c r="AN1135" s="66"/>
      <c r="AO1135" s="132"/>
      <c r="AP1135" s="132"/>
    </row>
    <row r="1136" spans="6:42" x14ac:dyDescent="0.2">
      <c r="F1136" s="125"/>
      <c r="M1136" s="162"/>
      <c r="R1136" s="267"/>
      <c r="S1136" s="260"/>
      <c r="AA1136" s="66"/>
      <c r="AF1136" s="162"/>
      <c r="AN1136" s="66"/>
      <c r="AO1136" s="132"/>
      <c r="AP1136" s="132"/>
    </row>
    <row r="1137" spans="6:42" x14ac:dyDescent="0.2">
      <c r="F1137" s="125"/>
      <c r="M1137" s="162"/>
      <c r="R1137" s="267"/>
      <c r="S1137" s="260"/>
      <c r="AA1137" s="66"/>
      <c r="AF1137" s="162"/>
      <c r="AN1137" s="66"/>
      <c r="AO1137" s="132"/>
      <c r="AP1137" s="132"/>
    </row>
    <row r="1138" spans="6:42" x14ac:dyDescent="0.2">
      <c r="F1138" s="125"/>
      <c r="M1138" s="162"/>
      <c r="S1138" s="260"/>
      <c r="AA1138" s="66"/>
      <c r="AF1138" s="162"/>
      <c r="AN1138" s="66"/>
      <c r="AO1138" s="132"/>
      <c r="AP1138" s="132"/>
    </row>
    <row r="1139" spans="6:42" x14ac:dyDescent="0.2">
      <c r="F1139" s="125"/>
      <c r="M1139" s="162"/>
      <c r="S1139" s="260"/>
      <c r="AA1139" s="66"/>
      <c r="AF1139" s="162"/>
      <c r="AN1139" s="66"/>
      <c r="AO1139" s="132"/>
      <c r="AP1139" s="132"/>
    </row>
    <row r="1140" spans="6:42" x14ac:dyDescent="0.2">
      <c r="F1140" s="125"/>
      <c r="M1140" s="162"/>
      <c r="S1140" s="260"/>
      <c r="AA1140" s="66"/>
      <c r="AF1140" s="162"/>
      <c r="AN1140" s="66"/>
      <c r="AO1140" s="132"/>
      <c r="AP1140" s="132"/>
    </row>
    <row r="1141" spans="6:42" x14ac:dyDescent="0.2">
      <c r="F1141" s="125"/>
      <c r="M1141" s="162"/>
      <c r="S1141" s="260"/>
      <c r="AA1141" s="66"/>
      <c r="AF1141" s="162"/>
      <c r="AN1141" s="66"/>
      <c r="AO1141" s="132"/>
      <c r="AP1141" s="132"/>
    </row>
    <row r="1142" spans="6:42" x14ac:dyDescent="0.2">
      <c r="F1142" s="125"/>
      <c r="M1142" s="162"/>
      <c r="S1142" s="260"/>
      <c r="AA1142" s="66"/>
      <c r="AF1142" s="162"/>
      <c r="AN1142" s="66"/>
      <c r="AO1142" s="132"/>
      <c r="AP1142" s="132"/>
    </row>
    <row r="1143" spans="6:42" x14ac:dyDescent="0.2">
      <c r="F1143" s="125"/>
      <c r="M1143" s="162"/>
      <c r="S1143" s="260"/>
      <c r="AA1143" s="66"/>
      <c r="AF1143" s="162"/>
      <c r="AN1143" s="66"/>
      <c r="AO1143" s="132"/>
      <c r="AP1143" s="132"/>
    </row>
    <row r="1144" spans="6:42" x14ac:dyDescent="0.2">
      <c r="F1144" s="125"/>
      <c r="M1144" s="162"/>
      <c r="S1144" s="260"/>
      <c r="AA1144" s="66"/>
      <c r="AF1144" s="162"/>
      <c r="AN1144" s="66"/>
      <c r="AO1144" s="132"/>
      <c r="AP1144" s="132"/>
    </row>
    <row r="1145" spans="6:42" x14ac:dyDescent="0.2">
      <c r="F1145" s="125"/>
      <c r="M1145" s="162"/>
      <c r="S1145" s="260"/>
      <c r="AA1145" s="66"/>
      <c r="AF1145" s="162"/>
      <c r="AN1145" s="66"/>
      <c r="AO1145" s="132"/>
      <c r="AP1145" s="132"/>
    </row>
    <row r="1146" spans="6:42" x14ac:dyDescent="0.2">
      <c r="F1146" s="125"/>
      <c r="M1146" s="162"/>
      <c r="S1146" s="260"/>
      <c r="AA1146" s="66"/>
      <c r="AF1146" s="162"/>
      <c r="AN1146" s="66"/>
      <c r="AO1146" s="132"/>
      <c r="AP1146" s="132"/>
    </row>
    <row r="1147" spans="6:42" x14ac:dyDescent="0.2">
      <c r="F1147" s="125"/>
      <c r="M1147" s="162"/>
      <c r="S1147" s="260"/>
      <c r="AA1147" s="66"/>
      <c r="AF1147" s="162"/>
      <c r="AN1147" s="66"/>
      <c r="AO1147" s="132"/>
      <c r="AP1147" s="132"/>
    </row>
    <row r="1148" spans="6:42" x14ac:dyDescent="0.2">
      <c r="F1148" s="125"/>
      <c r="M1148" s="162"/>
      <c r="S1148" s="260"/>
      <c r="AA1148" s="66"/>
      <c r="AF1148" s="162"/>
      <c r="AN1148" s="66"/>
      <c r="AO1148" s="132"/>
      <c r="AP1148" s="132"/>
    </row>
    <row r="1149" spans="6:42" x14ac:dyDescent="0.2">
      <c r="F1149" s="125"/>
      <c r="M1149" s="162"/>
      <c r="S1149" s="260"/>
      <c r="AA1149" s="66"/>
      <c r="AF1149" s="162"/>
      <c r="AN1149" s="66"/>
      <c r="AO1149" s="132"/>
      <c r="AP1149" s="132"/>
    </row>
    <row r="1150" spans="6:42" x14ac:dyDescent="0.2">
      <c r="F1150" s="125"/>
      <c r="M1150" s="162"/>
      <c r="S1150" s="260"/>
      <c r="AA1150" s="66"/>
      <c r="AF1150" s="162"/>
      <c r="AN1150" s="66"/>
      <c r="AO1150" s="132"/>
      <c r="AP1150" s="132"/>
    </row>
    <row r="1151" spans="6:42" x14ac:dyDescent="0.2">
      <c r="F1151" s="125"/>
      <c r="M1151" s="162"/>
      <c r="S1151" s="260"/>
      <c r="AA1151" s="66"/>
      <c r="AF1151" s="162"/>
      <c r="AN1151" s="66"/>
      <c r="AO1151" s="132"/>
      <c r="AP1151" s="132"/>
    </row>
    <row r="1152" spans="6:42" x14ac:dyDescent="0.2">
      <c r="F1152" s="125"/>
      <c r="M1152" s="162"/>
      <c r="S1152" s="260"/>
      <c r="AA1152" s="66"/>
      <c r="AF1152" s="162"/>
      <c r="AN1152" s="66"/>
      <c r="AO1152" s="132"/>
      <c r="AP1152" s="132"/>
    </row>
    <row r="1153" spans="6:42" x14ac:dyDescent="0.2">
      <c r="F1153" s="125"/>
      <c r="M1153" s="162"/>
      <c r="S1153" s="260"/>
      <c r="AA1153" s="66"/>
      <c r="AF1153" s="162"/>
      <c r="AN1153" s="66"/>
      <c r="AO1153" s="132"/>
      <c r="AP1153" s="132"/>
    </row>
    <row r="1154" spans="6:42" x14ac:dyDescent="0.2">
      <c r="F1154" s="125"/>
      <c r="M1154" s="162"/>
      <c r="S1154" s="260"/>
      <c r="AA1154" s="66"/>
      <c r="AF1154" s="162"/>
      <c r="AN1154" s="66"/>
      <c r="AO1154" s="132"/>
      <c r="AP1154" s="132"/>
    </row>
    <row r="1155" spans="6:42" x14ac:dyDescent="0.2">
      <c r="F1155" s="125"/>
      <c r="M1155" s="162"/>
      <c r="S1155" s="260"/>
      <c r="AA1155" s="66"/>
      <c r="AF1155" s="162"/>
      <c r="AN1155" s="66"/>
      <c r="AO1155" s="132"/>
      <c r="AP1155" s="132"/>
    </row>
    <row r="1156" spans="6:42" x14ac:dyDescent="0.2">
      <c r="F1156" s="125"/>
      <c r="M1156" s="162"/>
      <c r="S1156" s="260"/>
      <c r="AA1156" s="66"/>
      <c r="AF1156" s="162"/>
      <c r="AN1156" s="66"/>
      <c r="AO1156" s="132"/>
      <c r="AP1156" s="132"/>
    </row>
    <row r="1157" spans="6:42" x14ac:dyDescent="0.2">
      <c r="F1157" s="125"/>
      <c r="M1157" s="162"/>
      <c r="S1157" s="260"/>
      <c r="AA1157" s="66"/>
      <c r="AF1157" s="162"/>
      <c r="AN1157" s="66"/>
      <c r="AO1157" s="132"/>
      <c r="AP1157" s="132"/>
    </row>
    <row r="1158" spans="6:42" x14ac:dyDescent="0.2">
      <c r="F1158" s="125"/>
      <c r="M1158" s="162"/>
      <c r="S1158" s="260"/>
      <c r="AA1158" s="66"/>
      <c r="AF1158" s="162"/>
      <c r="AN1158" s="66"/>
      <c r="AO1158" s="132"/>
      <c r="AP1158" s="132"/>
    </row>
    <row r="1159" spans="6:42" x14ac:dyDescent="0.2">
      <c r="F1159" s="125"/>
      <c r="M1159" s="162"/>
      <c r="S1159" s="260"/>
      <c r="AA1159" s="66"/>
      <c r="AF1159" s="162"/>
      <c r="AN1159" s="66"/>
      <c r="AO1159" s="132"/>
      <c r="AP1159" s="132"/>
    </row>
    <row r="1160" spans="6:42" x14ac:dyDescent="0.2">
      <c r="F1160" s="125"/>
      <c r="M1160" s="162"/>
      <c r="S1160" s="260"/>
      <c r="AA1160" s="66"/>
      <c r="AF1160" s="162"/>
      <c r="AN1160" s="66"/>
      <c r="AO1160" s="132"/>
      <c r="AP1160" s="132"/>
    </row>
    <row r="1161" spans="6:42" x14ac:dyDescent="0.2">
      <c r="F1161" s="125"/>
      <c r="M1161" s="162"/>
      <c r="S1161" s="260"/>
      <c r="AA1161" s="66"/>
      <c r="AF1161" s="162"/>
      <c r="AN1161" s="66"/>
      <c r="AO1161" s="132"/>
      <c r="AP1161" s="132"/>
    </row>
    <row r="1162" spans="6:42" x14ac:dyDescent="0.2">
      <c r="F1162" s="125"/>
      <c r="M1162" s="162"/>
      <c r="S1162" s="260"/>
      <c r="AA1162" s="66"/>
      <c r="AF1162" s="162"/>
      <c r="AN1162" s="66"/>
      <c r="AO1162" s="132"/>
      <c r="AP1162" s="132"/>
    </row>
    <row r="1163" spans="6:42" x14ac:dyDescent="0.2">
      <c r="F1163" s="125"/>
      <c r="M1163" s="162"/>
      <c r="S1163" s="260"/>
      <c r="AA1163" s="66"/>
      <c r="AF1163" s="162"/>
      <c r="AN1163" s="66"/>
      <c r="AO1163" s="132"/>
      <c r="AP1163" s="132"/>
    </row>
    <row r="1164" spans="6:42" x14ac:dyDescent="0.2">
      <c r="F1164" s="125"/>
      <c r="M1164" s="162"/>
      <c r="S1164" s="260"/>
      <c r="AA1164" s="66"/>
      <c r="AF1164" s="162"/>
      <c r="AN1164" s="66"/>
      <c r="AO1164" s="132"/>
      <c r="AP1164" s="132"/>
    </row>
    <row r="1165" spans="6:42" x14ac:dyDescent="0.2">
      <c r="F1165" s="125"/>
      <c r="M1165" s="162"/>
      <c r="S1165" s="260"/>
      <c r="AA1165" s="66"/>
      <c r="AF1165" s="162"/>
      <c r="AN1165" s="66"/>
      <c r="AO1165" s="132"/>
      <c r="AP1165" s="132"/>
    </row>
    <row r="1166" spans="6:42" x14ac:dyDescent="0.2">
      <c r="F1166" s="125"/>
      <c r="M1166" s="162"/>
      <c r="S1166" s="260"/>
      <c r="AA1166" s="66"/>
      <c r="AF1166" s="162"/>
      <c r="AN1166" s="66"/>
      <c r="AO1166" s="132"/>
      <c r="AP1166" s="132"/>
    </row>
    <row r="1167" spans="6:42" x14ac:dyDescent="0.2">
      <c r="F1167" s="125"/>
      <c r="M1167" s="162"/>
      <c r="S1167" s="260"/>
      <c r="AA1167" s="66"/>
      <c r="AF1167" s="162"/>
      <c r="AN1167" s="66"/>
      <c r="AO1167" s="132"/>
      <c r="AP1167" s="132"/>
    </row>
    <row r="1168" spans="6:42" x14ac:dyDescent="0.2">
      <c r="F1168" s="125"/>
      <c r="M1168" s="162"/>
      <c r="S1168" s="260"/>
      <c r="AA1168" s="66"/>
      <c r="AF1168" s="162"/>
      <c r="AN1168" s="66"/>
      <c r="AO1168" s="132"/>
      <c r="AP1168" s="132"/>
    </row>
    <row r="1169" spans="6:42" x14ac:dyDescent="0.2">
      <c r="F1169" s="125"/>
      <c r="M1169" s="162"/>
      <c r="S1169" s="260"/>
      <c r="AA1169" s="66"/>
      <c r="AF1169" s="162"/>
      <c r="AN1169" s="66"/>
      <c r="AO1169" s="132"/>
      <c r="AP1169" s="132"/>
    </row>
    <row r="1170" spans="6:42" x14ac:dyDescent="0.2">
      <c r="F1170" s="125"/>
      <c r="M1170" s="162"/>
      <c r="S1170" s="260"/>
      <c r="AA1170" s="66"/>
      <c r="AF1170" s="162"/>
      <c r="AN1170" s="66"/>
      <c r="AO1170" s="132"/>
      <c r="AP1170" s="132"/>
    </row>
    <row r="1171" spans="6:42" x14ac:dyDescent="0.2">
      <c r="F1171" s="125"/>
      <c r="M1171" s="162"/>
      <c r="S1171" s="260"/>
      <c r="AA1171" s="66"/>
      <c r="AF1171" s="162"/>
      <c r="AN1171" s="66"/>
      <c r="AO1171" s="132"/>
      <c r="AP1171" s="132"/>
    </row>
    <row r="1172" spans="6:42" x14ac:dyDescent="0.2">
      <c r="F1172" s="125"/>
      <c r="M1172" s="162"/>
      <c r="S1172" s="260"/>
      <c r="AA1172" s="66"/>
      <c r="AF1172" s="162"/>
      <c r="AN1172" s="66"/>
      <c r="AO1172" s="132"/>
      <c r="AP1172" s="132"/>
    </row>
    <row r="1173" spans="6:42" x14ac:dyDescent="0.2">
      <c r="F1173" s="125"/>
      <c r="M1173" s="162"/>
      <c r="S1173" s="260"/>
      <c r="AA1173" s="66"/>
      <c r="AF1173" s="162"/>
      <c r="AN1173" s="66"/>
      <c r="AO1173" s="132"/>
      <c r="AP1173" s="132"/>
    </row>
    <row r="1174" spans="6:42" x14ac:dyDescent="0.2">
      <c r="F1174" s="125"/>
      <c r="M1174" s="162"/>
      <c r="S1174" s="260"/>
      <c r="AA1174" s="66"/>
      <c r="AF1174" s="162"/>
      <c r="AN1174" s="66"/>
      <c r="AO1174" s="132"/>
      <c r="AP1174" s="132"/>
    </row>
    <row r="1175" spans="6:42" x14ac:dyDescent="0.2">
      <c r="F1175" s="125"/>
      <c r="M1175" s="162"/>
      <c r="S1175" s="260"/>
      <c r="AA1175" s="66"/>
      <c r="AF1175" s="162"/>
      <c r="AN1175" s="66"/>
      <c r="AO1175" s="132"/>
      <c r="AP1175" s="132"/>
    </row>
    <row r="1176" spans="6:42" x14ac:dyDescent="0.2">
      <c r="F1176" s="125"/>
      <c r="M1176" s="162"/>
      <c r="S1176" s="260"/>
      <c r="AA1176" s="66"/>
      <c r="AF1176" s="162"/>
      <c r="AN1176" s="66"/>
      <c r="AO1176" s="132"/>
      <c r="AP1176" s="132"/>
    </row>
    <row r="1177" spans="6:42" x14ac:dyDescent="0.2">
      <c r="F1177" s="125"/>
      <c r="M1177" s="162"/>
      <c r="S1177" s="260"/>
      <c r="AA1177" s="66"/>
      <c r="AF1177" s="162"/>
      <c r="AN1177" s="66"/>
      <c r="AO1177" s="132"/>
      <c r="AP1177" s="132"/>
    </row>
    <row r="1178" spans="6:42" x14ac:dyDescent="0.2">
      <c r="F1178" s="125"/>
      <c r="M1178" s="162"/>
      <c r="S1178" s="260"/>
      <c r="AA1178" s="66"/>
      <c r="AF1178" s="162"/>
      <c r="AN1178" s="66"/>
      <c r="AO1178" s="132"/>
      <c r="AP1178" s="132"/>
    </row>
    <row r="1179" spans="6:42" x14ac:dyDescent="0.2">
      <c r="F1179" s="125"/>
      <c r="M1179" s="162"/>
      <c r="S1179" s="260"/>
      <c r="AA1179" s="66"/>
      <c r="AF1179" s="162"/>
      <c r="AN1179" s="66"/>
      <c r="AO1179" s="132"/>
      <c r="AP1179" s="132"/>
    </row>
    <row r="1180" spans="6:42" x14ac:dyDescent="0.2">
      <c r="F1180" s="125"/>
      <c r="M1180" s="162"/>
      <c r="S1180" s="260"/>
      <c r="AA1180" s="66"/>
      <c r="AF1180" s="162"/>
      <c r="AN1180" s="66"/>
      <c r="AO1180" s="132"/>
      <c r="AP1180" s="132"/>
    </row>
    <row r="1181" spans="6:42" x14ac:dyDescent="0.2">
      <c r="F1181" s="125"/>
      <c r="M1181" s="162"/>
      <c r="S1181" s="260"/>
      <c r="AA1181" s="66"/>
      <c r="AF1181" s="162"/>
      <c r="AN1181" s="66"/>
      <c r="AO1181" s="132"/>
      <c r="AP1181" s="132"/>
    </row>
    <row r="1182" spans="6:42" x14ac:dyDescent="0.2">
      <c r="F1182" s="125"/>
      <c r="M1182" s="162"/>
      <c r="S1182" s="260"/>
      <c r="AA1182" s="66"/>
      <c r="AF1182" s="162"/>
      <c r="AN1182" s="66"/>
      <c r="AO1182" s="132"/>
      <c r="AP1182" s="132"/>
    </row>
    <row r="1183" spans="6:42" x14ac:dyDescent="0.2">
      <c r="F1183" s="125"/>
      <c r="M1183" s="162"/>
      <c r="S1183" s="260"/>
      <c r="AA1183" s="66"/>
      <c r="AF1183" s="162"/>
      <c r="AN1183" s="66"/>
      <c r="AO1183" s="132"/>
      <c r="AP1183" s="132"/>
    </row>
    <row r="1184" spans="6:42" x14ac:dyDescent="0.2">
      <c r="F1184" s="125"/>
      <c r="M1184" s="162"/>
      <c r="S1184" s="260"/>
      <c r="AA1184" s="66"/>
      <c r="AF1184" s="162"/>
      <c r="AN1184" s="66"/>
      <c r="AO1184" s="132"/>
      <c r="AP1184" s="132"/>
    </row>
    <row r="1185" spans="6:42" x14ac:dyDescent="0.2">
      <c r="F1185" s="125"/>
      <c r="M1185" s="162"/>
      <c r="S1185" s="260"/>
      <c r="AA1185" s="66"/>
      <c r="AF1185" s="162"/>
      <c r="AN1185" s="66"/>
      <c r="AO1185" s="132"/>
      <c r="AP1185" s="132"/>
    </row>
    <row r="1186" spans="6:42" x14ac:dyDescent="0.2">
      <c r="F1186" s="125"/>
      <c r="M1186" s="162"/>
      <c r="S1186" s="260"/>
      <c r="AA1186" s="66"/>
      <c r="AF1186" s="162"/>
      <c r="AN1186" s="66"/>
      <c r="AO1186" s="132"/>
      <c r="AP1186" s="132"/>
    </row>
    <row r="1187" spans="6:42" x14ac:dyDescent="0.2">
      <c r="F1187" s="125"/>
      <c r="M1187" s="162"/>
      <c r="S1187" s="260"/>
      <c r="AA1187" s="66"/>
      <c r="AF1187" s="162"/>
      <c r="AN1187" s="66"/>
      <c r="AO1187" s="132"/>
      <c r="AP1187" s="132"/>
    </row>
    <row r="1188" spans="6:42" x14ac:dyDescent="0.2">
      <c r="F1188" s="125"/>
      <c r="M1188" s="162"/>
      <c r="S1188" s="260"/>
      <c r="AA1188" s="66"/>
      <c r="AF1188" s="162"/>
      <c r="AN1188" s="66"/>
      <c r="AO1188" s="132"/>
      <c r="AP1188" s="132"/>
    </row>
    <row r="1189" spans="6:42" x14ac:dyDescent="0.2">
      <c r="F1189" s="125"/>
      <c r="M1189" s="162"/>
      <c r="S1189" s="260"/>
      <c r="AA1189" s="66"/>
      <c r="AF1189" s="162"/>
      <c r="AN1189" s="66"/>
      <c r="AO1189" s="132"/>
      <c r="AP1189" s="132"/>
    </row>
    <row r="1190" spans="6:42" x14ac:dyDescent="0.2">
      <c r="F1190" s="125"/>
      <c r="M1190" s="162"/>
      <c r="S1190" s="260"/>
      <c r="AA1190" s="66"/>
      <c r="AF1190" s="162"/>
      <c r="AN1190" s="66"/>
      <c r="AO1190" s="132"/>
      <c r="AP1190" s="132"/>
    </row>
    <row r="1191" spans="6:42" x14ac:dyDescent="0.2">
      <c r="F1191" s="125"/>
      <c r="M1191" s="162"/>
      <c r="S1191" s="260"/>
      <c r="AA1191" s="66"/>
      <c r="AF1191" s="162"/>
      <c r="AN1191" s="66"/>
      <c r="AO1191" s="132"/>
      <c r="AP1191" s="132"/>
    </row>
    <row r="1192" spans="6:42" x14ac:dyDescent="0.2">
      <c r="F1192" s="125"/>
      <c r="M1192" s="162"/>
      <c r="S1192" s="260"/>
      <c r="AA1192" s="66"/>
      <c r="AF1192" s="162"/>
      <c r="AN1192" s="66"/>
      <c r="AO1192" s="132"/>
      <c r="AP1192" s="132"/>
    </row>
    <row r="1193" spans="6:42" x14ac:dyDescent="0.2">
      <c r="F1193" s="125"/>
      <c r="M1193" s="162"/>
      <c r="S1193" s="260"/>
      <c r="AA1193" s="66"/>
      <c r="AF1193" s="162"/>
      <c r="AN1193" s="66"/>
      <c r="AO1193" s="132"/>
      <c r="AP1193" s="132"/>
    </row>
    <row r="1194" spans="6:42" x14ac:dyDescent="0.2">
      <c r="F1194" s="125"/>
      <c r="M1194" s="162"/>
      <c r="S1194" s="260"/>
      <c r="AA1194" s="66"/>
      <c r="AF1194" s="162"/>
      <c r="AN1194" s="66"/>
      <c r="AO1194" s="132"/>
      <c r="AP1194" s="132"/>
    </row>
    <row r="1195" spans="6:42" x14ac:dyDescent="0.2">
      <c r="F1195" s="125"/>
      <c r="M1195" s="162"/>
      <c r="S1195" s="260"/>
      <c r="AA1195" s="66"/>
      <c r="AF1195" s="162"/>
      <c r="AN1195" s="66"/>
      <c r="AO1195" s="132"/>
      <c r="AP1195" s="132"/>
    </row>
    <row r="1196" spans="6:42" x14ac:dyDescent="0.2">
      <c r="F1196" s="125"/>
      <c r="M1196" s="162"/>
      <c r="S1196" s="260"/>
      <c r="AA1196" s="66"/>
      <c r="AF1196" s="162"/>
      <c r="AN1196" s="66"/>
      <c r="AO1196" s="132"/>
      <c r="AP1196" s="132"/>
    </row>
    <row r="1197" spans="6:42" x14ac:dyDescent="0.2">
      <c r="F1197" s="125"/>
      <c r="M1197" s="162"/>
      <c r="S1197" s="260"/>
      <c r="AA1197" s="66"/>
      <c r="AF1197" s="162"/>
      <c r="AN1197" s="66"/>
      <c r="AO1197" s="132"/>
      <c r="AP1197" s="132"/>
    </row>
    <row r="1198" spans="6:42" x14ac:dyDescent="0.2">
      <c r="F1198" s="125"/>
      <c r="M1198" s="162"/>
      <c r="S1198" s="260"/>
      <c r="AA1198" s="66"/>
      <c r="AF1198" s="162"/>
      <c r="AN1198" s="66"/>
      <c r="AO1198" s="132"/>
      <c r="AP1198" s="132"/>
    </row>
    <row r="1199" spans="6:42" x14ac:dyDescent="0.2">
      <c r="F1199" s="125"/>
      <c r="M1199" s="162"/>
      <c r="S1199" s="260"/>
      <c r="AA1199" s="66"/>
      <c r="AF1199" s="162"/>
      <c r="AN1199" s="66"/>
      <c r="AO1199" s="132"/>
      <c r="AP1199" s="132"/>
    </row>
    <row r="1200" spans="6:42" x14ac:dyDescent="0.2">
      <c r="F1200" s="125"/>
      <c r="M1200" s="162"/>
      <c r="S1200" s="260"/>
      <c r="AA1200" s="66"/>
      <c r="AF1200" s="162"/>
      <c r="AN1200" s="66"/>
      <c r="AO1200" s="132"/>
      <c r="AP1200" s="132"/>
    </row>
    <row r="1201" spans="6:42" x14ac:dyDescent="0.2">
      <c r="F1201" s="125"/>
      <c r="M1201" s="162"/>
      <c r="S1201" s="260"/>
      <c r="AA1201" s="66"/>
      <c r="AF1201" s="162"/>
      <c r="AN1201" s="66"/>
      <c r="AO1201" s="132"/>
      <c r="AP1201" s="132"/>
    </row>
    <row r="1202" spans="6:42" x14ac:dyDescent="0.2">
      <c r="F1202" s="125"/>
      <c r="M1202" s="162"/>
      <c r="S1202" s="260"/>
      <c r="AA1202" s="66"/>
      <c r="AF1202" s="162"/>
      <c r="AN1202" s="66"/>
      <c r="AO1202" s="132"/>
      <c r="AP1202" s="132"/>
    </row>
    <row r="1203" spans="6:42" x14ac:dyDescent="0.2">
      <c r="F1203" s="125"/>
      <c r="M1203" s="162"/>
      <c r="S1203" s="260"/>
      <c r="AA1203" s="66"/>
      <c r="AF1203" s="162"/>
      <c r="AN1203" s="66"/>
      <c r="AO1203" s="132"/>
      <c r="AP1203" s="132"/>
    </row>
    <row r="1204" spans="6:42" x14ac:dyDescent="0.2">
      <c r="F1204" s="125"/>
      <c r="M1204" s="162"/>
      <c r="S1204" s="260"/>
      <c r="AA1204" s="66"/>
      <c r="AF1204" s="162"/>
      <c r="AN1204" s="66"/>
      <c r="AO1204" s="132"/>
      <c r="AP1204" s="132"/>
    </row>
    <row r="1205" spans="6:42" x14ac:dyDescent="0.2">
      <c r="F1205" s="125"/>
      <c r="M1205" s="162"/>
      <c r="S1205" s="260"/>
      <c r="AA1205" s="66"/>
      <c r="AF1205" s="162"/>
      <c r="AN1205" s="66"/>
      <c r="AO1205" s="132"/>
      <c r="AP1205" s="132"/>
    </row>
    <row r="1206" spans="6:42" x14ac:dyDescent="0.2">
      <c r="F1206" s="125"/>
      <c r="M1206" s="162"/>
      <c r="S1206" s="260"/>
      <c r="AA1206" s="66"/>
      <c r="AF1206" s="162"/>
      <c r="AN1206" s="66"/>
      <c r="AO1206" s="132"/>
      <c r="AP1206" s="132"/>
    </row>
    <row r="1207" spans="6:42" x14ac:dyDescent="0.2">
      <c r="F1207" s="125"/>
      <c r="M1207" s="162"/>
      <c r="S1207" s="260"/>
      <c r="AA1207" s="66"/>
      <c r="AF1207" s="162"/>
      <c r="AN1207" s="66"/>
      <c r="AO1207" s="132"/>
      <c r="AP1207" s="132"/>
    </row>
    <row r="1208" spans="6:42" x14ac:dyDescent="0.2">
      <c r="F1208" s="125"/>
      <c r="M1208" s="162"/>
      <c r="S1208" s="260"/>
      <c r="AA1208" s="66"/>
      <c r="AF1208" s="162"/>
      <c r="AN1208" s="66"/>
      <c r="AO1208" s="132"/>
      <c r="AP1208" s="132"/>
    </row>
    <row r="1209" spans="6:42" x14ac:dyDescent="0.2">
      <c r="F1209" s="125"/>
      <c r="M1209" s="162"/>
      <c r="S1209" s="260"/>
      <c r="AA1209" s="66"/>
      <c r="AF1209" s="162"/>
      <c r="AN1209" s="66"/>
      <c r="AO1209" s="132"/>
      <c r="AP1209" s="132"/>
    </row>
    <row r="1210" spans="6:42" x14ac:dyDescent="0.2">
      <c r="F1210" s="125"/>
      <c r="M1210" s="162"/>
      <c r="S1210" s="260"/>
      <c r="AA1210" s="66"/>
      <c r="AF1210" s="162"/>
      <c r="AN1210" s="66"/>
      <c r="AO1210" s="132"/>
      <c r="AP1210" s="132"/>
    </row>
    <row r="1211" spans="6:42" x14ac:dyDescent="0.2">
      <c r="F1211" s="125"/>
      <c r="M1211" s="162"/>
      <c r="S1211" s="260"/>
      <c r="AA1211" s="66"/>
      <c r="AF1211" s="162"/>
      <c r="AN1211" s="66"/>
      <c r="AO1211" s="132"/>
      <c r="AP1211" s="132"/>
    </row>
    <row r="1212" spans="6:42" x14ac:dyDescent="0.2">
      <c r="F1212" s="125"/>
      <c r="M1212" s="162"/>
      <c r="S1212" s="260"/>
      <c r="AA1212" s="66"/>
      <c r="AF1212" s="162"/>
      <c r="AN1212" s="66"/>
      <c r="AO1212" s="132"/>
      <c r="AP1212" s="132"/>
    </row>
    <row r="1213" spans="6:42" x14ac:dyDescent="0.2">
      <c r="F1213" s="125"/>
      <c r="M1213" s="162"/>
      <c r="S1213" s="260"/>
      <c r="AA1213" s="66"/>
      <c r="AF1213" s="162"/>
      <c r="AN1213" s="66"/>
      <c r="AO1213" s="132"/>
      <c r="AP1213" s="132"/>
    </row>
    <row r="1214" spans="6:42" x14ac:dyDescent="0.2">
      <c r="F1214" s="125"/>
      <c r="M1214" s="162"/>
      <c r="S1214" s="260"/>
      <c r="AA1214" s="66"/>
      <c r="AF1214" s="162"/>
      <c r="AN1214" s="66"/>
      <c r="AO1214" s="132"/>
      <c r="AP1214" s="132"/>
    </row>
    <row r="1215" spans="6:42" x14ac:dyDescent="0.2">
      <c r="F1215" s="125"/>
      <c r="M1215" s="162"/>
      <c r="S1215" s="260"/>
      <c r="AA1215" s="66"/>
      <c r="AF1215" s="162"/>
      <c r="AN1215" s="66"/>
      <c r="AO1215" s="132"/>
      <c r="AP1215" s="132"/>
    </row>
    <row r="1216" spans="6:42" x14ac:dyDescent="0.2">
      <c r="F1216" s="125"/>
      <c r="M1216" s="162"/>
      <c r="S1216" s="260"/>
      <c r="AA1216" s="66"/>
      <c r="AF1216" s="162"/>
      <c r="AN1216" s="66"/>
      <c r="AO1216" s="132"/>
      <c r="AP1216" s="132"/>
    </row>
    <row r="1217" spans="6:42" x14ac:dyDescent="0.2">
      <c r="F1217" s="125"/>
      <c r="M1217" s="162"/>
      <c r="S1217" s="260"/>
      <c r="AA1217" s="66"/>
      <c r="AF1217" s="162"/>
      <c r="AN1217" s="66"/>
      <c r="AO1217" s="132"/>
      <c r="AP1217" s="132"/>
    </row>
    <row r="1218" spans="6:42" x14ac:dyDescent="0.2">
      <c r="F1218" s="125"/>
      <c r="M1218" s="162"/>
      <c r="S1218" s="260"/>
      <c r="AA1218" s="66"/>
      <c r="AF1218" s="162"/>
      <c r="AN1218" s="66"/>
      <c r="AO1218" s="132"/>
      <c r="AP1218" s="132"/>
    </row>
    <row r="1219" spans="6:42" x14ac:dyDescent="0.2">
      <c r="F1219" s="125"/>
      <c r="M1219" s="162"/>
      <c r="S1219" s="260"/>
      <c r="AA1219" s="66"/>
      <c r="AF1219" s="162"/>
      <c r="AN1219" s="66"/>
      <c r="AO1219" s="132"/>
      <c r="AP1219" s="132"/>
    </row>
    <row r="1220" spans="6:42" x14ac:dyDescent="0.2">
      <c r="F1220" s="125"/>
      <c r="M1220" s="162"/>
      <c r="S1220" s="260"/>
      <c r="AA1220" s="66"/>
      <c r="AF1220" s="162"/>
      <c r="AN1220" s="66"/>
      <c r="AO1220" s="132"/>
      <c r="AP1220" s="132"/>
    </row>
    <row r="1221" spans="6:42" x14ac:dyDescent="0.2">
      <c r="F1221" s="125"/>
      <c r="M1221" s="162"/>
      <c r="S1221" s="260"/>
      <c r="AA1221" s="66"/>
      <c r="AF1221" s="162"/>
      <c r="AN1221" s="66"/>
      <c r="AO1221" s="132"/>
      <c r="AP1221" s="132"/>
    </row>
    <row r="1222" spans="6:42" x14ac:dyDescent="0.2">
      <c r="F1222" s="125"/>
      <c r="M1222" s="162"/>
      <c r="S1222" s="260"/>
      <c r="AA1222" s="66"/>
      <c r="AF1222" s="162"/>
      <c r="AN1222" s="66"/>
      <c r="AO1222" s="132"/>
      <c r="AP1222" s="132"/>
    </row>
    <row r="1223" spans="6:42" x14ac:dyDescent="0.2">
      <c r="F1223" s="125"/>
      <c r="M1223" s="162"/>
      <c r="S1223" s="260"/>
      <c r="AA1223" s="66"/>
      <c r="AF1223" s="162"/>
      <c r="AN1223" s="66"/>
      <c r="AO1223" s="132"/>
      <c r="AP1223" s="132"/>
    </row>
    <row r="1224" spans="6:42" x14ac:dyDescent="0.2">
      <c r="F1224" s="125"/>
      <c r="M1224" s="162"/>
      <c r="S1224" s="260"/>
      <c r="AA1224" s="66"/>
      <c r="AF1224" s="162"/>
      <c r="AN1224" s="66"/>
      <c r="AO1224" s="132"/>
      <c r="AP1224" s="132"/>
    </row>
    <row r="1225" spans="6:42" x14ac:dyDescent="0.2">
      <c r="F1225" s="125"/>
      <c r="M1225" s="162"/>
      <c r="S1225" s="260"/>
      <c r="AA1225" s="66"/>
      <c r="AF1225" s="162"/>
      <c r="AN1225" s="66"/>
      <c r="AO1225" s="132"/>
      <c r="AP1225" s="132"/>
    </row>
    <row r="1226" spans="6:42" x14ac:dyDescent="0.2">
      <c r="F1226" s="125"/>
      <c r="M1226" s="162"/>
      <c r="S1226" s="260"/>
      <c r="AA1226" s="66"/>
      <c r="AF1226" s="162"/>
      <c r="AN1226" s="66"/>
      <c r="AO1226" s="132"/>
      <c r="AP1226" s="132"/>
    </row>
    <row r="1227" spans="6:42" x14ac:dyDescent="0.2">
      <c r="F1227" s="125"/>
      <c r="M1227" s="162"/>
      <c r="S1227" s="260"/>
      <c r="AA1227" s="66"/>
      <c r="AF1227" s="162"/>
      <c r="AN1227" s="66"/>
      <c r="AO1227" s="132"/>
      <c r="AP1227" s="132"/>
    </row>
    <row r="1228" spans="6:42" x14ac:dyDescent="0.2">
      <c r="F1228" s="125"/>
      <c r="M1228" s="162"/>
      <c r="S1228" s="260"/>
      <c r="AA1228" s="66"/>
      <c r="AF1228" s="162"/>
      <c r="AN1228" s="66"/>
      <c r="AO1228" s="132"/>
      <c r="AP1228" s="132"/>
    </row>
    <row r="1229" spans="6:42" x14ac:dyDescent="0.2">
      <c r="F1229" s="125"/>
      <c r="M1229" s="162"/>
      <c r="S1229" s="260"/>
      <c r="AA1229" s="66"/>
      <c r="AF1229" s="162"/>
      <c r="AN1229" s="66"/>
      <c r="AO1229" s="132"/>
      <c r="AP1229" s="132"/>
    </row>
    <row r="1230" spans="6:42" x14ac:dyDescent="0.2">
      <c r="F1230" s="125"/>
      <c r="M1230" s="162"/>
      <c r="S1230" s="260"/>
      <c r="AA1230" s="66"/>
      <c r="AF1230" s="162"/>
      <c r="AN1230" s="66"/>
      <c r="AO1230" s="132"/>
      <c r="AP1230" s="132"/>
    </row>
    <row r="1231" spans="6:42" x14ac:dyDescent="0.2">
      <c r="F1231" s="125"/>
      <c r="M1231" s="162"/>
      <c r="S1231" s="260"/>
      <c r="AA1231" s="66"/>
      <c r="AF1231" s="162"/>
      <c r="AN1231" s="66"/>
      <c r="AO1231" s="132"/>
      <c r="AP1231" s="132"/>
    </row>
    <row r="1232" spans="6:42" x14ac:dyDescent="0.2">
      <c r="F1232" s="125"/>
      <c r="M1232" s="162"/>
      <c r="S1232" s="260"/>
      <c r="AA1232" s="66"/>
      <c r="AF1232" s="162"/>
      <c r="AN1232" s="66"/>
      <c r="AO1232" s="132"/>
      <c r="AP1232" s="132"/>
    </row>
    <row r="1233" spans="6:42" x14ac:dyDescent="0.2">
      <c r="F1233" s="125"/>
      <c r="M1233" s="162"/>
      <c r="S1233" s="260"/>
      <c r="AA1233" s="66"/>
      <c r="AF1233" s="162"/>
      <c r="AN1233" s="66"/>
      <c r="AO1233" s="132"/>
      <c r="AP1233" s="132"/>
    </row>
    <row r="1234" spans="6:42" x14ac:dyDescent="0.2">
      <c r="F1234" s="125"/>
      <c r="M1234" s="162"/>
      <c r="S1234" s="260"/>
      <c r="AA1234" s="66"/>
      <c r="AF1234" s="162"/>
      <c r="AN1234" s="66"/>
      <c r="AO1234" s="132"/>
      <c r="AP1234" s="132"/>
    </row>
    <row r="1235" spans="6:42" x14ac:dyDescent="0.2">
      <c r="F1235" s="125"/>
      <c r="M1235" s="162"/>
      <c r="S1235" s="260"/>
      <c r="AA1235" s="66"/>
      <c r="AF1235" s="162"/>
      <c r="AN1235" s="66"/>
      <c r="AO1235" s="132"/>
      <c r="AP1235" s="132"/>
    </row>
    <row r="1236" spans="6:42" x14ac:dyDescent="0.2">
      <c r="F1236" s="125"/>
      <c r="M1236" s="162"/>
      <c r="S1236" s="260"/>
      <c r="AA1236" s="66"/>
      <c r="AF1236" s="162"/>
      <c r="AN1236" s="66"/>
      <c r="AO1236" s="132"/>
      <c r="AP1236" s="132"/>
    </row>
    <row r="1237" spans="6:42" x14ac:dyDescent="0.2">
      <c r="F1237" s="125"/>
      <c r="M1237" s="162"/>
      <c r="S1237" s="260"/>
      <c r="AA1237" s="66"/>
      <c r="AF1237" s="162"/>
      <c r="AN1237" s="66"/>
      <c r="AO1237" s="132"/>
      <c r="AP1237" s="132"/>
    </row>
    <row r="1238" spans="6:42" x14ac:dyDescent="0.2">
      <c r="F1238" s="125"/>
      <c r="M1238" s="162"/>
      <c r="S1238" s="260"/>
      <c r="AA1238" s="66"/>
      <c r="AF1238" s="162"/>
      <c r="AN1238" s="66"/>
      <c r="AO1238" s="132"/>
      <c r="AP1238" s="132"/>
    </row>
    <row r="1239" spans="6:42" x14ac:dyDescent="0.2">
      <c r="F1239" s="125"/>
      <c r="M1239" s="162"/>
      <c r="S1239" s="260"/>
      <c r="AA1239" s="66"/>
      <c r="AF1239" s="162"/>
      <c r="AN1239" s="66"/>
      <c r="AO1239" s="132"/>
      <c r="AP1239" s="132"/>
    </row>
    <row r="1240" spans="6:42" x14ac:dyDescent="0.2">
      <c r="F1240" s="125"/>
      <c r="M1240" s="162"/>
      <c r="S1240" s="260"/>
      <c r="AA1240" s="66"/>
      <c r="AF1240" s="162"/>
      <c r="AN1240" s="66"/>
      <c r="AO1240" s="132"/>
      <c r="AP1240" s="132"/>
    </row>
    <row r="1241" spans="6:42" x14ac:dyDescent="0.2">
      <c r="F1241" s="125"/>
      <c r="M1241" s="162"/>
      <c r="S1241" s="260"/>
      <c r="AA1241" s="66"/>
      <c r="AF1241" s="162"/>
      <c r="AN1241" s="66"/>
      <c r="AO1241" s="132"/>
      <c r="AP1241" s="132"/>
    </row>
    <row r="1242" spans="6:42" x14ac:dyDescent="0.2">
      <c r="F1242" s="125"/>
      <c r="M1242" s="162"/>
      <c r="S1242" s="260"/>
      <c r="AA1242" s="66"/>
      <c r="AF1242" s="162"/>
      <c r="AN1242" s="66"/>
      <c r="AO1242" s="132"/>
      <c r="AP1242" s="132"/>
    </row>
    <row r="1243" spans="6:42" x14ac:dyDescent="0.2">
      <c r="F1243" s="125"/>
      <c r="M1243" s="162"/>
      <c r="S1243" s="260"/>
      <c r="AA1243" s="66"/>
      <c r="AF1243" s="162"/>
      <c r="AN1243" s="66"/>
      <c r="AO1243" s="132"/>
      <c r="AP1243" s="132"/>
    </row>
    <row r="1244" spans="6:42" x14ac:dyDescent="0.2">
      <c r="F1244" s="125"/>
      <c r="M1244" s="162"/>
      <c r="S1244" s="260"/>
      <c r="AA1244" s="66"/>
      <c r="AF1244" s="162"/>
      <c r="AN1244" s="66"/>
      <c r="AO1244" s="132"/>
      <c r="AP1244" s="132"/>
    </row>
    <row r="1245" spans="6:42" x14ac:dyDescent="0.2">
      <c r="F1245" s="125"/>
      <c r="M1245" s="162"/>
      <c r="S1245" s="260"/>
      <c r="AA1245" s="66"/>
      <c r="AF1245" s="162"/>
      <c r="AN1245" s="66"/>
      <c r="AO1245" s="132"/>
      <c r="AP1245" s="132"/>
    </row>
    <row r="1246" spans="6:42" x14ac:dyDescent="0.2">
      <c r="F1246" s="125"/>
      <c r="M1246" s="162"/>
      <c r="S1246" s="260"/>
      <c r="AA1246" s="66"/>
      <c r="AF1246" s="162"/>
      <c r="AN1246" s="66"/>
      <c r="AO1246" s="132"/>
      <c r="AP1246" s="132"/>
    </row>
    <row r="1247" spans="6:42" x14ac:dyDescent="0.2">
      <c r="F1247" s="125"/>
      <c r="M1247" s="162"/>
      <c r="S1247" s="260"/>
      <c r="AA1247" s="66"/>
      <c r="AF1247" s="162"/>
      <c r="AN1247" s="66"/>
      <c r="AO1247" s="132"/>
      <c r="AP1247" s="132"/>
    </row>
    <row r="1248" spans="6:42" x14ac:dyDescent="0.2">
      <c r="F1248" s="125"/>
      <c r="M1248" s="162"/>
      <c r="S1248" s="260"/>
      <c r="AA1248" s="66"/>
      <c r="AF1248" s="162"/>
      <c r="AN1248" s="66"/>
      <c r="AO1248" s="132"/>
      <c r="AP1248" s="132"/>
    </row>
    <row r="1249" spans="6:42" x14ac:dyDescent="0.2">
      <c r="F1249" s="125"/>
      <c r="M1249" s="162"/>
      <c r="S1249" s="260"/>
      <c r="AA1249" s="66"/>
      <c r="AF1249" s="162"/>
      <c r="AN1249" s="66"/>
      <c r="AO1249" s="132"/>
      <c r="AP1249" s="132"/>
    </row>
    <row r="1250" spans="6:42" x14ac:dyDescent="0.2">
      <c r="F1250" s="125"/>
      <c r="M1250" s="162"/>
      <c r="S1250" s="260"/>
      <c r="AA1250" s="66"/>
      <c r="AF1250" s="162"/>
      <c r="AN1250" s="66"/>
      <c r="AO1250" s="132"/>
      <c r="AP1250" s="132"/>
    </row>
    <row r="1251" spans="6:42" x14ac:dyDescent="0.2">
      <c r="F1251" s="125"/>
      <c r="M1251" s="162"/>
      <c r="S1251" s="260"/>
      <c r="AA1251" s="66"/>
      <c r="AF1251" s="162"/>
      <c r="AN1251" s="66"/>
      <c r="AO1251" s="132"/>
      <c r="AP1251" s="132"/>
    </row>
    <row r="1252" spans="6:42" x14ac:dyDescent="0.2">
      <c r="F1252" s="125"/>
      <c r="M1252" s="162"/>
      <c r="S1252" s="260"/>
      <c r="AA1252" s="66"/>
      <c r="AF1252" s="162"/>
      <c r="AN1252" s="66"/>
      <c r="AO1252" s="132"/>
      <c r="AP1252" s="132"/>
    </row>
    <row r="1253" spans="6:42" x14ac:dyDescent="0.2">
      <c r="F1253" s="125"/>
      <c r="M1253" s="162"/>
      <c r="S1253" s="260"/>
      <c r="AA1253" s="66"/>
      <c r="AF1253" s="162"/>
      <c r="AN1253" s="66"/>
      <c r="AO1253" s="132"/>
      <c r="AP1253" s="132"/>
    </row>
    <row r="1254" spans="6:42" x14ac:dyDescent="0.2">
      <c r="F1254" s="125"/>
      <c r="M1254" s="162"/>
      <c r="S1254" s="260"/>
      <c r="AA1254" s="66"/>
      <c r="AF1254" s="162"/>
      <c r="AN1254" s="66"/>
      <c r="AO1254" s="132"/>
      <c r="AP1254" s="132"/>
    </row>
    <row r="1255" spans="6:42" x14ac:dyDescent="0.2">
      <c r="F1255" s="125"/>
      <c r="M1255" s="162"/>
      <c r="S1255" s="260"/>
      <c r="AA1255" s="66"/>
      <c r="AF1255" s="162"/>
      <c r="AN1255" s="66"/>
      <c r="AO1255" s="132"/>
      <c r="AP1255" s="132"/>
    </row>
    <row r="1256" spans="6:42" x14ac:dyDescent="0.2">
      <c r="F1256" s="125"/>
      <c r="M1256" s="162"/>
      <c r="S1256" s="260"/>
      <c r="AA1256" s="66"/>
      <c r="AF1256" s="162"/>
      <c r="AN1256" s="66"/>
      <c r="AO1256" s="132"/>
      <c r="AP1256" s="132"/>
    </row>
    <row r="1257" spans="6:42" x14ac:dyDescent="0.2">
      <c r="F1257" s="125"/>
      <c r="M1257" s="162"/>
      <c r="S1257" s="260"/>
      <c r="AA1257" s="66"/>
      <c r="AF1257" s="162"/>
      <c r="AN1257" s="66"/>
      <c r="AO1257" s="132"/>
      <c r="AP1257" s="132"/>
    </row>
    <row r="1258" spans="6:42" x14ac:dyDescent="0.2">
      <c r="F1258" s="125"/>
      <c r="M1258" s="162"/>
      <c r="S1258" s="260"/>
      <c r="AA1258" s="66"/>
      <c r="AF1258" s="162"/>
      <c r="AN1258" s="66"/>
      <c r="AO1258" s="132"/>
      <c r="AP1258" s="132"/>
    </row>
    <row r="1259" spans="6:42" x14ac:dyDescent="0.2">
      <c r="F1259" s="125"/>
      <c r="M1259" s="162"/>
      <c r="S1259" s="260"/>
      <c r="AA1259" s="66"/>
      <c r="AF1259" s="162"/>
      <c r="AN1259" s="66"/>
      <c r="AO1259" s="132"/>
      <c r="AP1259" s="132"/>
    </row>
    <row r="1260" spans="6:42" x14ac:dyDescent="0.2">
      <c r="F1260" s="125"/>
      <c r="M1260" s="162"/>
      <c r="S1260" s="260"/>
      <c r="AA1260" s="66"/>
      <c r="AF1260" s="162"/>
      <c r="AN1260" s="66"/>
      <c r="AO1260" s="132"/>
      <c r="AP1260" s="132"/>
    </row>
    <row r="1261" spans="6:42" x14ac:dyDescent="0.2">
      <c r="F1261" s="125"/>
      <c r="M1261" s="162"/>
      <c r="S1261" s="260"/>
      <c r="AA1261" s="66"/>
      <c r="AF1261" s="162"/>
      <c r="AN1261" s="66"/>
      <c r="AO1261" s="132"/>
      <c r="AP1261" s="132"/>
    </row>
    <row r="1262" spans="6:42" x14ac:dyDescent="0.2">
      <c r="F1262" s="125"/>
      <c r="M1262" s="162"/>
      <c r="S1262" s="260"/>
      <c r="AA1262" s="66"/>
      <c r="AF1262" s="162"/>
      <c r="AN1262" s="66"/>
      <c r="AO1262" s="132"/>
      <c r="AP1262" s="132"/>
    </row>
    <row r="1263" spans="6:42" x14ac:dyDescent="0.2">
      <c r="F1263" s="125"/>
      <c r="M1263" s="162"/>
      <c r="S1263" s="260"/>
      <c r="AA1263" s="66"/>
      <c r="AF1263" s="162"/>
      <c r="AN1263" s="66"/>
      <c r="AO1263" s="132"/>
      <c r="AP1263" s="132"/>
    </row>
    <row r="1264" spans="6:42" x14ac:dyDescent="0.2">
      <c r="F1264" s="125"/>
      <c r="M1264" s="162"/>
      <c r="S1264" s="260"/>
      <c r="AA1264" s="66"/>
      <c r="AF1264" s="162"/>
      <c r="AN1264" s="66"/>
      <c r="AO1264" s="132"/>
      <c r="AP1264" s="132"/>
    </row>
    <row r="1265" spans="6:42" x14ac:dyDescent="0.2">
      <c r="F1265" s="125"/>
      <c r="M1265" s="162"/>
      <c r="S1265" s="260"/>
      <c r="AA1265" s="66"/>
      <c r="AF1265" s="162"/>
      <c r="AN1265" s="66"/>
      <c r="AO1265" s="132"/>
      <c r="AP1265" s="132"/>
    </row>
    <row r="1266" spans="6:42" x14ac:dyDescent="0.2">
      <c r="F1266" s="125"/>
      <c r="M1266" s="162"/>
      <c r="S1266" s="260"/>
      <c r="AA1266" s="66"/>
      <c r="AF1266" s="162"/>
      <c r="AN1266" s="66"/>
      <c r="AO1266" s="132"/>
      <c r="AP1266" s="132"/>
    </row>
    <row r="1267" spans="6:42" x14ac:dyDescent="0.2">
      <c r="F1267" s="125"/>
      <c r="M1267" s="162"/>
      <c r="S1267" s="260"/>
      <c r="AA1267" s="66"/>
      <c r="AF1267" s="162"/>
      <c r="AN1267" s="66"/>
      <c r="AO1267" s="132"/>
      <c r="AP1267" s="132"/>
    </row>
    <row r="1268" spans="6:42" x14ac:dyDescent="0.2">
      <c r="F1268" s="125"/>
      <c r="M1268" s="162"/>
      <c r="S1268" s="260"/>
      <c r="AA1268" s="66"/>
      <c r="AF1268" s="162"/>
      <c r="AN1268" s="66"/>
      <c r="AO1268" s="132"/>
      <c r="AP1268" s="132"/>
    </row>
    <row r="1269" spans="6:42" x14ac:dyDescent="0.2">
      <c r="F1269" s="125"/>
      <c r="M1269" s="162"/>
      <c r="S1269" s="260"/>
      <c r="AA1269" s="66"/>
      <c r="AF1269" s="162"/>
      <c r="AN1269" s="66"/>
      <c r="AO1269" s="132"/>
      <c r="AP1269" s="132"/>
    </row>
    <row r="1270" spans="6:42" x14ac:dyDescent="0.2">
      <c r="F1270" s="125"/>
      <c r="M1270" s="162"/>
      <c r="S1270" s="260"/>
      <c r="AA1270" s="66"/>
      <c r="AF1270" s="162"/>
      <c r="AN1270" s="66"/>
      <c r="AO1270" s="132"/>
      <c r="AP1270" s="132"/>
    </row>
    <row r="1271" spans="6:42" x14ac:dyDescent="0.2">
      <c r="F1271" s="125"/>
      <c r="M1271" s="162"/>
      <c r="S1271" s="260"/>
      <c r="AA1271" s="66"/>
      <c r="AF1271" s="162"/>
      <c r="AN1271" s="66"/>
      <c r="AO1271" s="132"/>
      <c r="AP1271" s="132"/>
    </row>
    <row r="1272" spans="6:42" x14ac:dyDescent="0.2">
      <c r="F1272" s="125"/>
      <c r="M1272" s="162"/>
      <c r="S1272" s="260"/>
      <c r="AA1272" s="66"/>
      <c r="AF1272" s="162"/>
      <c r="AN1272" s="66"/>
      <c r="AO1272" s="132"/>
      <c r="AP1272" s="132"/>
    </row>
    <row r="1273" spans="6:42" x14ac:dyDescent="0.2">
      <c r="F1273" s="125"/>
      <c r="M1273" s="162"/>
      <c r="S1273" s="260"/>
      <c r="AA1273" s="66"/>
      <c r="AF1273" s="162"/>
      <c r="AN1273" s="66"/>
      <c r="AO1273" s="132"/>
      <c r="AP1273" s="132"/>
    </row>
    <row r="1274" spans="6:42" x14ac:dyDescent="0.2">
      <c r="F1274" s="125"/>
      <c r="M1274" s="162"/>
      <c r="S1274" s="260"/>
      <c r="AA1274" s="66"/>
      <c r="AF1274" s="162"/>
      <c r="AN1274" s="66"/>
      <c r="AO1274" s="132"/>
      <c r="AP1274" s="132"/>
    </row>
    <row r="1275" spans="6:42" x14ac:dyDescent="0.2">
      <c r="F1275" s="125"/>
      <c r="M1275" s="162"/>
      <c r="S1275" s="260"/>
      <c r="AA1275" s="66"/>
      <c r="AF1275" s="162"/>
      <c r="AN1275" s="66"/>
      <c r="AO1275" s="132"/>
      <c r="AP1275" s="132"/>
    </row>
    <row r="1276" spans="6:42" x14ac:dyDescent="0.2">
      <c r="F1276" s="125"/>
      <c r="M1276" s="162"/>
      <c r="S1276" s="260"/>
      <c r="AA1276" s="66"/>
      <c r="AF1276" s="162"/>
      <c r="AN1276" s="66"/>
      <c r="AO1276" s="132"/>
      <c r="AP1276" s="132"/>
    </row>
    <row r="1277" spans="6:42" x14ac:dyDescent="0.2">
      <c r="F1277" s="125"/>
      <c r="M1277" s="162"/>
      <c r="S1277" s="260"/>
      <c r="AA1277" s="66"/>
      <c r="AF1277" s="162"/>
      <c r="AN1277" s="66"/>
      <c r="AO1277" s="132"/>
      <c r="AP1277" s="132"/>
    </row>
    <row r="1278" spans="6:42" x14ac:dyDescent="0.2">
      <c r="F1278" s="125"/>
      <c r="M1278" s="162"/>
      <c r="S1278" s="260"/>
      <c r="AA1278" s="66"/>
      <c r="AF1278" s="162"/>
      <c r="AN1278" s="66"/>
      <c r="AO1278" s="132"/>
      <c r="AP1278" s="132"/>
    </row>
    <row r="1279" spans="6:42" x14ac:dyDescent="0.2">
      <c r="F1279" s="125"/>
      <c r="M1279" s="162"/>
      <c r="S1279" s="260"/>
      <c r="AA1279" s="66"/>
      <c r="AF1279" s="162"/>
      <c r="AN1279" s="66"/>
      <c r="AO1279" s="132"/>
      <c r="AP1279" s="132"/>
    </row>
    <row r="1280" spans="6:42" x14ac:dyDescent="0.2">
      <c r="F1280" s="125"/>
      <c r="M1280" s="162"/>
      <c r="S1280" s="260"/>
      <c r="AA1280" s="66"/>
      <c r="AF1280" s="162"/>
      <c r="AN1280" s="66"/>
      <c r="AO1280" s="132"/>
      <c r="AP1280" s="132"/>
    </row>
    <row r="1281" spans="6:42" x14ac:dyDescent="0.2">
      <c r="F1281" s="125"/>
      <c r="M1281" s="162"/>
      <c r="S1281" s="260"/>
      <c r="AA1281" s="66"/>
      <c r="AF1281" s="162"/>
      <c r="AN1281" s="66"/>
      <c r="AO1281" s="132"/>
      <c r="AP1281" s="132"/>
    </row>
    <row r="1282" spans="6:42" x14ac:dyDescent="0.2">
      <c r="F1282" s="125"/>
      <c r="M1282" s="162"/>
      <c r="S1282" s="260"/>
      <c r="AA1282" s="66"/>
      <c r="AF1282" s="162"/>
      <c r="AN1282" s="66"/>
      <c r="AO1282" s="132"/>
      <c r="AP1282" s="132"/>
    </row>
    <row r="1283" spans="6:42" x14ac:dyDescent="0.2">
      <c r="F1283" s="125"/>
      <c r="M1283" s="162"/>
      <c r="S1283" s="260"/>
      <c r="AA1283" s="66"/>
      <c r="AF1283" s="162"/>
      <c r="AN1283" s="66"/>
      <c r="AO1283" s="132"/>
      <c r="AP1283" s="132"/>
    </row>
    <row r="1284" spans="6:42" x14ac:dyDescent="0.2">
      <c r="F1284" s="125"/>
      <c r="M1284" s="162"/>
      <c r="S1284" s="260"/>
      <c r="AA1284" s="66"/>
      <c r="AF1284" s="162"/>
      <c r="AN1284" s="66"/>
      <c r="AO1284" s="132"/>
      <c r="AP1284" s="132"/>
    </row>
    <row r="1285" spans="6:42" x14ac:dyDescent="0.2">
      <c r="F1285" s="125"/>
      <c r="M1285" s="162"/>
      <c r="S1285" s="260"/>
      <c r="AA1285" s="66"/>
      <c r="AF1285" s="162"/>
      <c r="AN1285" s="66"/>
      <c r="AO1285" s="132"/>
      <c r="AP1285" s="132"/>
    </row>
    <row r="1286" spans="6:42" x14ac:dyDescent="0.2">
      <c r="F1286" s="125"/>
      <c r="M1286" s="162"/>
      <c r="S1286" s="260"/>
      <c r="AA1286" s="66"/>
      <c r="AF1286" s="162"/>
      <c r="AN1286" s="66"/>
      <c r="AO1286" s="132"/>
      <c r="AP1286" s="132"/>
    </row>
    <row r="1287" spans="6:42" x14ac:dyDescent="0.2">
      <c r="F1287" s="125"/>
      <c r="M1287" s="162"/>
      <c r="S1287" s="260"/>
      <c r="AA1287" s="66"/>
      <c r="AF1287" s="162"/>
      <c r="AN1287" s="66"/>
      <c r="AO1287" s="132"/>
      <c r="AP1287" s="132"/>
    </row>
    <row r="1288" spans="6:42" x14ac:dyDescent="0.2">
      <c r="F1288" s="125"/>
      <c r="M1288" s="162"/>
      <c r="S1288" s="260"/>
      <c r="AA1288" s="66"/>
      <c r="AF1288" s="162"/>
      <c r="AN1288" s="66"/>
      <c r="AO1288" s="132"/>
      <c r="AP1288" s="132"/>
    </row>
    <row r="1289" spans="6:42" x14ac:dyDescent="0.2">
      <c r="F1289" s="125"/>
      <c r="M1289" s="162"/>
      <c r="S1289" s="260"/>
      <c r="AA1289" s="66"/>
      <c r="AF1289" s="162"/>
      <c r="AN1289" s="66"/>
      <c r="AO1289" s="132"/>
      <c r="AP1289" s="132"/>
    </row>
    <row r="1290" spans="6:42" x14ac:dyDescent="0.2">
      <c r="F1290" s="125"/>
      <c r="M1290" s="162"/>
      <c r="S1290" s="260"/>
      <c r="AA1290" s="66"/>
      <c r="AF1290" s="162"/>
      <c r="AN1290" s="66"/>
      <c r="AO1290" s="132"/>
      <c r="AP1290" s="132"/>
    </row>
    <row r="1291" spans="6:42" x14ac:dyDescent="0.2">
      <c r="F1291" s="125"/>
      <c r="M1291" s="162"/>
      <c r="S1291" s="260"/>
      <c r="AA1291" s="66"/>
      <c r="AF1291" s="162"/>
      <c r="AN1291" s="66"/>
      <c r="AO1291" s="132"/>
      <c r="AP1291" s="132"/>
    </row>
    <row r="1292" spans="6:42" x14ac:dyDescent="0.2">
      <c r="F1292" s="125"/>
      <c r="M1292" s="162"/>
      <c r="S1292" s="260"/>
      <c r="AA1292" s="66"/>
      <c r="AF1292" s="162"/>
      <c r="AN1292" s="66"/>
      <c r="AO1292" s="132"/>
      <c r="AP1292" s="132"/>
    </row>
    <row r="1293" spans="6:42" x14ac:dyDescent="0.2">
      <c r="F1293" s="125"/>
      <c r="M1293" s="162"/>
      <c r="S1293" s="260"/>
      <c r="AA1293" s="66"/>
      <c r="AF1293" s="162"/>
      <c r="AN1293" s="66"/>
      <c r="AO1293" s="132"/>
      <c r="AP1293" s="132"/>
    </row>
    <row r="1294" spans="6:42" x14ac:dyDescent="0.2">
      <c r="F1294" s="125"/>
      <c r="M1294" s="162"/>
      <c r="S1294" s="260"/>
      <c r="AA1294" s="66"/>
      <c r="AF1294" s="162"/>
      <c r="AN1294" s="66"/>
      <c r="AO1294" s="132"/>
      <c r="AP1294" s="132"/>
    </row>
    <row r="1295" spans="6:42" x14ac:dyDescent="0.2">
      <c r="F1295" s="125"/>
      <c r="M1295" s="162"/>
      <c r="S1295" s="260"/>
      <c r="AA1295" s="66"/>
      <c r="AF1295" s="162"/>
      <c r="AN1295" s="66"/>
      <c r="AO1295" s="132"/>
      <c r="AP1295" s="132"/>
    </row>
    <row r="1296" spans="6:42" x14ac:dyDescent="0.2">
      <c r="F1296" s="125"/>
      <c r="M1296" s="162"/>
      <c r="S1296" s="260"/>
      <c r="AA1296" s="66"/>
      <c r="AF1296" s="162"/>
      <c r="AN1296" s="66"/>
      <c r="AO1296" s="132"/>
      <c r="AP1296" s="132"/>
    </row>
    <row r="1297" spans="6:42" x14ac:dyDescent="0.2">
      <c r="F1297" s="125"/>
      <c r="M1297" s="162"/>
      <c r="S1297" s="260"/>
      <c r="AA1297" s="66"/>
      <c r="AF1297" s="162"/>
      <c r="AN1297" s="66"/>
      <c r="AO1297" s="132"/>
      <c r="AP1297" s="132"/>
    </row>
    <row r="1298" spans="6:42" x14ac:dyDescent="0.2">
      <c r="F1298" s="125"/>
      <c r="M1298" s="162"/>
      <c r="S1298" s="260"/>
      <c r="AA1298" s="66"/>
      <c r="AF1298" s="162"/>
      <c r="AN1298" s="66"/>
      <c r="AO1298" s="132"/>
      <c r="AP1298" s="132"/>
    </row>
    <row r="1299" spans="6:42" x14ac:dyDescent="0.2">
      <c r="F1299" s="125"/>
      <c r="M1299" s="162"/>
      <c r="S1299" s="260"/>
      <c r="AA1299" s="66"/>
      <c r="AF1299" s="162"/>
      <c r="AN1299" s="66"/>
      <c r="AO1299" s="132"/>
      <c r="AP1299" s="132"/>
    </row>
    <row r="1300" spans="6:42" x14ac:dyDescent="0.2">
      <c r="F1300" s="125"/>
      <c r="M1300" s="162"/>
      <c r="S1300" s="260"/>
      <c r="AA1300" s="66"/>
      <c r="AF1300" s="162"/>
      <c r="AN1300" s="66"/>
      <c r="AO1300" s="132"/>
      <c r="AP1300" s="132"/>
    </row>
    <row r="1301" spans="6:42" x14ac:dyDescent="0.2">
      <c r="F1301" s="125"/>
      <c r="M1301" s="162"/>
      <c r="S1301" s="260"/>
      <c r="AA1301" s="66"/>
      <c r="AF1301" s="162"/>
      <c r="AN1301" s="66"/>
      <c r="AO1301" s="132"/>
      <c r="AP1301" s="132"/>
    </row>
    <row r="1302" spans="6:42" x14ac:dyDescent="0.2">
      <c r="F1302" s="125"/>
      <c r="M1302" s="162"/>
      <c r="S1302" s="260"/>
      <c r="AA1302" s="66"/>
      <c r="AF1302" s="162"/>
      <c r="AN1302" s="66"/>
      <c r="AO1302" s="132"/>
      <c r="AP1302" s="132"/>
    </row>
    <row r="1303" spans="6:42" x14ac:dyDescent="0.2">
      <c r="F1303" s="125"/>
      <c r="M1303" s="162"/>
      <c r="S1303" s="260"/>
      <c r="AA1303" s="66"/>
      <c r="AF1303" s="162"/>
      <c r="AN1303" s="66"/>
      <c r="AO1303" s="132"/>
      <c r="AP1303" s="132"/>
    </row>
    <row r="1304" spans="6:42" x14ac:dyDescent="0.2">
      <c r="F1304" s="125"/>
      <c r="M1304" s="162"/>
      <c r="S1304" s="260"/>
      <c r="AA1304" s="66"/>
      <c r="AF1304" s="162"/>
      <c r="AN1304" s="66"/>
      <c r="AO1304" s="132"/>
      <c r="AP1304" s="132"/>
    </row>
    <row r="1305" spans="6:42" x14ac:dyDescent="0.2">
      <c r="F1305" s="125"/>
      <c r="M1305" s="162"/>
      <c r="S1305" s="260"/>
      <c r="AA1305" s="66"/>
      <c r="AF1305" s="162"/>
      <c r="AN1305" s="66"/>
      <c r="AO1305" s="132"/>
      <c r="AP1305" s="132"/>
    </row>
    <row r="1306" spans="6:42" x14ac:dyDescent="0.2">
      <c r="F1306" s="125"/>
      <c r="M1306" s="162"/>
      <c r="S1306" s="260"/>
      <c r="AA1306" s="66"/>
      <c r="AF1306" s="162"/>
      <c r="AN1306" s="66"/>
      <c r="AO1306" s="132"/>
      <c r="AP1306" s="132"/>
    </row>
    <row r="1307" spans="6:42" x14ac:dyDescent="0.2">
      <c r="F1307" s="125"/>
      <c r="M1307" s="162"/>
      <c r="S1307" s="260"/>
      <c r="AA1307" s="66"/>
      <c r="AF1307" s="162"/>
      <c r="AN1307" s="66"/>
      <c r="AO1307" s="132"/>
      <c r="AP1307" s="132"/>
    </row>
    <row r="1308" spans="6:42" x14ac:dyDescent="0.2">
      <c r="F1308" s="125"/>
      <c r="M1308" s="162"/>
      <c r="S1308" s="260"/>
      <c r="AA1308" s="66"/>
      <c r="AF1308" s="162"/>
      <c r="AN1308" s="66"/>
      <c r="AO1308" s="132"/>
      <c r="AP1308" s="132"/>
    </row>
    <row r="1309" spans="6:42" x14ac:dyDescent="0.2">
      <c r="F1309" s="125"/>
      <c r="M1309" s="162"/>
      <c r="S1309" s="260"/>
      <c r="AA1309" s="66"/>
      <c r="AF1309" s="162"/>
      <c r="AN1309" s="66"/>
      <c r="AO1309" s="132"/>
      <c r="AP1309" s="132"/>
    </row>
    <row r="1310" spans="6:42" x14ac:dyDescent="0.2">
      <c r="F1310" s="125"/>
      <c r="M1310" s="162"/>
      <c r="S1310" s="260"/>
      <c r="AA1310" s="66"/>
      <c r="AF1310" s="162"/>
      <c r="AN1310" s="66"/>
      <c r="AO1310" s="132"/>
      <c r="AP1310" s="132"/>
    </row>
    <row r="1311" spans="6:42" x14ac:dyDescent="0.2">
      <c r="F1311" s="125"/>
      <c r="M1311" s="162"/>
      <c r="S1311" s="260"/>
      <c r="AA1311" s="66"/>
      <c r="AF1311" s="162"/>
      <c r="AN1311" s="66"/>
      <c r="AO1311" s="132"/>
      <c r="AP1311" s="132"/>
    </row>
    <row r="1312" spans="6:42" x14ac:dyDescent="0.2">
      <c r="F1312" s="125"/>
      <c r="M1312" s="162"/>
      <c r="S1312" s="260"/>
      <c r="AA1312" s="66"/>
      <c r="AF1312" s="162"/>
      <c r="AN1312" s="66"/>
      <c r="AO1312" s="132"/>
      <c r="AP1312" s="132"/>
    </row>
    <row r="1313" spans="6:42" x14ac:dyDescent="0.2">
      <c r="F1313" s="125"/>
      <c r="M1313" s="162"/>
      <c r="S1313" s="260"/>
      <c r="AA1313" s="66"/>
      <c r="AF1313" s="162"/>
      <c r="AN1313" s="66"/>
      <c r="AO1313" s="132"/>
      <c r="AP1313" s="132"/>
    </row>
    <row r="1314" spans="6:42" x14ac:dyDescent="0.2">
      <c r="F1314" s="125"/>
      <c r="M1314" s="162"/>
      <c r="S1314" s="260"/>
      <c r="AA1314" s="66"/>
      <c r="AF1314" s="162"/>
      <c r="AN1314" s="66"/>
      <c r="AO1314" s="132"/>
      <c r="AP1314" s="132"/>
    </row>
    <row r="1315" spans="6:42" x14ac:dyDescent="0.2">
      <c r="F1315" s="125"/>
      <c r="M1315" s="162"/>
      <c r="S1315" s="260"/>
      <c r="AA1315" s="66"/>
      <c r="AF1315" s="162"/>
      <c r="AN1315" s="66"/>
      <c r="AO1315" s="132"/>
      <c r="AP1315" s="132"/>
    </row>
    <row r="1316" spans="6:42" x14ac:dyDescent="0.2">
      <c r="F1316" s="125"/>
      <c r="M1316" s="162"/>
      <c r="S1316" s="260"/>
      <c r="AA1316" s="66"/>
      <c r="AF1316" s="162"/>
      <c r="AN1316" s="66"/>
      <c r="AO1316" s="132"/>
      <c r="AP1316" s="132"/>
    </row>
    <row r="1317" spans="6:42" x14ac:dyDescent="0.2">
      <c r="F1317" s="125"/>
      <c r="M1317" s="162"/>
      <c r="S1317" s="260"/>
      <c r="AA1317" s="66"/>
      <c r="AF1317" s="162"/>
      <c r="AN1317" s="66"/>
      <c r="AO1317" s="132"/>
      <c r="AP1317" s="132"/>
    </row>
    <row r="1318" spans="6:42" x14ac:dyDescent="0.2">
      <c r="F1318" s="125"/>
      <c r="M1318" s="162"/>
      <c r="S1318" s="260"/>
      <c r="AA1318" s="66"/>
      <c r="AF1318" s="162"/>
      <c r="AN1318" s="66"/>
      <c r="AO1318" s="132"/>
      <c r="AP1318" s="132"/>
    </row>
    <row r="1319" spans="6:42" x14ac:dyDescent="0.2">
      <c r="F1319" s="125"/>
      <c r="M1319" s="162"/>
      <c r="S1319" s="260"/>
      <c r="AA1319" s="66"/>
      <c r="AF1319" s="162"/>
      <c r="AN1319" s="66"/>
      <c r="AO1319" s="132"/>
      <c r="AP1319" s="132"/>
    </row>
    <row r="1320" spans="6:42" x14ac:dyDescent="0.2">
      <c r="F1320" s="125"/>
      <c r="M1320" s="162"/>
      <c r="S1320" s="260"/>
      <c r="AA1320" s="66"/>
      <c r="AF1320" s="162"/>
      <c r="AN1320" s="66"/>
      <c r="AO1320" s="132"/>
      <c r="AP1320" s="132"/>
    </row>
    <row r="1321" spans="6:42" x14ac:dyDescent="0.2">
      <c r="F1321" s="125"/>
      <c r="M1321" s="162"/>
      <c r="S1321" s="260"/>
      <c r="AA1321" s="66"/>
      <c r="AF1321" s="162"/>
      <c r="AN1321" s="66"/>
      <c r="AO1321" s="132"/>
      <c r="AP1321" s="132"/>
    </row>
    <row r="1322" spans="6:42" x14ac:dyDescent="0.2">
      <c r="F1322" s="125"/>
      <c r="M1322" s="162"/>
      <c r="S1322" s="260"/>
      <c r="AA1322" s="66"/>
      <c r="AF1322" s="162"/>
      <c r="AN1322" s="66"/>
      <c r="AO1322" s="132"/>
      <c r="AP1322" s="132"/>
    </row>
    <row r="1323" spans="6:42" x14ac:dyDescent="0.2">
      <c r="F1323" s="125"/>
      <c r="M1323" s="162"/>
      <c r="S1323" s="260"/>
      <c r="AA1323" s="66"/>
      <c r="AF1323" s="162"/>
      <c r="AN1323" s="66"/>
      <c r="AO1323" s="132"/>
      <c r="AP1323" s="132"/>
    </row>
    <row r="1324" spans="6:42" x14ac:dyDescent="0.2">
      <c r="F1324" s="125"/>
      <c r="M1324" s="162"/>
      <c r="S1324" s="260"/>
      <c r="AA1324" s="66"/>
      <c r="AF1324" s="162"/>
      <c r="AN1324" s="66"/>
      <c r="AO1324" s="132"/>
      <c r="AP1324" s="132"/>
    </row>
    <row r="1325" spans="6:42" x14ac:dyDescent="0.2">
      <c r="F1325" s="125"/>
      <c r="M1325" s="162"/>
      <c r="S1325" s="260"/>
      <c r="AA1325" s="66"/>
      <c r="AF1325" s="162"/>
      <c r="AN1325" s="66"/>
      <c r="AO1325" s="132"/>
      <c r="AP1325" s="132"/>
    </row>
    <row r="1326" spans="6:42" x14ac:dyDescent="0.2">
      <c r="F1326" s="125"/>
      <c r="M1326" s="162"/>
      <c r="S1326" s="260"/>
      <c r="AA1326" s="66"/>
      <c r="AF1326" s="162"/>
      <c r="AN1326" s="66"/>
      <c r="AO1326" s="132"/>
      <c r="AP1326" s="132"/>
    </row>
    <row r="1327" spans="6:42" x14ac:dyDescent="0.2">
      <c r="F1327" s="125"/>
      <c r="M1327" s="162"/>
      <c r="S1327" s="260"/>
      <c r="AA1327" s="66"/>
      <c r="AF1327" s="162"/>
      <c r="AN1327" s="66"/>
      <c r="AO1327" s="132"/>
      <c r="AP1327" s="132"/>
    </row>
    <row r="1328" spans="6:42" x14ac:dyDescent="0.2">
      <c r="F1328" s="125"/>
      <c r="M1328" s="162"/>
      <c r="S1328" s="260"/>
      <c r="AA1328" s="66"/>
      <c r="AF1328" s="162"/>
      <c r="AN1328" s="66"/>
      <c r="AO1328" s="132"/>
      <c r="AP1328" s="132"/>
    </row>
    <row r="1329" spans="6:42" x14ac:dyDescent="0.2">
      <c r="F1329" s="125"/>
      <c r="M1329" s="162"/>
      <c r="S1329" s="260"/>
      <c r="AA1329" s="66"/>
      <c r="AF1329" s="162"/>
      <c r="AN1329" s="66"/>
      <c r="AO1329" s="132"/>
      <c r="AP1329" s="132"/>
    </row>
    <row r="1330" spans="6:42" x14ac:dyDescent="0.2">
      <c r="F1330" s="125"/>
      <c r="M1330" s="162"/>
      <c r="S1330" s="260"/>
      <c r="AA1330" s="66"/>
      <c r="AF1330" s="162"/>
      <c r="AN1330" s="66"/>
      <c r="AO1330" s="132"/>
      <c r="AP1330" s="132"/>
    </row>
    <row r="1331" spans="6:42" x14ac:dyDescent="0.2">
      <c r="F1331" s="125"/>
      <c r="M1331" s="162"/>
      <c r="S1331" s="260"/>
      <c r="AA1331" s="66"/>
      <c r="AF1331" s="162"/>
      <c r="AN1331" s="66"/>
      <c r="AO1331" s="132"/>
      <c r="AP1331" s="132"/>
    </row>
    <row r="1332" spans="6:42" x14ac:dyDescent="0.2">
      <c r="F1332" s="125"/>
      <c r="M1332" s="162"/>
      <c r="S1332" s="260"/>
      <c r="AA1332" s="66"/>
      <c r="AF1332" s="162"/>
      <c r="AN1332" s="66"/>
      <c r="AO1332" s="132"/>
      <c r="AP1332" s="132"/>
    </row>
    <row r="1333" spans="6:42" x14ac:dyDescent="0.2">
      <c r="F1333" s="125"/>
      <c r="M1333" s="162"/>
      <c r="S1333" s="260"/>
      <c r="AA1333" s="66"/>
      <c r="AF1333" s="162"/>
      <c r="AN1333" s="66"/>
      <c r="AO1333" s="132"/>
      <c r="AP1333" s="132"/>
    </row>
    <row r="1334" spans="6:42" x14ac:dyDescent="0.2">
      <c r="F1334" s="125"/>
      <c r="M1334" s="162"/>
      <c r="S1334" s="260"/>
      <c r="AA1334" s="66"/>
      <c r="AF1334" s="162"/>
      <c r="AN1334" s="66"/>
      <c r="AO1334" s="132"/>
      <c r="AP1334" s="132"/>
    </row>
    <row r="1335" spans="6:42" x14ac:dyDescent="0.2">
      <c r="F1335" s="125"/>
      <c r="M1335" s="162"/>
      <c r="S1335" s="260"/>
      <c r="AA1335" s="66"/>
      <c r="AF1335" s="162"/>
      <c r="AN1335" s="66"/>
      <c r="AO1335" s="132"/>
      <c r="AP1335" s="132"/>
    </row>
    <row r="1336" spans="6:42" x14ac:dyDescent="0.2">
      <c r="F1336" s="125"/>
      <c r="M1336" s="162"/>
      <c r="S1336" s="260"/>
      <c r="AA1336" s="66"/>
      <c r="AF1336" s="162"/>
      <c r="AN1336" s="66"/>
      <c r="AO1336" s="132"/>
      <c r="AP1336" s="132"/>
    </row>
    <row r="1337" spans="6:42" x14ac:dyDescent="0.2">
      <c r="F1337" s="125"/>
      <c r="M1337" s="162"/>
      <c r="S1337" s="260"/>
      <c r="AA1337" s="66"/>
      <c r="AF1337" s="162"/>
      <c r="AN1337" s="66"/>
      <c r="AO1337" s="132"/>
      <c r="AP1337" s="132"/>
    </row>
    <row r="1338" spans="6:42" x14ac:dyDescent="0.2">
      <c r="F1338" s="125"/>
      <c r="M1338" s="162"/>
      <c r="S1338" s="260"/>
      <c r="AA1338" s="66"/>
      <c r="AF1338" s="162"/>
      <c r="AN1338" s="66"/>
      <c r="AO1338" s="132"/>
      <c r="AP1338" s="132"/>
    </row>
    <row r="1339" spans="6:42" x14ac:dyDescent="0.2">
      <c r="F1339" s="125"/>
      <c r="M1339" s="162"/>
      <c r="S1339" s="260"/>
      <c r="AA1339" s="66"/>
      <c r="AF1339" s="162"/>
      <c r="AN1339" s="66"/>
      <c r="AO1339" s="132"/>
      <c r="AP1339" s="132"/>
    </row>
    <row r="1340" spans="6:42" x14ac:dyDescent="0.2">
      <c r="F1340" s="125"/>
      <c r="M1340" s="162"/>
      <c r="S1340" s="260"/>
      <c r="AA1340" s="66"/>
      <c r="AF1340" s="162"/>
      <c r="AN1340" s="66"/>
      <c r="AO1340" s="132"/>
      <c r="AP1340" s="132"/>
    </row>
    <row r="1341" spans="6:42" x14ac:dyDescent="0.2">
      <c r="F1341" s="125"/>
      <c r="M1341" s="162"/>
      <c r="S1341" s="260"/>
      <c r="AA1341" s="66"/>
      <c r="AF1341" s="162"/>
      <c r="AN1341" s="66"/>
      <c r="AO1341" s="132"/>
      <c r="AP1341" s="132"/>
    </row>
    <row r="1342" spans="6:42" x14ac:dyDescent="0.2">
      <c r="F1342" s="125"/>
      <c r="M1342" s="162"/>
      <c r="S1342" s="260"/>
      <c r="AA1342" s="66"/>
      <c r="AF1342" s="162"/>
      <c r="AN1342" s="66"/>
      <c r="AO1342" s="132"/>
      <c r="AP1342" s="132"/>
    </row>
    <row r="1343" spans="6:42" x14ac:dyDescent="0.2">
      <c r="F1343" s="125"/>
      <c r="M1343" s="162"/>
      <c r="S1343" s="260"/>
      <c r="AA1343" s="66"/>
      <c r="AF1343" s="162"/>
      <c r="AN1343" s="66"/>
      <c r="AO1343" s="132"/>
      <c r="AP1343" s="132"/>
    </row>
    <row r="1344" spans="6:42" x14ac:dyDescent="0.2">
      <c r="F1344" s="125"/>
      <c r="M1344" s="162"/>
      <c r="S1344" s="260"/>
      <c r="AA1344" s="66"/>
      <c r="AF1344" s="162"/>
      <c r="AN1344" s="66"/>
      <c r="AO1344" s="132"/>
      <c r="AP1344" s="132"/>
    </row>
    <row r="1345" spans="6:42" x14ac:dyDescent="0.2">
      <c r="F1345" s="125"/>
      <c r="M1345" s="162"/>
      <c r="S1345" s="260"/>
      <c r="AA1345" s="66"/>
      <c r="AF1345" s="162"/>
      <c r="AN1345" s="66"/>
      <c r="AO1345" s="132"/>
      <c r="AP1345" s="132"/>
    </row>
    <row r="1346" spans="6:42" x14ac:dyDescent="0.2">
      <c r="F1346" s="125"/>
      <c r="M1346" s="162"/>
      <c r="S1346" s="260"/>
      <c r="AA1346" s="66"/>
      <c r="AF1346" s="162"/>
      <c r="AN1346" s="66"/>
      <c r="AO1346" s="132"/>
      <c r="AP1346" s="132"/>
    </row>
    <row r="1347" spans="6:42" x14ac:dyDescent="0.2">
      <c r="F1347" s="125"/>
      <c r="M1347" s="162"/>
      <c r="S1347" s="260"/>
      <c r="AA1347" s="66"/>
      <c r="AF1347" s="162"/>
      <c r="AN1347" s="66"/>
      <c r="AO1347" s="132"/>
      <c r="AP1347" s="132"/>
    </row>
    <row r="1348" spans="6:42" x14ac:dyDescent="0.2">
      <c r="F1348" s="125"/>
      <c r="M1348" s="162"/>
      <c r="S1348" s="260"/>
      <c r="AA1348" s="66"/>
      <c r="AF1348" s="162"/>
      <c r="AN1348" s="66"/>
      <c r="AO1348" s="132"/>
      <c r="AP1348" s="132"/>
    </row>
    <row r="1349" spans="6:42" x14ac:dyDescent="0.2">
      <c r="F1349" s="125"/>
      <c r="M1349" s="162"/>
      <c r="S1349" s="260"/>
      <c r="AA1349" s="66"/>
      <c r="AF1349" s="162"/>
      <c r="AN1349" s="66"/>
      <c r="AO1349" s="132"/>
      <c r="AP1349" s="132"/>
    </row>
    <row r="1350" spans="6:42" x14ac:dyDescent="0.2">
      <c r="F1350" s="125"/>
      <c r="M1350" s="162"/>
      <c r="S1350" s="260"/>
      <c r="AA1350" s="66"/>
      <c r="AF1350" s="162"/>
      <c r="AN1350" s="66"/>
      <c r="AO1350" s="132"/>
      <c r="AP1350" s="132"/>
    </row>
    <row r="1351" spans="6:42" x14ac:dyDescent="0.2">
      <c r="F1351" s="125"/>
      <c r="M1351" s="162"/>
      <c r="S1351" s="260"/>
      <c r="AA1351" s="66"/>
      <c r="AF1351" s="162"/>
      <c r="AN1351" s="66"/>
      <c r="AO1351" s="132"/>
      <c r="AP1351" s="132"/>
    </row>
    <row r="1352" spans="6:42" x14ac:dyDescent="0.2">
      <c r="F1352" s="125"/>
      <c r="M1352" s="162"/>
      <c r="S1352" s="260"/>
      <c r="AA1352" s="66"/>
      <c r="AF1352" s="162"/>
      <c r="AN1352" s="66"/>
      <c r="AO1352" s="132"/>
      <c r="AP1352" s="132"/>
    </row>
    <row r="1353" spans="6:42" x14ac:dyDescent="0.2">
      <c r="F1353" s="125"/>
      <c r="M1353" s="162"/>
      <c r="S1353" s="260"/>
      <c r="AA1353" s="66"/>
      <c r="AF1353" s="162"/>
      <c r="AN1353" s="66"/>
      <c r="AO1353" s="132"/>
      <c r="AP1353" s="132"/>
    </row>
    <row r="1354" spans="6:42" x14ac:dyDescent="0.2">
      <c r="F1354" s="125"/>
      <c r="M1354" s="162"/>
      <c r="S1354" s="260"/>
      <c r="AA1354" s="66"/>
      <c r="AF1354" s="162"/>
      <c r="AN1354" s="66"/>
      <c r="AO1354" s="132"/>
      <c r="AP1354" s="132"/>
    </row>
    <row r="1355" spans="6:42" x14ac:dyDescent="0.2">
      <c r="F1355" s="125"/>
      <c r="M1355" s="162"/>
      <c r="S1355" s="260"/>
      <c r="AA1355" s="66"/>
      <c r="AF1355" s="162"/>
      <c r="AN1355" s="66"/>
      <c r="AO1355" s="132"/>
      <c r="AP1355" s="132"/>
    </row>
    <row r="1356" spans="6:42" x14ac:dyDescent="0.2">
      <c r="F1356" s="125"/>
      <c r="M1356" s="162"/>
      <c r="S1356" s="260"/>
      <c r="AA1356" s="66"/>
      <c r="AF1356" s="162"/>
      <c r="AN1356" s="66"/>
      <c r="AO1356" s="132"/>
      <c r="AP1356" s="132"/>
    </row>
    <row r="1357" spans="6:42" x14ac:dyDescent="0.2">
      <c r="F1357" s="125"/>
      <c r="M1357" s="162"/>
      <c r="S1357" s="260"/>
      <c r="AA1357" s="66"/>
      <c r="AF1357" s="162"/>
      <c r="AN1357" s="66"/>
      <c r="AO1357" s="132"/>
      <c r="AP1357" s="132"/>
    </row>
    <row r="1358" spans="6:42" x14ac:dyDescent="0.2">
      <c r="F1358" s="125"/>
      <c r="M1358" s="162"/>
      <c r="S1358" s="260"/>
      <c r="AA1358" s="66"/>
      <c r="AF1358" s="162"/>
      <c r="AN1358" s="66"/>
      <c r="AO1358" s="132"/>
      <c r="AP1358" s="132"/>
    </row>
    <row r="1359" spans="6:42" x14ac:dyDescent="0.2">
      <c r="F1359" s="125"/>
      <c r="M1359" s="162"/>
      <c r="S1359" s="260"/>
      <c r="AA1359" s="66"/>
      <c r="AF1359" s="162"/>
      <c r="AN1359" s="66"/>
      <c r="AO1359" s="132"/>
      <c r="AP1359" s="132"/>
    </row>
    <row r="1360" spans="6:42" x14ac:dyDescent="0.2">
      <c r="F1360" s="125"/>
      <c r="M1360" s="162"/>
      <c r="S1360" s="260"/>
      <c r="AA1360" s="66"/>
      <c r="AF1360" s="162"/>
      <c r="AN1360" s="66"/>
      <c r="AO1360" s="132"/>
      <c r="AP1360" s="132"/>
    </row>
    <row r="1361" spans="6:42" x14ac:dyDescent="0.2">
      <c r="F1361" s="125"/>
      <c r="M1361" s="162"/>
      <c r="S1361" s="260"/>
      <c r="AA1361" s="66"/>
      <c r="AF1361" s="162"/>
      <c r="AN1361" s="66"/>
      <c r="AO1361" s="132"/>
      <c r="AP1361" s="132"/>
    </row>
    <row r="1362" spans="6:42" x14ac:dyDescent="0.2">
      <c r="F1362" s="125"/>
      <c r="M1362" s="162"/>
      <c r="S1362" s="260"/>
      <c r="AA1362" s="66"/>
      <c r="AF1362" s="162"/>
      <c r="AN1362" s="66"/>
      <c r="AO1362" s="132"/>
      <c r="AP1362" s="132"/>
    </row>
    <row r="1363" spans="6:42" x14ac:dyDescent="0.2">
      <c r="F1363" s="125"/>
      <c r="M1363" s="162"/>
      <c r="S1363" s="260"/>
      <c r="AA1363" s="66"/>
      <c r="AF1363" s="162"/>
      <c r="AN1363" s="66"/>
      <c r="AO1363" s="132"/>
      <c r="AP1363" s="132"/>
    </row>
    <row r="1364" spans="6:42" x14ac:dyDescent="0.2">
      <c r="F1364" s="125"/>
      <c r="M1364" s="162"/>
      <c r="S1364" s="260"/>
      <c r="AA1364" s="66"/>
      <c r="AF1364" s="162"/>
      <c r="AN1364" s="66"/>
      <c r="AO1364" s="132"/>
      <c r="AP1364" s="132"/>
    </row>
    <row r="1365" spans="6:42" x14ac:dyDescent="0.2">
      <c r="F1365" s="125"/>
      <c r="M1365" s="162"/>
      <c r="S1365" s="260"/>
      <c r="AA1365" s="66"/>
      <c r="AF1365" s="162"/>
      <c r="AN1365" s="66"/>
      <c r="AO1365" s="132"/>
      <c r="AP1365" s="132"/>
    </row>
    <row r="1366" spans="6:42" x14ac:dyDescent="0.2">
      <c r="F1366" s="125"/>
      <c r="M1366" s="162"/>
      <c r="S1366" s="260"/>
      <c r="AA1366" s="66"/>
      <c r="AF1366" s="162"/>
      <c r="AN1366" s="66"/>
      <c r="AO1366" s="132"/>
      <c r="AP1366" s="132"/>
    </row>
    <row r="1367" spans="6:42" x14ac:dyDescent="0.2">
      <c r="F1367" s="125"/>
      <c r="M1367" s="162"/>
      <c r="S1367" s="260"/>
      <c r="AA1367" s="66"/>
      <c r="AF1367" s="162"/>
      <c r="AN1367" s="66"/>
      <c r="AO1367" s="132"/>
      <c r="AP1367" s="132"/>
    </row>
    <row r="1368" spans="6:42" x14ac:dyDescent="0.2">
      <c r="F1368" s="125"/>
      <c r="M1368" s="162"/>
      <c r="S1368" s="260"/>
      <c r="AA1368" s="66"/>
      <c r="AF1368" s="162"/>
      <c r="AN1368" s="66"/>
      <c r="AO1368" s="132"/>
      <c r="AP1368" s="132"/>
    </row>
    <row r="1369" spans="6:42" x14ac:dyDescent="0.2">
      <c r="F1369" s="125"/>
      <c r="M1369" s="162"/>
      <c r="S1369" s="260"/>
      <c r="AA1369" s="66"/>
      <c r="AF1369" s="162"/>
      <c r="AN1369" s="66"/>
      <c r="AO1369" s="132"/>
      <c r="AP1369" s="132"/>
    </row>
    <row r="1370" spans="6:42" x14ac:dyDescent="0.2">
      <c r="F1370" s="125"/>
      <c r="M1370" s="162"/>
      <c r="S1370" s="260"/>
      <c r="AA1370" s="66"/>
      <c r="AF1370" s="162"/>
      <c r="AN1370" s="66"/>
      <c r="AO1370" s="132"/>
      <c r="AP1370" s="132"/>
    </row>
    <row r="1371" spans="6:42" x14ac:dyDescent="0.2">
      <c r="F1371" s="125"/>
      <c r="M1371" s="162"/>
      <c r="S1371" s="260"/>
      <c r="AA1371" s="66"/>
      <c r="AF1371" s="162"/>
      <c r="AN1371" s="66"/>
      <c r="AO1371" s="132"/>
      <c r="AP1371" s="132"/>
    </row>
    <row r="1372" spans="6:42" x14ac:dyDescent="0.2">
      <c r="F1372" s="125"/>
      <c r="M1372" s="162"/>
      <c r="S1372" s="260"/>
      <c r="AA1372" s="66"/>
      <c r="AF1372" s="162"/>
      <c r="AN1372" s="66"/>
      <c r="AO1372" s="132"/>
      <c r="AP1372" s="132"/>
    </row>
    <row r="1373" spans="6:42" x14ac:dyDescent="0.2">
      <c r="F1373" s="125"/>
      <c r="M1373" s="162"/>
      <c r="S1373" s="260"/>
      <c r="AA1373" s="66"/>
      <c r="AF1373" s="162"/>
      <c r="AN1373" s="66"/>
      <c r="AO1373" s="132"/>
      <c r="AP1373" s="132"/>
    </row>
    <row r="1374" spans="6:42" x14ac:dyDescent="0.2">
      <c r="F1374" s="125"/>
      <c r="M1374" s="162"/>
      <c r="S1374" s="260"/>
      <c r="AA1374" s="66"/>
      <c r="AF1374" s="162"/>
      <c r="AN1374" s="66"/>
      <c r="AO1374" s="132"/>
      <c r="AP1374" s="132"/>
    </row>
    <row r="1375" spans="6:42" x14ac:dyDescent="0.2">
      <c r="F1375" s="125"/>
      <c r="M1375" s="162"/>
      <c r="S1375" s="260"/>
      <c r="AA1375" s="66"/>
      <c r="AF1375" s="162"/>
      <c r="AN1375" s="66"/>
      <c r="AO1375" s="132"/>
      <c r="AP1375" s="132"/>
    </row>
    <row r="1376" spans="6:42" x14ac:dyDescent="0.2">
      <c r="F1376" s="125"/>
      <c r="M1376" s="162"/>
      <c r="S1376" s="260"/>
      <c r="AA1376" s="66"/>
      <c r="AF1376" s="162"/>
      <c r="AN1376" s="66"/>
      <c r="AO1376" s="132"/>
      <c r="AP1376" s="132"/>
    </row>
    <row r="1377" spans="6:42" x14ac:dyDescent="0.2">
      <c r="F1377" s="125"/>
      <c r="M1377" s="162"/>
      <c r="S1377" s="260"/>
      <c r="AA1377" s="66"/>
      <c r="AF1377" s="162"/>
      <c r="AN1377" s="66"/>
      <c r="AO1377" s="132"/>
      <c r="AP1377" s="132"/>
    </row>
    <row r="1378" spans="6:42" x14ac:dyDescent="0.2">
      <c r="F1378" s="125"/>
      <c r="M1378" s="162"/>
      <c r="S1378" s="260"/>
      <c r="AA1378" s="66"/>
      <c r="AF1378" s="162"/>
      <c r="AN1378" s="66"/>
      <c r="AO1378" s="132"/>
      <c r="AP1378" s="132"/>
    </row>
    <row r="1379" spans="6:42" x14ac:dyDescent="0.2">
      <c r="F1379" s="125"/>
      <c r="M1379" s="162"/>
      <c r="S1379" s="260"/>
      <c r="AA1379" s="66"/>
      <c r="AF1379" s="162"/>
      <c r="AN1379" s="66"/>
      <c r="AO1379" s="132"/>
      <c r="AP1379" s="132"/>
    </row>
    <row r="1380" spans="6:42" x14ac:dyDescent="0.2">
      <c r="F1380" s="125"/>
      <c r="M1380" s="162"/>
      <c r="S1380" s="260"/>
      <c r="AA1380" s="66"/>
      <c r="AF1380" s="162"/>
      <c r="AN1380" s="66"/>
      <c r="AO1380" s="132"/>
      <c r="AP1380" s="132"/>
    </row>
    <row r="1381" spans="6:42" x14ac:dyDescent="0.2">
      <c r="F1381" s="125"/>
      <c r="M1381" s="162"/>
      <c r="S1381" s="260"/>
      <c r="AA1381" s="66"/>
      <c r="AF1381" s="162"/>
      <c r="AN1381" s="66"/>
      <c r="AO1381" s="132"/>
      <c r="AP1381" s="132"/>
    </row>
    <row r="1382" spans="6:42" x14ac:dyDescent="0.2">
      <c r="F1382" s="125"/>
      <c r="M1382" s="162"/>
      <c r="S1382" s="260"/>
      <c r="AA1382" s="66"/>
      <c r="AF1382" s="162"/>
      <c r="AN1382" s="66"/>
      <c r="AO1382" s="132"/>
      <c r="AP1382" s="132"/>
    </row>
    <row r="1383" spans="6:42" x14ac:dyDescent="0.2">
      <c r="F1383" s="125"/>
      <c r="M1383" s="162"/>
      <c r="S1383" s="260"/>
      <c r="AA1383" s="66"/>
      <c r="AF1383" s="162"/>
      <c r="AN1383" s="66"/>
      <c r="AO1383" s="132"/>
      <c r="AP1383" s="132"/>
    </row>
    <row r="1384" spans="6:42" x14ac:dyDescent="0.2">
      <c r="F1384" s="125"/>
      <c r="M1384" s="162"/>
      <c r="S1384" s="260"/>
      <c r="AA1384" s="66"/>
      <c r="AF1384" s="162"/>
      <c r="AN1384" s="66"/>
      <c r="AO1384" s="132"/>
      <c r="AP1384" s="132"/>
    </row>
    <row r="1385" spans="6:42" x14ac:dyDescent="0.2">
      <c r="F1385" s="125"/>
      <c r="M1385" s="162"/>
      <c r="S1385" s="260"/>
      <c r="AA1385" s="66"/>
      <c r="AF1385" s="162"/>
      <c r="AN1385" s="66"/>
      <c r="AO1385" s="132"/>
      <c r="AP1385" s="132"/>
    </row>
    <row r="1386" spans="6:42" x14ac:dyDescent="0.2">
      <c r="F1386" s="125"/>
      <c r="M1386" s="162"/>
      <c r="S1386" s="260"/>
      <c r="AA1386" s="66"/>
      <c r="AF1386" s="162"/>
      <c r="AN1386" s="66"/>
      <c r="AO1386" s="132"/>
      <c r="AP1386" s="132"/>
    </row>
    <row r="1387" spans="6:42" x14ac:dyDescent="0.2">
      <c r="F1387" s="125"/>
      <c r="M1387" s="162"/>
      <c r="S1387" s="260"/>
      <c r="AA1387" s="66"/>
      <c r="AF1387" s="162"/>
      <c r="AN1387" s="66"/>
      <c r="AO1387" s="132"/>
      <c r="AP1387" s="132"/>
    </row>
    <row r="1388" spans="6:42" x14ac:dyDescent="0.2">
      <c r="F1388" s="125"/>
      <c r="M1388" s="162"/>
      <c r="S1388" s="260"/>
      <c r="AA1388" s="66"/>
      <c r="AF1388" s="162"/>
      <c r="AN1388" s="66"/>
      <c r="AO1388" s="132"/>
      <c r="AP1388" s="132"/>
    </row>
    <row r="1389" spans="6:42" x14ac:dyDescent="0.2">
      <c r="F1389" s="125"/>
      <c r="M1389" s="162"/>
      <c r="S1389" s="260"/>
      <c r="AA1389" s="66"/>
      <c r="AF1389" s="162"/>
      <c r="AN1389" s="66"/>
      <c r="AO1389" s="132"/>
      <c r="AP1389" s="132"/>
    </row>
    <row r="1390" spans="6:42" x14ac:dyDescent="0.2">
      <c r="F1390" s="125"/>
      <c r="M1390" s="162"/>
      <c r="S1390" s="260"/>
      <c r="AA1390" s="66"/>
      <c r="AF1390" s="162"/>
      <c r="AN1390" s="66"/>
      <c r="AO1390" s="132"/>
      <c r="AP1390" s="132"/>
    </row>
    <row r="1391" spans="6:42" x14ac:dyDescent="0.2">
      <c r="F1391" s="125"/>
      <c r="M1391" s="162"/>
      <c r="S1391" s="260"/>
      <c r="AA1391" s="66"/>
      <c r="AF1391" s="162"/>
      <c r="AN1391" s="66"/>
      <c r="AO1391" s="132"/>
      <c r="AP1391" s="132"/>
    </row>
    <row r="1392" spans="6:42" x14ac:dyDescent="0.2">
      <c r="F1392" s="125"/>
      <c r="M1392" s="162"/>
      <c r="S1392" s="260"/>
      <c r="AA1392" s="66"/>
      <c r="AF1392" s="162"/>
      <c r="AN1392" s="66"/>
      <c r="AO1392" s="132"/>
      <c r="AP1392" s="132"/>
    </row>
    <row r="1393" spans="6:42" x14ac:dyDescent="0.2">
      <c r="F1393" s="125"/>
      <c r="M1393" s="162"/>
      <c r="S1393" s="260"/>
      <c r="AA1393" s="66"/>
      <c r="AF1393" s="162"/>
      <c r="AN1393" s="66"/>
      <c r="AO1393" s="132"/>
      <c r="AP1393" s="132"/>
    </row>
    <row r="1394" spans="6:42" x14ac:dyDescent="0.2">
      <c r="F1394" s="125"/>
      <c r="M1394" s="162"/>
      <c r="S1394" s="260"/>
      <c r="AA1394" s="66"/>
      <c r="AF1394" s="162"/>
      <c r="AN1394" s="66"/>
      <c r="AO1394" s="132"/>
      <c r="AP1394" s="132"/>
    </row>
    <row r="1395" spans="6:42" x14ac:dyDescent="0.2">
      <c r="F1395" s="125"/>
      <c r="M1395" s="162"/>
      <c r="S1395" s="260"/>
      <c r="AA1395" s="66"/>
      <c r="AF1395" s="162"/>
      <c r="AN1395" s="66"/>
      <c r="AO1395" s="132"/>
      <c r="AP1395" s="132"/>
    </row>
    <row r="1396" spans="6:42" x14ac:dyDescent="0.2">
      <c r="F1396" s="125"/>
      <c r="M1396" s="162"/>
      <c r="S1396" s="260"/>
      <c r="AA1396" s="66"/>
      <c r="AF1396" s="162"/>
      <c r="AN1396" s="66"/>
      <c r="AO1396" s="132"/>
      <c r="AP1396" s="132"/>
    </row>
    <row r="1397" spans="6:42" x14ac:dyDescent="0.2">
      <c r="F1397" s="125"/>
      <c r="M1397" s="162"/>
      <c r="S1397" s="260"/>
      <c r="AA1397" s="66"/>
      <c r="AF1397" s="162"/>
      <c r="AN1397" s="66"/>
      <c r="AO1397" s="132"/>
      <c r="AP1397" s="132"/>
    </row>
    <row r="1398" spans="6:42" x14ac:dyDescent="0.2">
      <c r="F1398" s="125"/>
      <c r="M1398" s="162"/>
      <c r="S1398" s="260"/>
      <c r="AA1398" s="66"/>
      <c r="AF1398" s="162"/>
      <c r="AN1398" s="66"/>
      <c r="AO1398" s="132"/>
      <c r="AP1398" s="132"/>
    </row>
    <row r="1399" spans="6:42" x14ac:dyDescent="0.2">
      <c r="F1399" s="125"/>
      <c r="M1399" s="162"/>
      <c r="S1399" s="260"/>
      <c r="AA1399" s="66"/>
      <c r="AF1399" s="162"/>
      <c r="AN1399" s="66"/>
      <c r="AO1399" s="132"/>
      <c r="AP1399" s="132"/>
    </row>
    <row r="1400" spans="6:42" x14ac:dyDescent="0.2">
      <c r="F1400" s="125"/>
      <c r="M1400" s="162"/>
      <c r="S1400" s="260"/>
      <c r="AA1400" s="66"/>
      <c r="AF1400" s="162"/>
      <c r="AN1400" s="66"/>
      <c r="AO1400" s="132"/>
      <c r="AP1400" s="132"/>
    </row>
    <row r="1401" spans="6:42" x14ac:dyDescent="0.2">
      <c r="F1401" s="125"/>
      <c r="M1401" s="162"/>
      <c r="S1401" s="260"/>
      <c r="AA1401" s="66"/>
      <c r="AF1401" s="162"/>
      <c r="AN1401" s="66"/>
      <c r="AO1401" s="132"/>
      <c r="AP1401" s="132"/>
    </row>
    <row r="1402" spans="6:42" x14ac:dyDescent="0.2">
      <c r="F1402" s="125"/>
      <c r="M1402" s="162"/>
      <c r="S1402" s="260"/>
      <c r="AA1402" s="66"/>
      <c r="AF1402" s="162"/>
      <c r="AN1402" s="66"/>
      <c r="AO1402" s="132"/>
      <c r="AP1402" s="132"/>
    </row>
    <row r="1403" spans="6:42" x14ac:dyDescent="0.2">
      <c r="F1403" s="125"/>
      <c r="M1403" s="162"/>
      <c r="S1403" s="260"/>
      <c r="AA1403" s="66"/>
      <c r="AF1403" s="162"/>
      <c r="AN1403" s="66"/>
      <c r="AO1403" s="132"/>
      <c r="AP1403" s="132"/>
    </row>
    <row r="1404" spans="6:42" x14ac:dyDescent="0.2">
      <c r="F1404" s="125"/>
      <c r="M1404" s="162"/>
      <c r="S1404" s="260"/>
      <c r="AA1404" s="66"/>
      <c r="AF1404" s="162"/>
      <c r="AN1404" s="66"/>
      <c r="AO1404" s="132"/>
      <c r="AP1404" s="132"/>
    </row>
    <row r="1405" spans="6:42" x14ac:dyDescent="0.2">
      <c r="F1405" s="125"/>
      <c r="M1405" s="162"/>
      <c r="S1405" s="260"/>
      <c r="AA1405" s="66"/>
      <c r="AF1405" s="162"/>
      <c r="AN1405" s="66"/>
      <c r="AO1405" s="132"/>
      <c r="AP1405" s="132"/>
    </row>
    <row r="1406" spans="6:42" x14ac:dyDescent="0.2">
      <c r="F1406" s="125"/>
      <c r="M1406" s="162"/>
      <c r="S1406" s="260"/>
      <c r="AA1406" s="66"/>
      <c r="AF1406" s="162"/>
      <c r="AN1406" s="66"/>
      <c r="AO1406" s="132"/>
      <c r="AP1406" s="132"/>
    </row>
    <row r="1407" spans="6:42" x14ac:dyDescent="0.2">
      <c r="F1407" s="125"/>
      <c r="M1407" s="162"/>
      <c r="S1407" s="260"/>
      <c r="AA1407" s="66"/>
      <c r="AF1407" s="162"/>
      <c r="AN1407" s="66"/>
      <c r="AO1407" s="132"/>
      <c r="AP1407" s="132"/>
    </row>
    <row r="1408" spans="6:42" x14ac:dyDescent="0.2">
      <c r="F1408" s="125"/>
      <c r="M1408" s="162"/>
      <c r="S1408" s="260"/>
      <c r="AA1408" s="66"/>
      <c r="AF1408" s="162"/>
      <c r="AN1408" s="66"/>
      <c r="AO1408" s="132"/>
      <c r="AP1408" s="132"/>
    </row>
    <row r="1409" spans="6:42" x14ac:dyDescent="0.2">
      <c r="F1409" s="125"/>
      <c r="M1409" s="162"/>
      <c r="S1409" s="260"/>
      <c r="AA1409" s="66"/>
      <c r="AF1409" s="162"/>
      <c r="AN1409" s="66"/>
      <c r="AO1409" s="132"/>
      <c r="AP1409" s="132"/>
    </row>
    <row r="1410" spans="6:42" x14ac:dyDescent="0.2">
      <c r="F1410" s="125"/>
      <c r="M1410" s="162"/>
      <c r="S1410" s="260"/>
      <c r="AA1410" s="66"/>
      <c r="AF1410" s="162"/>
      <c r="AN1410" s="66"/>
      <c r="AO1410" s="132"/>
      <c r="AP1410" s="132"/>
    </row>
    <row r="1411" spans="6:42" x14ac:dyDescent="0.2">
      <c r="F1411" s="125"/>
      <c r="M1411" s="162"/>
      <c r="S1411" s="260"/>
      <c r="AA1411" s="66"/>
      <c r="AF1411" s="162"/>
      <c r="AN1411" s="66"/>
      <c r="AO1411" s="132"/>
      <c r="AP1411" s="132"/>
    </row>
    <row r="1412" spans="6:42" x14ac:dyDescent="0.2">
      <c r="F1412" s="125"/>
      <c r="M1412" s="162"/>
      <c r="S1412" s="260"/>
      <c r="AA1412" s="66"/>
      <c r="AF1412" s="162"/>
      <c r="AN1412" s="66"/>
      <c r="AO1412" s="132"/>
      <c r="AP1412" s="132"/>
    </row>
    <row r="1413" spans="6:42" x14ac:dyDescent="0.2">
      <c r="F1413" s="125"/>
      <c r="M1413" s="162"/>
      <c r="S1413" s="260"/>
      <c r="AA1413" s="66"/>
      <c r="AF1413" s="162"/>
      <c r="AN1413" s="66"/>
      <c r="AO1413" s="132"/>
      <c r="AP1413" s="132"/>
    </row>
    <row r="1414" spans="6:42" x14ac:dyDescent="0.2">
      <c r="F1414" s="125"/>
      <c r="M1414" s="162"/>
      <c r="S1414" s="260"/>
      <c r="AA1414" s="66"/>
      <c r="AF1414" s="162"/>
      <c r="AN1414" s="66"/>
      <c r="AO1414" s="132"/>
      <c r="AP1414" s="132"/>
    </row>
    <row r="1415" spans="6:42" x14ac:dyDescent="0.2">
      <c r="F1415" s="125"/>
      <c r="M1415" s="162"/>
      <c r="S1415" s="260"/>
      <c r="AA1415" s="66"/>
      <c r="AF1415" s="162"/>
      <c r="AN1415" s="66"/>
      <c r="AO1415" s="132"/>
      <c r="AP1415" s="132"/>
    </row>
    <row r="1416" spans="6:42" x14ac:dyDescent="0.2">
      <c r="F1416" s="125"/>
      <c r="M1416" s="162"/>
      <c r="S1416" s="260"/>
      <c r="AA1416" s="66"/>
      <c r="AF1416" s="162"/>
      <c r="AN1416" s="66"/>
      <c r="AO1416" s="132"/>
      <c r="AP1416" s="132"/>
    </row>
    <row r="1417" spans="6:42" x14ac:dyDescent="0.2">
      <c r="F1417" s="125"/>
      <c r="M1417" s="162"/>
      <c r="S1417" s="260"/>
      <c r="AA1417" s="66"/>
      <c r="AF1417" s="162"/>
      <c r="AN1417" s="66"/>
      <c r="AO1417" s="132"/>
      <c r="AP1417" s="132"/>
    </row>
    <row r="1418" spans="6:42" x14ac:dyDescent="0.2">
      <c r="F1418" s="125"/>
      <c r="M1418" s="162"/>
      <c r="S1418" s="260"/>
      <c r="AA1418" s="66"/>
      <c r="AF1418" s="162"/>
      <c r="AN1418" s="66"/>
      <c r="AO1418" s="132"/>
      <c r="AP1418" s="132"/>
    </row>
    <row r="1419" spans="6:42" x14ac:dyDescent="0.2">
      <c r="F1419" s="125"/>
      <c r="M1419" s="162"/>
      <c r="S1419" s="260"/>
      <c r="AA1419" s="66"/>
      <c r="AF1419" s="162"/>
      <c r="AN1419" s="66"/>
      <c r="AO1419" s="132"/>
      <c r="AP1419" s="132"/>
    </row>
    <row r="1420" spans="6:42" x14ac:dyDescent="0.2">
      <c r="F1420" s="125"/>
      <c r="M1420" s="162"/>
      <c r="S1420" s="260"/>
      <c r="AA1420" s="66"/>
      <c r="AF1420" s="162"/>
      <c r="AN1420" s="66"/>
      <c r="AO1420" s="132"/>
      <c r="AP1420" s="132"/>
    </row>
    <row r="1421" spans="6:42" x14ac:dyDescent="0.2">
      <c r="F1421" s="125"/>
      <c r="M1421" s="162"/>
      <c r="S1421" s="260"/>
      <c r="AA1421" s="66"/>
      <c r="AF1421" s="162"/>
      <c r="AN1421" s="66"/>
      <c r="AO1421" s="132"/>
      <c r="AP1421" s="132"/>
    </row>
    <row r="1422" spans="6:42" x14ac:dyDescent="0.2">
      <c r="F1422" s="125"/>
      <c r="M1422" s="162"/>
      <c r="S1422" s="260"/>
      <c r="AA1422" s="66"/>
      <c r="AF1422" s="162"/>
      <c r="AN1422" s="66"/>
      <c r="AO1422" s="132"/>
      <c r="AP1422" s="132"/>
    </row>
    <row r="1423" spans="6:42" x14ac:dyDescent="0.2">
      <c r="F1423" s="125"/>
      <c r="M1423" s="162"/>
      <c r="S1423" s="260"/>
      <c r="AA1423" s="66"/>
      <c r="AF1423" s="162"/>
      <c r="AN1423" s="66"/>
      <c r="AO1423" s="132"/>
      <c r="AP1423" s="132"/>
    </row>
    <row r="1424" spans="6:42" x14ac:dyDescent="0.2">
      <c r="F1424" s="125"/>
      <c r="M1424" s="162"/>
      <c r="S1424" s="260"/>
      <c r="AA1424" s="66"/>
      <c r="AF1424" s="162"/>
      <c r="AN1424" s="66"/>
      <c r="AO1424" s="132"/>
      <c r="AP1424" s="132"/>
    </row>
    <row r="1425" spans="6:42" x14ac:dyDescent="0.2">
      <c r="F1425" s="125"/>
      <c r="M1425" s="162"/>
      <c r="S1425" s="260"/>
      <c r="AA1425" s="66"/>
      <c r="AF1425" s="162"/>
      <c r="AN1425" s="66"/>
      <c r="AO1425" s="132"/>
      <c r="AP1425" s="132"/>
    </row>
    <row r="1426" spans="6:42" x14ac:dyDescent="0.2">
      <c r="F1426" s="125"/>
      <c r="M1426" s="162"/>
      <c r="S1426" s="260"/>
      <c r="AA1426" s="66"/>
      <c r="AF1426" s="162"/>
      <c r="AN1426" s="66"/>
      <c r="AO1426" s="132"/>
      <c r="AP1426" s="132"/>
    </row>
    <row r="1427" spans="6:42" x14ac:dyDescent="0.2">
      <c r="F1427" s="125"/>
      <c r="M1427" s="162"/>
      <c r="S1427" s="260"/>
      <c r="AA1427" s="66"/>
      <c r="AF1427" s="162"/>
      <c r="AN1427" s="66"/>
      <c r="AO1427" s="132"/>
      <c r="AP1427" s="132"/>
    </row>
    <row r="1428" spans="6:42" x14ac:dyDescent="0.2">
      <c r="F1428" s="125"/>
      <c r="M1428" s="162"/>
      <c r="S1428" s="260"/>
      <c r="AA1428" s="66"/>
      <c r="AF1428" s="162"/>
      <c r="AN1428" s="66"/>
      <c r="AO1428" s="132"/>
      <c r="AP1428" s="132"/>
    </row>
    <row r="1429" spans="6:42" x14ac:dyDescent="0.2">
      <c r="F1429" s="125"/>
      <c r="M1429" s="162"/>
      <c r="S1429" s="260"/>
      <c r="AA1429" s="66"/>
      <c r="AF1429" s="162"/>
      <c r="AN1429" s="66"/>
      <c r="AO1429" s="132"/>
      <c r="AP1429" s="132"/>
    </row>
    <row r="1430" spans="6:42" x14ac:dyDescent="0.2">
      <c r="F1430" s="125"/>
      <c r="M1430" s="162"/>
      <c r="S1430" s="260"/>
      <c r="AA1430" s="66"/>
      <c r="AF1430" s="162"/>
      <c r="AN1430" s="66"/>
      <c r="AO1430" s="132"/>
      <c r="AP1430" s="132"/>
    </row>
    <row r="1431" spans="6:42" x14ac:dyDescent="0.2">
      <c r="F1431" s="125"/>
      <c r="M1431" s="162"/>
      <c r="S1431" s="260"/>
      <c r="AA1431" s="66"/>
      <c r="AF1431" s="162"/>
      <c r="AN1431" s="66"/>
      <c r="AO1431" s="132"/>
      <c r="AP1431" s="132"/>
    </row>
    <row r="1432" spans="6:42" x14ac:dyDescent="0.2">
      <c r="F1432" s="125"/>
      <c r="M1432" s="162"/>
      <c r="S1432" s="260"/>
      <c r="AA1432" s="66"/>
      <c r="AF1432" s="162"/>
      <c r="AN1432" s="66"/>
      <c r="AO1432" s="132"/>
      <c r="AP1432" s="132"/>
    </row>
    <row r="1433" spans="6:42" x14ac:dyDescent="0.2">
      <c r="F1433" s="125"/>
      <c r="M1433" s="162"/>
      <c r="S1433" s="260"/>
      <c r="AA1433" s="66"/>
      <c r="AF1433" s="162"/>
      <c r="AN1433" s="66"/>
      <c r="AO1433" s="132"/>
      <c r="AP1433" s="132"/>
    </row>
    <row r="1434" spans="6:42" x14ac:dyDescent="0.2">
      <c r="F1434" s="125"/>
      <c r="M1434" s="162"/>
      <c r="S1434" s="260"/>
      <c r="AA1434" s="66"/>
      <c r="AF1434" s="162"/>
      <c r="AN1434" s="66"/>
      <c r="AO1434" s="132"/>
      <c r="AP1434" s="132"/>
    </row>
    <row r="1435" spans="6:42" x14ac:dyDescent="0.2">
      <c r="F1435" s="125"/>
      <c r="M1435" s="162"/>
      <c r="S1435" s="260"/>
      <c r="AA1435" s="66"/>
      <c r="AF1435" s="162"/>
      <c r="AN1435" s="66"/>
      <c r="AO1435" s="132"/>
      <c r="AP1435" s="132"/>
    </row>
    <row r="1436" spans="6:42" x14ac:dyDescent="0.2">
      <c r="F1436" s="125"/>
      <c r="M1436" s="162"/>
      <c r="S1436" s="260"/>
      <c r="AA1436" s="66"/>
      <c r="AF1436" s="162"/>
      <c r="AN1436" s="66"/>
      <c r="AO1436" s="132"/>
      <c r="AP1436" s="132"/>
    </row>
    <row r="1437" spans="6:42" x14ac:dyDescent="0.2">
      <c r="F1437" s="125"/>
      <c r="M1437" s="162"/>
      <c r="S1437" s="260"/>
      <c r="AA1437" s="66"/>
      <c r="AF1437" s="162"/>
      <c r="AN1437" s="66"/>
      <c r="AO1437" s="132"/>
      <c r="AP1437" s="132"/>
    </row>
    <row r="1438" spans="6:42" x14ac:dyDescent="0.2">
      <c r="F1438" s="125"/>
      <c r="M1438" s="162"/>
      <c r="S1438" s="260"/>
      <c r="AA1438" s="66"/>
      <c r="AF1438" s="162"/>
      <c r="AN1438" s="66"/>
      <c r="AO1438" s="132"/>
      <c r="AP1438" s="132"/>
    </row>
    <row r="1439" spans="6:42" x14ac:dyDescent="0.2">
      <c r="F1439" s="125"/>
      <c r="M1439" s="162"/>
      <c r="S1439" s="260"/>
      <c r="AA1439" s="66"/>
      <c r="AF1439" s="162"/>
      <c r="AN1439" s="66"/>
      <c r="AO1439" s="132"/>
      <c r="AP1439" s="132"/>
    </row>
    <row r="1440" spans="6:42" x14ac:dyDescent="0.2">
      <c r="F1440" s="125"/>
      <c r="M1440" s="162"/>
      <c r="S1440" s="260"/>
      <c r="AA1440" s="66"/>
      <c r="AF1440" s="162"/>
      <c r="AN1440" s="66"/>
      <c r="AO1440" s="132"/>
      <c r="AP1440" s="132"/>
    </row>
    <row r="1441" spans="6:42" x14ac:dyDescent="0.2">
      <c r="F1441" s="125"/>
      <c r="M1441" s="162"/>
      <c r="S1441" s="260"/>
      <c r="AA1441" s="66"/>
      <c r="AF1441" s="162"/>
      <c r="AN1441" s="66"/>
      <c r="AO1441" s="132"/>
      <c r="AP1441" s="132"/>
    </row>
    <row r="1442" spans="6:42" x14ac:dyDescent="0.2">
      <c r="F1442" s="125"/>
      <c r="M1442" s="162"/>
      <c r="S1442" s="260"/>
      <c r="AA1442" s="66"/>
      <c r="AF1442" s="162"/>
      <c r="AN1442" s="66"/>
      <c r="AO1442" s="132"/>
      <c r="AP1442" s="132"/>
    </row>
    <row r="1443" spans="6:42" x14ac:dyDescent="0.2">
      <c r="F1443" s="125"/>
      <c r="M1443" s="162"/>
      <c r="S1443" s="260"/>
      <c r="AA1443" s="66"/>
      <c r="AF1443" s="162"/>
      <c r="AN1443" s="66"/>
      <c r="AO1443" s="132"/>
      <c r="AP1443" s="132"/>
    </row>
    <row r="1444" spans="6:42" x14ac:dyDescent="0.2">
      <c r="F1444" s="125"/>
      <c r="M1444" s="162"/>
      <c r="S1444" s="260"/>
      <c r="AA1444" s="66"/>
      <c r="AF1444" s="162"/>
      <c r="AN1444" s="66"/>
      <c r="AO1444" s="132"/>
      <c r="AP1444" s="132"/>
    </row>
    <row r="1445" spans="6:42" x14ac:dyDescent="0.2">
      <c r="F1445" s="125"/>
      <c r="M1445" s="162"/>
      <c r="S1445" s="260"/>
      <c r="AA1445" s="66"/>
      <c r="AF1445" s="162"/>
      <c r="AN1445" s="66"/>
      <c r="AO1445" s="132"/>
      <c r="AP1445" s="132"/>
    </row>
    <row r="1446" spans="6:42" x14ac:dyDescent="0.2">
      <c r="F1446" s="125"/>
      <c r="M1446" s="162"/>
      <c r="S1446" s="260"/>
      <c r="AA1446" s="66"/>
      <c r="AF1446" s="162"/>
      <c r="AN1446" s="66"/>
      <c r="AO1446" s="132"/>
      <c r="AP1446" s="132"/>
    </row>
    <row r="1447" spans="6:42" x14ac:dyDescent="0.2">
      <c r="F1447" s="125"/>
      <c r="M1447" s="162"/>
      <c r="S1447" s="260"/>
      <c r="AA1447" s="66"/>
      <c r="AF1447" s="162"/>
      <c r="AN1447" s="66"/>
      <c r="AO1447" s="132"/>
      <c r="AP1447" s="132"/>
    </row>
    <row r="1448" spans="6:42" x14ac:dyDescent="0.2">
      <c r="F1448" s="125"/>
      <c r="M1448" s="162"/>
      <c r="S1448" s="260"/>
      <c r="AA1448" s="66"/>
      <c r="AF1448" s="162"/>
      <c r="AN1448" s="66"/>
      <c r="AO1448" s="132"/>
      <c r="AP1448" s="132"/>
    </row>
    <row r="1449" spans="6:42" x14ac:dyDescent="0.2">
      <c r="F1449" s="125"/>
      <c r="M1449" s="162"/>
      <c r="S1449" s="260"/>
      <c r="AA1449" s="66"/>
      <c r="AF1449" s="162"/>
      <c r="AN1449" s="66"/>
      <c r="AO1449" s="132"/>
      <c r="AP1449" s="132"/>
    </row>
    <row r="1450" spans="6:42" x14ac:dyDescent="0.2">
      <c r="F1450" s="125"/>
      <c r="M1450" s="162"/>
      <c r="AA1450" s="66"/>
      <c r="AF1450" s="162"/>
    </row>
    <row r="1451" spans="6:42" x14ac:dyDescent="0.2">
      <c r="F1451" s="125"/>
      <c r="M1451" s="162"/>
      <c r="AA1451" s="66"/>
      <c r="AF1451" s="162"/>
    </row>
    <row r="1452" spans="6:42" x14ac:dyDescent="0.2">
      <c r="F1452" s="125"/>
      <c r="M1452" s="162"/>
      <c r="AA1452" s="66"/>
      <c r="AF1452" s="162"/>
    </row>
    <row r="1453" spans="6:42" x14ac:dyDescent="0.2">
      <c r="F1453" s="125"/>
      <c r="M1453" s="162"/>
      <c r="AA1453" s="66"/>
      <c r="AF1453" s="162"/>
    </row>
    <row r="1454" spans="6:42" x14ac:dyDescent="0.2">
      <c r="F1454" s="125"/>
      <c r="M1454" s="162"/>
      <c r="AA1454" s="66"/>
      <c r="AF1454" s="162"/>
    </row>
    <row r="1455" spans="6:42" x14ac:dyDescent="0.2">
      <c r="F1455" s="125"/>
      <c r="M1455" s="162"/>
      <c r="AA1455" s="66"/>
      <c r="AF1455" s="162"/>
    </row>
    <row r="1456" spans="6:42" x14ac:dyDescent="0.2">
      <c r="F1456" s="125"/>
      <c r="M1456" s="162"/>
      <c r="AA1456" s="66"/>
      <c r="AF1456" s="162"/>
    </row>
    <row r="1457" spans="6:32" x14ac:dyDescent="0.2">
      <c r="F1457" s="125"/>
      <c r="M1457" s="162"/>
      <c r="AA1457" s="66"/>
      <c r="AF1457" s="162"/>
    </row>
    <row r="1458" spans="6:32" x14ac:dyDescent="0.2">
      <c r="F1458" s="125"/>
      <c r="M1458" s="162"/>
      <c r="AA1458" s="66"/>
      <c r="AF1458" s="162"/>
    </row>
    <row r="1459" spans="6:32" x14ac:dyDescent="0.2">
      <c r="F1459" s="125"/>
      <c r="M1459" s="162"/>
      <c r="AA1459" s="66"/>
      <c r="AF1459" s="162"/>
    </row>
    <row r="1460" spans="6:32" x14ac:dyDescent="0.2">
      <c r="F1460" s="125"/>
      <c r="M1460" s="162"/>
      <c r="AA1460" s="66"/>
      <c r="AF1460" s="162"/>
    </row>
    <row r="1461" spans="6:32" x14ac:dyDescent="0.2">
      <c r="F1461" s="125"/>
      <c r="M1461" s="162"/>
      <c r="AA1461" s="66"/>
      <c r="AF1461" s="162"/>
    </row>
    <row r="1462" spans="6:32" x14ac:dyDescent="0.2">
      <c r="F1462" s="125"/>
      <c r="M1462" s="162"/>
      <c r="AA1462" s="66"/>
      <c r="AF1462" s="162"/>
    </row>
    <row r="1463" spans="6:32" x14ac:dyDescent="0.2">
      <c r="F1463" s="125"/>
      <c r="M1463" s="162"/>
      <c r="AA1463" s="66"/>
      <c r="AF1463" s="162"/>
    </row>
    <row r="1464" spans="6:32" x14ac:dyDescent="0.2">
      <c r="F1464" s="125"/>
      <c r="M1464" s="162"/>
      <c r="AA1464" s="66"/>
      <c r="AF1464" s="162"/>
    </row>
    <row r="1465" spans="6:32" x14ac:dyDescent="0.2">
      <c r="F1465" s="125"/>
      <c r="M1465" s="162"/>
      <c r="AA1465" s="66"/>
      <c r="AF1465" s="162"/>
    </row>
    <row r="1466" spans="6:32" x14ac:dyDescent="0.2">
      <c r="F1466" s="125"/>
      <c r="M1466" s="162"/>
      <c r="AA1466" s="66"/>
      <c r="AF1466" s="162"/>
    </row>
    <row r="1467" spans="6:32" x14ac:dyDescent="0.2">
      <c r="F1467" s="125"/>
      <c r="M1467" s="162"/>
      <c r="AA1467" s="66"/>
      <c r="AF1467" s="162"/>
    </row>
    <row r="1468" spans="6:32" x14ac:dyDescent="0.2">
      <c r="F1468" s="125"/>
      <c r="M1468" s="162"/>
      <c r="AA1468" s="66"/>
      <c r="AF1468" s="162"/>
    </row>
    <row r="1469" spans="6:32" x14ac:dyDescent="0.2">
      <c r="F1469" s="125"/>
      <c r="M1469" s="162"/>
      <c r="AA1469" s="66"/>
      <c r="AF1469" s="162"/>
    </row>
    <row r="1470" spans="6:32" x14ac:dyDescent="0.2">
      <c r="F1470" s="125"/>
      <c r="M1470" s="162"/>
      <c r="AA1470" s="66"/>
      <c r="AF1470" s="162"/>
    </row>
    <row r="1471" spans="6:32" x14ac:dyDescent="0.2">
      <c r="F1471" s="125"/>
      <c r="M1471" s="162"/>
      <c r="AA1471" s="66"/>
      <c r="AF1471" s="162"/>
    </row>
    <row r="1472" spans="6:32" x14ac:dyDescent="0.2">
      <c r="F1472" s="125"/>
      <c r="M1472" s="162"/>
      <c r="AA1472" s="66"/>
      <c r="AF1472" s="162"/>
    </row>
    <row r="1473" spans="6:32" x14ac:dyDescent="0.2">
      <c r="F1473" s="125"/>
      <c r="M1473" s="162"/>
      <c r="AA1473" s="66"/>
      <c r="AF1473" s="162"/>
    </row>
    <row r="1474" spans="6:32" x14ac:dyDescent="0.2">
      <c r="F1474" s="125"/>
      <c r="M1474" s="162"/>
      <c r="AA1474" s="66"/>
      <c r="AF1474" s="162"/>
    </row>
    <row r="1475" spans="6:32" x14ac:dyDescent="0.2">
      <c r="F1475" s="125"/>
      <c r="M1475" s="162"/>
      <c r="AA1475" s="66"/>
      <c r="AF1475" s="162"/>
    </row>
    <row r="1476" spans="6:32" x14ac:dyDescent="0.2">
      <c r="F1476" s="125"/>
      <c r="M1476" s="162"/>
      <c r="AA1476" s="66"/>
      <c r="AF1476" s="162"/>
    </row>
    <row r="1477" spans="6:32" x14ac:dyDescent="0.2">
      <c r="F1477" s="125"/>
      <c r="M1477" s="162"/>
      <c r="AA1477" s="66"/>
      <c r="AF1477" s="162"/>
    </row>
    <row r="1478" spans="6:32" x14ac:dyDescent="0.2">
      <c r="F1478" s="125"/>
      <c r="M1478" s="162"/>
      <c r="AA1478" s="66"/>
      <c r="AF1478" s="162"/>
    </row>
    <row r="1479" spans="6:32" x14ac:dyDescent="0.2">
      <c r="F1479" s="125"/>
      <c r="M1479" s="162"/>
      <c r="AA1479" s="66"/>
      <c r="AF1479" s="162"/>
    </row>
    <row r="1480" spans="6:32" x14ac:dyDescent="0.2">
      <c r="F1480" s="125"/>
      <c r="M1480" s="162"/>
      <c r="AA1480" s="66"/>
      <c r="AF1480" s="162"/>
    </row>
    <row r="1481" spans="6:32" x14ac:dyDescent="0.2">
      <c r="F1481" s="125"/>
      <c r="M1481" s="162"/>
      <c r="AA1481" s="66"/>
      <c r="AF1481" s="162"/>
    </row>
    <row r="1482" spans="6:32" x14ac:dyDescent="0.2">
      <c r="F1482" s="125"/>
      <c r="M1482" s="162"/>
      <c r="AA1482" s="66"/>
      <c r="AF1482" s="162"/>
    </row>
    <row r="1483" spans="6:32" x14ac:dyDescent="0.2">
      <c r="F1483" s="125"/>
      <c r="M1483" s="162"/>
      <c r="AA1483" s="66"/>
      <c r="AF1483" s="162"/>
    </row>
    <row r="1484" spans="6:32" x14ac:dyDescent="0.2">
      <c r="F1484" s="125"/>
      <c r="M1484" s="162"/>
      <c r="AA1484" s="66"/>
      <c r="AF1484" s="162"/>
    </row>
    <row r="1485" spans="6:32" x14ac:dyDescent="0.2">
      <c r="F1485" s="125"/>
      <c r="M1485" s="162"/>
      <c r="AA1485" s="66"/>
      <c r="AF1485" s="162"/>
    </row>
    <row r="1486" spans="6:32" x14ac:dyDescent="0.2">
      <c r="F1486" s="125"/>
      <c r="M1486" s="162"/>
      <c r="AA1486" s="66"/>
      <c r="AF1486" s="162"/>
    </row>
    <row r="1487" spans="6:32" x14ac:dyDescent="0.2">
      <c r="F1487" s="125"/>
      <c r="M1487" s="162"/>
      <c r="AA1487" s="66"/>
      <c r="AF1487" s="162"/>
    </row>
    <row r="1488" spans="6:32" x14ac:dyDescent="0.2">
      <c r="F1488" s="125"/>
      <c r="M1488" s="162"/>
      <c r="AA1488" s="66"/>
      <c r="AF1488" s="162"/>
    </row>
    <row r="1489" spans="6:32" x14ac:dyDescent="0.2">
      <c r="F1489" s="125"/>
      <c r="M1489" s="162"/>
      <c r="AA1489" s="66"/>
      <c r="AF1489" s="162"/>
    </row>
    <row r="1490" spans="6:32" x14ac:dyDescent="0.2">
      <c r="F1490" s="125"/>
      <c r="M1490" s="162"/>
      <c r="AA1490" s="66"/>
      <c r="AF1490" s="162"/>
    </row>
    <row r="1491" spans="6:32" x14ac:dyDescent="0.2">
      <c r="F1491" s="125"/>
      <c r="M1491" s="162"/>
      <c r="AA1491" s="66"/>
      <c r="AF1491" s="162"/>
    </row>
    <row r="1492" spans="6:32" x14ac:dyDescent="0.2">
      <c r="F1492" s="125"/>
      <c r="M1492" s="162"/>
      <c r="AA1492" s="66"/>
      <c r="AF1492" s="162"/>
    </row>
    <row r="1493" spans="6:32" x14ac:dyDescent="0.2">
      <c r="F1493" s="125"/>
      <c r="M1493" s="162"/>
      <c r="AA1493" s="66"/>
      <c r="AF1493" s="162"/>
    </row>
    <row r="1494" spans="6:32" x14ac:dyDescent="0.2">
      <c r="F1494" s="125"/>
      <c r="M1494" s="162"/>
      <c r="AA1494" s="66"/>
      <c r="AF1494" s="162"/>
    </row>
    <row r="1495" spans="6:32" x14ac:dyDescent="0.2">
      <c r="F1495" s="125"/>
      <c r="M1495" s="162"/>
      <c r="AA1495" s="66"/>
      <c r="AF1495" s="162"/>
    </row>
    <row r="1496" spans="6:32" x14ac:dyDescent="0.2">
      <c r="F1496" s="125"/>
      <c r="M1496" s="162"/>
      <c r="AA1496" s="66"/>
      <c r="AF1496" s="162"/>
    </row>
    <row r="1497" spans="6:32" x14ac:dyDescent="0.2">
      <c r="F1497" s="125"/>
      <c r="M1497" s="162"/>
      <c r="AA1497" s="66"/>
      <c r="AF1497" s="162"/>
    </row>
    <row r="1498" spans="6:32" x14ac:dyDescent="0.2">
      <c r="F1498" s="125"/>
      <c r="M1498" s="162"/>
      <c r="AA1498" s="66"/>
      <c r="AF1498" s="162"/>
    </row>
    <row r="1499" spans="6:32" x14ac:dyDescent="0.2">
      <c r="F1499" s="125"/>
      <c r="M1499" s="162"/>
      <c r="AA1499" s="66"/>
      <c r="AF1499" s="162"/>
    </row>
    <row r="1500" spans="6:32" x14ac:dyDescent="0.2">
      <c r="F1500" s="125"/>
      <c r="M1500" s="162"/>
      <c r="AA1500" s="66"/>
      <c r="AF1500" s="162"/>
    </row>
    <row r="1501" spans="6:32" x14ac:dyDescent="0.2">
      <c r="F1501" s="125"/>
      <c r="M1501" s="162"/>
      <c r="AA1501" s="66"/>
      <c r="AF1501" s="162"/>
    </row>
    <row r="1502" spans="6:32" x14ac:dyDescent="0.2">
      <c r="F1502" s="125"/>
      <c r="M1502" s="162"/>
      <c r="AA1502" s="66"/>
      <c r="AF1502" s="162"/>
    </row>
    <row r="1503" spans="6:32" x14ac:dyDescent="0.2">
      <c r="F1503" s="125"/>
      <c r="M1503" s="162"/>
      <c r="AA1503" s="66"/>
      <c r="AF1503" s="162"/>
    </row>
    <row r="1504" spans="6:32" x14ac:dyDescent="0.2">
      <c r="F1504" s="125"/>
      <c r="M1504" s="162"/>
      <c r="AA1504" s="66"/>
      <c r="AF1504" s="162"/>
    </row>
    <row r="1505" spans="6:32" x14ac:dyDescent="0.2">
      <c r="F1505" s="125"/>
      <c r="M1505" s="162"/>
      <c r="AA1505" s="66"/>
      <c r="AF1505" s="162"/>
    </row>
    <row r="1506" spans="6:32" x14ac:dyDescent="0.2">
      <c r="F1506" s="125"/>
      <c r="M1506" s="162"/>
      <c r="AA1506" s="66"/>
      <c r="AF1506" s="162"/>
    </row>
    <row r="1507" spans="6:32" x14ac:dyDescent="0.2">
      <c r="F1507" s="125"/>
      <c r="M1507" s="162"/>
      <c r="AA1507" s="66"/>
      <c r="AF1507" s="162"/>
    </row>
    <row r="1508" spans="6:32" x14ac:dyDescent="0.2">
      <c r="F1508" s="125"/>
      <c r="M1508" s="162"/>
      <c r="AA1508" s="66"/>
      <c r="AF1508" s="162"/>
    </row>
    <row r="1509" spans="6:32" x14ac:dyDescent="0.2">
      <c r="F1509" s="125"/>
      <c r="M1509" s="162"/>
      <c r="AA1509" s="66"/>
      <c r="AF1509" s="162"/>
    </row>
    <row r="1510" spans="6:32" x14ac:dyDescent="0.2">
      <c r="F1510" s="125"/>
      <c r="M1510" s="162"/>
      <c r="AA1510" s="66"/>
      <c r="AF1510" s="162"/>
    </row>
    <row r="1511" spans="6:32" x14ac:dyDescent="0.2">
      <c r="F1511" s="125"/>
      <c r="M1511" s="162"/>
      <c r="AA1511" s="66"/>
      <c r="AF1511" s="162"/>
    </row>
    <row r="1512" spans="6:32" x14ac:dyDescent="0.2">
      <c r="F1512" s="125"/>
      <c r="M1512" s="162"/>
      <c r="AA1512" s="66"/>
      <c r="AF1512" s="162"/>
    </row>
    <row r="1513" spans="6:32" x14ac:dyDescent="0.2">
      <c r="F1513" s="125"/>
      <c r="M1513" s="162"/>
      <c r="AA1513" s="66"/>
      <c r="AF1513" s="162"/>
    </row>
    <row r="1514" spans="6:32" x14ac:dyDescent="0.2">
      <c r="F1514" s="125"/>
      <c r="M1514" s="162"/>
      <c r="AA1514" s="66"/>
      <c r="AF1514" s="162"/>
    </row>
    <row r="1515" spans="6:32" x14ac:dyDescent="0.2">
      <c r="F1515" s="125"/>
      <c r="M1515" s="162"/>
      <c r="AA1515" s="66"/>
      <c r="AF1515" s="162"/>
    </row>
    <row r="1516" spans="6:32" x14ac:dyDescent="0.2">
      <c r="F1516" s="125"/>
      <c r="M1516" s="162"/>
      <c r="AA1516" s="66"/>
      <c r="AF1516" s="162"/>
    </row>
    <row r="1517" spans="6:32" x14ac:dyDescent="0.2">
      <c r="F1517" s="125"/>
      <c r="M1517" s="162"/>
      <c r="AA1517" s="66"/>
      <c r="AF1517" s="162"/>
    </row>
    <row r="1518" spans="6:32" x14ac:dyDescent="0.2">
      <c r="F1518" s="125"/>
      <c r="M1518" s="162"/>
      <c r="AA1518" s="66"/>
      <c r="AF1518" s="162"/>
    </row>
    <row r="1519" spans="6:32" x14ac:dyDescent="0.2">
      <c r="F1519" s="125"/>
      <c r="M1519" s="162"/>
      <c r="AA1519" s="66"/>
      <c r="AF1519" s="162"/>
    </row>
    <row r="1520" spans="6:32" x14ac:dyDescent="0.2">
      <c r="F1520" s="125"/>
      <c r="M1520" s="162"/>
      <c r="AA1520" s="66"/>
      <c r="AF1520" s="162"/>
    </row>
    <row r="1521" spans="6:32" x14ac:dyDescent="0.2">
      <c r="F1521" s="125"/>
      <c r="M1521" s="162"/>
      <c r="AA1521" s="66"/>
      <c r="AF1521" s="162"/>
    </row>
    <row r="1522" spans="6:32" x14ac:dyDescent="0.2">
      <c r="F1522" s="125"/>
      <c r="M1522" s="162"/>
      <c r="AA1522" s="66"/>
      <c r="AF1522" s="162"/>
    </row>
    <row r="1523" spans="6:32" x14ac:dyDescent="0.2">
      <c r="F1523" s="125"/>
      <c r="M1523" s="162"/>
      <c r="AA1523" s="66"/>
      <c r="AF1523" s="162"/>
    </row>
    <row r="1524" spans="6:32" x14ac:dyDescent="0.2">
      <c r="F1524" s="125"/>
      <c r="M1524" s="162"/>
      <c r="AA1524" s="66"/>
      <c r="AF1524" s="162"/>
    </row>
    <row r="1525" spans="6:32" x14ac:dyDescent="0.2">
      <c r="F1525" s="125"/>
      <c r="M1525" s="162"/>
      <c r="AA1525" s="66"/>
      <c r="AF1525" s="162"/>
    </row>
    <row r="1526" spans="6:32" x14ac:dyDescent="0.2">
      <c r="F1526" s="125"/>
      <c r="M1526" s="162"/>
      <c r="AA1526" s="66"/>
      <c r="AF1526" s="162"/>
    </row>
    <row r="1527" spans="6:32" x14ac:dyDescent="0.2">
      <c r="F1527" s="125"/>
      <c r="M1527" s="162"/>
      <c r="AA1527" s="66"/>
      <c r="AF1527" s="162"/>
    </row>
    <row r="1528" spans="6:32" x14ac:dyDescent="0.2">
      <c r="F1528" s="125"/>
      <c r="M1528" s="162"/>
      <c r="AA1528" s="66"/>
      <c r="AF1528" s="162"/>
    </row>
    <row r="1529" spans="6:32" x14ac:dyDescent="0.2">
      <c r="F1529" s="125"/>
      <c r="M1529" s="162"/>
      <c r="AA1529" s="66"/>
      <c r="AF1529" s="162"/>
    </row>
    <row r="1530" spans="6:32" x14ac:dyDescent="0.2">
      <c r="F1530" s="125"/>
      <c r="M1530" s="162"/>
      <c r="AA1530" s="66"/>
      <c r="AF1530" s="162"/>
    </row>
    <row r="1531" spans="6:32" x14ac:dyDescent="0.2">
      <c r="F1531" s="125"/>
      <c r="M1531" s="162"/>
      <c r="AA1531" s="66"/>
      <c r="AF1531" s="162"/>
    </row>
    <row r="1532" spans="6:32" x14ac:dyDescent="0.2">
      <c r="F1532" s="125"/>
      <c r="M1532" s="162"/>
      <c r="AA1532" s="66"/>
      <c r="AF1532" s="162"/>
    </row>
    <row r="1533" spans="6:32" x14ac:dyDescent="0.2">
      <c r="F1533" s="125"/>
      <c r="M1533" s="162"/>
      <c r="AA1533" s="66"/>
      <c r="AF1533" s="162"/>
    </row>
    <row r="1534" spans="6:32" x14ac:dyDescent="0.2">
      <c r="F1534" s="125"/>
      <c r="M1534" s="162"/>
      <c r="AA1534" s="66"/>
      <c r="AF1534" s="162"/>
    </row>
    <row r="1535" spans="6:32" x14ac:dyDescent="0.2">
      <c r="F1535" s="125"/>
      <c r="M1535" s="162"/>
      <c r="AA1535" s="66"/>
      <c r="AF1535" s="162"/>
    </row>
    <row r="1536" spans="6:32" x14ac:dyDescent="0.2">
      <c r="F1536" s="125"/>
      <c r="M1536" s="162"/>
      <c r="AA1536" s="66"/>
      <c r="AF1536" s="162"/>
    </row>
    <row r="1537" spans="6:32" x14ac:dyDescent="0.2">
      <c r="F1537" s="125"/>
      <c r="M1537" s="162"/>
      <c r="AA1537" s="66"/>
      <c r="AF1537" s="162"/>
    </row>
    <row r="1538" spans="6:32" x14ac:dyDescent="0.2">
      <c r="F1538" s="125"/>
      <c r="M1538" s="162"/>
      <c r="AA1538" s="66"/>
      <c r="AF1538" s="162"/>
    </row>
    <row r="1539" spans="6:32" x14ac:dyDescent="0.2">
      <c r="F1539" s="125"/>
      <c r="M1539" s="162"/>
      <c r="AA1539" s="66"/>
      <c r="AF1539" s="162"/>
    </row>
    <row r="1540" spans="6:32" x14ac:dyDescent="0.2">
      <c r="F1540" s="125"/>
      <c r="M1540" s="162"/>
      <c r="AA1540" s="66"/>
      <c r="AF1540" s="162"/>
    </row>
    <row r="1541" spans="6:32" x14ac:dyDescent="0.2">
      <c r="F1541" s="125"/>
      <c r="M1541" s="162"/>
      <c r="AA1541" s="66"/>
      <c r="AF1541" s="162"/>
    </row>
    <row r="1542" spans="6:32" x14ac:dyDescent="0.2">
      <c r="F1542" s="125"/>
      <c r="M1542" s="162"/>
      <c r="AA1542" s="66"/>
      <c r="AF1542" s="162"/>
    </row>
    <row r="1543" spans="6:32" x14ac:dyDescent="0.2">
      <c r="F1543" s="125"/>
      <c r="M1543" s="162"/>
      <c r="AA1543" s="66"/>
      <c r="AF1543" s="162"/>
    </row>
    <row r="1544" spans="6:32" x14ac:dyDescent="0.2">
      <c r="F1544" s="125"/>
      <c r="M1544" s="162"/>
      <c r="AA1544" s="66"/>
      <c r="AF1544" s="162"/>
    </row>
    <row r="1545" spans="6:32" x14ac:dyDescent="0.2">
      <c r="F1545" s="125"/>
      <c r="M1545" s="162"/>
      <c r="AA1545" s="66"/>
      <c r="AF1545" s="162"/>
    </row>
    <row r="1546" spans="6:32" x14ac:dyDescent="0.2">
      <c r="F1546" s="125"/>
      <c r="M1546" s="162"/>
      <c r="AA1546" s="66"/>
      <c r="AF1546" s="162"/>
    </row>
    <row r="1547" spans="6:32" x14ac:dyDescent="0.2">
      <c r="F1547" s="125"/>
      <c r="M1547" s="162"/>
      <c r="AA1547" s="66"/>
      <c r="AF1547" s="162"/>
    </row>
    <row r="1548" spans="6:32" x14ac:dyDescent="0.2">
      <c r="F1548" s="125"/>
      <c r="M1548" s="162"/>
      <c r="AA1548" s="66"/>
      <c r="AF1548" s="162"/>
    </row>
    <row r="1549" spans="6:32" x14ac:dyDescent="0.2">
      <c r="F1549" s="125"/>
      <c r="M1549" s="162"/>
      <c r="AA1549" s="66"/>
      <c r="AF1549" s="162"/>
    </row>
    <row r="1550" spans="6:32" x14ac:dyDescent="0.2">
      <c r="F1550" s="125"/>
      <c r="M1550" s="162"/>
      <c r="AA1550" s="66"/>
      <c r="AF1550" s="162"/>
    </row>
    <row r="1551" spans="6:32" x14ac:dyDescent="0.2">
      <c r="F1551" s="125"/>
      <c r="M1551" s="162"/>
      <c r="AA1551" s="66"/>
      <c r="AF1551" s="162"/>
    </row>
    <row r="1552" spans="6:32" x14ac:dyDescent="0.2">
      <c r="F1552" s="125"/>
      <c r="M1552" s="162"/>
      <c r="AA1552" s="66"/>
      <c r="AF1552" s="162"/>
    </row>
    <row r="1553" spans="6:32" x14ac:dyDescent="0.2">
      <c r="F1553" s="125"/>
      <c r="M1553" s="162"/>
      <c r="AA1553" s="66"/>
      <c r="AF1553" s="162"/>
    </row>
    <row r="1554" spans="6:32" x14ac:dyDescent="0.2">
      <c r="F1554" s="125"/>
      <c r="M1554" s="162"/>
      <c r="AA1554" s="66"/>
      <c r="AF1554" s="162"/>
    </row>
    <row r="1555" spans="6:32" x14ac:dyDescent="0.2">
      <c r="F1555" s="125"/>
      <c r="M1555" s="162"/>
      <c r="AA1555" s="66"/>
      <c r="AF1555" s="162"/>
    </row>
    <row r="1556" spans="6:32" x14ac:dyDescent="0.2">
      <c r="F1556" s="125"/>
      <c r="M1556" s="162"/>
      <c r="AA1556" s="66"/>
      <c r="AF1556" s="162"/>
    </row>
    <row r="1557" spans="6:32" x14ac:dyDescent="0.2">
      <c r="F1557" s="125"/>
      <c r="M1557" s="162"/>
      <c r="AA1557" s="66"/>
      <c r="AF1557" s="162"/>
    </row>
    <row r="1558" spans="6:32" x14ac:dyDescent="0.2">
      <c r="F1558" s="125"/>
      <c r="M1558" s="162"/>
      <c r="AA1558" s="66"/>
      <c r="AF1558" s="162"/>
    </row>
    <row r="1559" spans="6:32" x14ac:dyDescent="0.2">
      <c r="F1559" s="125"/>
      <c r="M1559" s="162"/>
      <c r="AA1559" s="66"/>
      <c r="AF1559" s="162"/>
    </row>
    <row r="1560" spans="6:32" x14ac:dyDescent="0.2">
      <c r="F1560" s="125"/>
      <c r="M1560" s="162"/>
      <c r="AA1560" s="66"/>
      <c r="AF1560" s="162"/>
    </row>
    <row r="1561" spans="6:32" x14ac:dyDescent="0.2">
      <c r="F1561" s="125"/>
      <c r="M1561" s="162"/>
      <c r="AA1561" s="66"/>
      <c r="AF1561" s="162"/>
    </row>
    <row r="1562" spans="6:32" x14ac:dyDescent="0.2">
      <c r="F1562" s="125"/>
      <c r="M1562" s="162"/>
      <c r="AA1562" s="66"/>
      <c r="AF1562" s="162"/>
    </row>
    <row r="1563" spans="6:32" x14ac:dyDescent="0.2">
      <c r="M1563" s="162"/>
      <c r="AA1563" s="66"/>
      <c r="AF1563" s="162"/>
    </row>
    <row r="1564" spans="6:32" x14ac:dyDescent="0.2">
      <c r="M1564" s="162"/>
      <c r="AA1564" s="66"/>
      <c r="AF1564" s="162"/>
    </row>
    <row r="1565" spans="6:32" x14ac:dyDescent="0.2">
      <c r="M1565" s="162"/>
      <c r="AA1565" s="66"/>
      <c r="AF1565" s="162"/>
    </row>
    <row r="1566" spans="6:32" x14ac:dyDescent="0.2">
      <c r="M1566" s="162"/>
      <c r="AF1566" s="162"/>
    </row>
  </sheetData>
  <autoFilter ref="A11:BB668" xr:uid="{00000000-0001-0000-0100-000000000000}">
    <filterColumn colId="9">
      <filters>
        <dateGroupItem year="2025" month="3" dateTimeGrouping="month"/>
      </filters>
    </filterColumn>
  </autoFilter>
  <sortState xmlns:xlrd2="http://schemas.microsoft.com/office/spreadsheetml/2017/richdata2" ref="A12:V42">
    <sortCondition ref="J42"/>
  </sortState>
  <mergeCells count="14">
    <mergeCell ref="A9:AQ9"/>
    <mergeCell ref="AL10:AN10"/>
    <mergeCell ref="AO10:AP10"/>
    <mergeCell ref="AF10:AK10"/>
    <mergeCell ref="L2:M2"/>
    <mergeCell ref="L3:M3"/>
    <mergeCell ref="L4:M4"/>
    <mergeCell ref="L5:M5"/>
    <mergeCell ref="L7:M7"/>
    <mergeCell ref="D2:E2"/>
    <mergeCell ref="D3:E3"/>
    <mergeCell ref="D4:E4"/>
    <mergeCell ref="D5:E5"/>
    <mergeCell ref="D6:E6"/>
  </mergeCells>
  <phoneticPr fontId="17" type="noConversion"/>
  <conditionalFormatting sqref="AG13:AG49 AG51:AG409">
    <cfRule type="containsText" dxfId="1" priority="3" operator="containsText" text="SI">
      <formula>NOT(ISERROR(SEARCH("SI",AG13)))</formula>
    </cfRule>
  </conditionalFormatting>
  <conditionalFormatting sqref="AH1:AH1048576 AJ1:AK1048576">
    <cfRule type="containsText" dxfId="0" priority="2" operator="containsText" text="NO">
      <formula>NOT(ISERROR(SEARCH("NO",AH1)))</formula>
    </cfRule>
  </conditionalFormatting>
  <dataValidations disablePrompts="1" count="31">
    <dataValidation type="time" allowBlank="1" showInputMessage="1" showErrorMessage="1" error="Solo ingresar horas en formato 24 Horas" sqref="K216:K218 K249:K250 K300 K176:K182 K302 K201 K204:K206 K209 K307 K199 K212:K213 K274:K278 K290:K296 K194:K197" xr:uid="{EAD41D90-0F0A-4613-956D-FB16AD542A25}">
      <formula1>0</formula1>
      <formula2>0.999305555555556</formula2>
    </dataValidation>
    <dataValidation type="list" allowBlank="1" showInputMessage="1" showErrorMessage="1" sqref="P157 P172:P173 P163:P165 P134:P154 P177:P183 P188 P192:P195 P226 P234 P238 P243:P249 P256:P259 P261:P278 P197:P223 P12:P132" xr:uid="{50B4817D-7534-4C32-A912-BC29C2643721}">
      <formula1>"No Aplica,Atrapamiento,Aplastamiento,Atropello,Altura,Contacto con energia"</formula1>
    </dataValidation>
    <dataValidation type="list" allowBlank="1" showInputMessage="1" showErrorMessage="1" sqref="N210:N215 N222:N243 N217 N12:N208" xr:uid="{F7405154-8C5B-44ED-ADA2-F90D0BB4B2AE}">
      <formula1>"No Aplica, Leve, Serio, Grave, Fatal"</formula1>
    </dataValidation>
    <dataValidation type="list" allowBlank="1" showInputMessage="1" showErrorMessage="1" error="Seleccione un valor de la lista" sqref="N244:N276 N287:N373 N279:N285" xr:uid="{ACB0120D-6D44-4B61-B73C-B5F62E3ECC30}">
      <formula1>"Leve, Medio, Grave/Fatal, No Aplica"</formula1>
    </dataValidation>
    <dataValidation type="list" allowBlank="1" showInputMessage="1" showErrorMessage="1" sqref="P196 P225 P233 P133" xr:uid="{ABAF58B5-3E2F-46AF-B3B6-7A6E1304DCA8}">
      <formula1>"No Aplica,Atrapamiento,Aplastamiento,Atropello,Altura,Contacto con energia,Suelo,Aire,Agua"</formula1>
    </dataValidation>
    <dataValidation type="list" allowBlank="1" showInputMessage="1" showErrorMessage="1" sqref="T12:T33 T287:T309 T222:T275 T279:T280 T200:T217 T35:T198" xr:uid="{35696789-AC9E-41A8-9D7B-2FAD7E0811C6}">
      <formula1>"Negativo,Positivo,No Realizado,No Aplica"</formula1>
    </dataValidation>
    <dataValidation type="whole" allowBlank="1" showInputMessage="1" showErrorMessage="1" sqref="G307:G308 G155:G164 G166:G182 G194 G227 G230 G196 G232:G234 G239 G277:G279 G275 G199:G203 G205:G207 G209:G219 G290:G303 G23 G20:G21" xr:uid="{E0E621E5-5F64-4312-97B8-0FA9190A3A46}">
      <formula1>18</formula1>
      <formula2>99</formula2>
    </dataValidation>
    <dataValidation type="date" allowBlank="1" showInputMessage="1" showErrorMessage="1" error="Solo ingresar fechas" sqref="J307 J302" xr:uid="{6243DC79-96C8-477A-B186-45509B0ADDD1}">
      <formula1>43466</formula1>
      <formula2>45291</formula2>
    </dataValidation>
    <dataValidation type="whole" allowBlank="1" showInputMessage="1" showErrorMessage="1" sqref="G231 G285 G193 G228:G229 G244:G245" xr:uid="{49EB6A66-C18D-47CE-99F1-8BE52B9EBA48}">
      <formula1>15</formula1>
      <formula2>99</formula2>
    </dataValidation>
    <dataValidation type="list" allowBlank="1" showInputMessage="1" showErrorMessage="1" sqref="AA224:AA303 AA305:AA1565" xr:uid="{C331984B-81DB-417A-B647-2CCF5CB17A56}">
      <formula1>$AT$22:$AT$22</formula1>
    </dataValidation>
    <dataValidation type="list" allowBlank="1" showInputMessage="1" showErrorMessage="1" sqref="S12:S35 AN203:AN204 AN198:AN201 AN185:AN196 AN147:AN152 AN182:AN183 AN139:AN140 AN142:AN145 AN135:AN137 AN123:AN133 AN166:AN180 AN214:AN248 AN206:AN211 AN154:AN164 S50:S52 AO309:AO1449 AN250:AN1449 AP298:AP1449" xr:uid="{AA22B087-E5E4-414F-BD4A-F019DCA219B4}">
      <formula1>$AT$26:$AT$30</formula1>
    </dataValidation>
    <dataValidation type="time" allowBlank="1" showInputMessage="1" showErrorMessage="1" error="Solo ingresar hora" sqref="K38 K20:K22" xr:uid="{FEFBE08C-1D08-439D-AA2B-38AA15D55BFE}">
      <formula1>0</formula1>
      <formula2>0.999305555555556</formula2>
    </dataValidation>
    <dataValidation type="list" allowBlank="1" showInputMessage="1" showErrorMessage="1" sqref="AL166:AL180 AL284 AL250:AL259 AL214:AL248 AL203:AL204 AL147:AL152 AL154:AL164 AL185:AL196 AL182:AL183 AL139:AL140 AL199:AL200 AL135:AL137 AL123:AL130 AL44:AL48 AL261:AL282 AL132:AL133 AL142:AL145 AL206:AL211 AL286:AL860" xr:uid="{67A86F16-9B8E-4B1E-8D43-B36DB10531D6}">
      <formula1>$AS$15:$AS$32</formula1>
    </dataValidation>
    <dataValidation type="list" allowBlank="1" showInputMessage="1" showErrorMessage="1" sqref="M955:M1566" xr:uid="{AFC1CB78-555D-4F3E-A5DE-F36A8027518B}">
      <formula1>"FATAL,CTP,STP,CUASI INCIDENTE,MEDIO AMBIENTE,DAÑO MATERIAL,NAT,AM, ACCIDENTE TRAYECTO, RECHAZO ATENCION MEDICA, CUASI INCIDENTE CON PERDIDA ECONOMICA,OBS CONDUCTA, OBS CONDICION"</formula1>
    </dataValidation>
    <dataValidation type="list" allowBlank="1" showInputMessage="1" showErrorMessage="1" error="Seleccione un valor de la lista" sqref="P281:P360 P260" xr:uid="{ACDB4F89-981F-4885-A526-5C6E74DE679B}">
      <formula1>"No Aplica, Altura, Atropello, Aplastamiento, Atrapamiento, Contacto con energía, Suelo, Aire, Agua"</formula1>
    </dataValidation>
    <dataValidation type="list" allowBlank="1" showInputMessage="1" showErrorMessage="1" sqref="V274 V278 V276 V244 V298 V249 V285 V205" xr:uid="{30DA6C86-9BEF-43B6-A1BF-C465AE0FB2A7}">
      <formula1>INDIRECT(XEU205)</formula1>
    </dataValidation>
    <dataValidation type="list" allowBlank="1" showInputMessage="1" showErrorMessage="1" sqref="V295 V307:V308 V301" xr:uid="{64F305ED-30E6-4F94-A339-6D4E6715AD8A}">
      <formula1>INDIRECT(XET295)</formula1>
    </dataValidation>
    <dataValidation type="list" allowBlank="1" showInputMessage="1" showErrorMessage="1" sqref="M660:M954" xr:uid="{E1FA51AB-A2B6-44DC-AE55-46E9C3405E08}">
      <formula1>"Cuasi Accidente, Cuasi Accidente con pérdida económica,CTP,STP,Accidente de Trayecto,Incidente Ambiental,AM,NAT,Fatal"</formula1>
    </dataValidation>
    <dataValidation type="decimal" allowBlank="1" showInputMessage="1" showErrorMessage="1" sqref="W22:X22" xr:uid="{DFB66642-B10E-4F47-95B9-6DDC84D50715}">
      <formula1>0</formula1>
      <formula2>99999999999</formula2>
    </dataValidation>
    <dataValidation type="list" allowBlank="1" showInputMessage="1" showErrorMessage="1" sqref="AN12:AN48 AN50:AN55" xr:uid="{A80ACFB1-71AB-483C-8056-E9024E2FF122}">
      <formula1>$AT$26:$AT$31</formula1>
    </dataValidation>
    <dataValidation type="list" allowBlank="1" showInputMessage="1" showErrorMessage="1" sqref="AA12:AA48 AA50:AA223" xr:uid="{800D98EF-6776-4BF7-A4AF-D9387E6FFCDC}">
      <formula1>"1°,2°,3°"</formula1>
    </dataValidation>
    <dataValidation type="list" allowBlank="1" showInputMessage="1" showErrorMessage="1" sqref="F313:F1562" xr:uid="{92A6AC9D-8D80-4A93-92D8-31373C46BB61}">
      <formula1>$AX$17:$AX$18</formula1>
    </dataValidation>
    <dataValidation type="list" allowBlank="1" showInputMessage="1" showErrorMessage="1" sqref="AG293:AG825 AF12:AF1566" xr:uid="{F18A84FD-8C1D-4952-9DC7-7BDD3DBD7437}">
      <formula1>$BB$13:$BB$15</formula1>
    </dataValidation>
    <dataValidation type="list" allowBlank="1" showInputMessage="1" showErrorMessage="1" sqref="AE532:AE649" xr:uid="{9B9C564D-F427-4351-AA40-6F4E91ABACD6}">
      <formula1>"Responsabilidad Operador,factor Externo, Fatiga de Material,En investigación,No Aplica"</formula1>
    </dataValidation>
    <dataValidation type="list" allowBlank="1" showInputMessage="1" showErrorMessage="1" sqref="AH12:AH392" xr:uid="{462778C2-4BCD-4515-8B6A-2A0A6FA86817}">
      <formula1>"SI, NO,N/A"</formula1>
    </dataValidation>
    <dataValidation type="list" allowBlank="1" showInputMessage="1" showErrorMessage="1" sqref="AK12:AK530 AJ12:AJ553" xr:uid="{37419D4D-79EE-432F-B874-1BEC155E8723}">
      <formula1>"SI, NO, N/A"</formula1>
    </dataValidation>
    <dataValidation type="list" allowBlank="1" showInputMessage="1" showErrorMessage="1" sqref="AE12:AE531" xr:uid="{39F02ECF-233F-4E8A-A7C2-685F1BA3A0D6}">
      <formula1>"Responsabilidad Operador,Factor Externo,Fatiga de Material,En investigación,No Aplica"</formula1>
    </dataValidation>
    <dataValidation type="list" allowBlank="1" showInputMessage="1" showErrorMessage="1" sqref="O12:O512" xr:uid="{2CF1F376-2C0A-4354-9A37-9890A1DE0C17}">
      <formula1>"Bajo,Alto,No Aplica"</formula1>
    </dataValidation>
    <dataValidation type="list" allowBlank="1" showInputMessage="1" showErrorMessage="1" sqref="AG12:AG292" xr:uid="{66DCB753-E405-408D-823A-0190ABAF1C3C}">
      <formula1>"SI,NO,No Aplica"</formula1>
    </dataValidation>
    <dataValidation type="list" allowBlank="1" showInputMessage="1" showErrorMessage="1" sqref="F11:F312" xr:uid="{42FF4FC7-4A23-4AAB-8051-A33BA300BF8E}">
      <formula1>$AX$17:$AX$19</formula1>
    </dataValidation>
    <dataValidation type="list" allowBlank="1" showInputMessage="1" showErrorMessage="1" sqref="M12:M659" xr:uid="{E42D91A1-54C5-4FF0-AD16-746F8031A824}">
      <formula1>"Conducta Insegura,Observación Insegura,Cuasi Accidente, Cuasi Accidente con pérdida económica,CTP,STP,Accidente Grave,Accidente Fatal,Accidente de Trayecto,Incidente Ambiental,NAT,AM"</formula1>
    </dataValidation>
  </dataValidations>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disablePrompts="1" count="7">
        <x14:dataValidation type="list" allowBlank="1" showInputMessage="1" showErrorMessage="1" xr:uid="{F594175F-C503-4FF5-BD54-995DBA508386}">
          <x14:formula1>
            <xm:f>Hoja4!$L$3:$L$25</xm:f>
          </x14:formula1>
          <xm:sqref>W178 W217</xm:sqref>
        </x14:dataValidation>
        <x14:dataValidation type="list" allowBlank="1" showInputMessage="1" showErrorMessage="1" xr:uid="{08AEDCD7-0FF9-49BA-ACC4-74EC496DB83D}">
          <x14:formula1>
            <xm:f>Hoja4!$G$4:$G$9</xm:f>
          </x14:formula1>
          <xm:sqref>R249</xm:sqref>
        </x14:dataValidation>
        <x14:dataValidation type="list" allowBlank="1" showInputMessage="1" showErrorMessage="1" xr:uid="{BFCF74B2-FA3B-4286-B0E9-6C31E488547A}">
          <x14:formula1>
            <xm:f>Hoja4!$A$3:$A$100</xm:f>
          </x14:formula1>
          <xm:sqref>Q282:Q360 Q270:Q280 Q12:Q268</xm:sqref>
        </x14:dataValidation>
        <x14:dataValidation type="list" allowBlank="1" showInputMessage="1" showErrorMessage="1" xr:uid="{30CACE9E-A0C7-490F-8784-2D2AB2E7C542}">
          <x14:formula1>
            <xm:f>Hoja4!$G$4:$G$20</xm:f>
          </x14:formula1>
          <xm:sqref>R210:R217 R223:R248 R201:R208 R250:R1137 R12:R198</xm:sqref>
        </x14:dataValidation>
        <x14:dataValidation type="list" allowBlank="1" showInputMessage="1" showErrorMessage="1" xr:uid="{31150D9C-BD3B-474F-8EAA-52ED8C5CE3B1}">
          <x14:formula1>
            <xm:f>Hoja4!$J$4:$J$10</xm:f>
          </x14:formula1>
          <xm:sqref>Z307:Z324</xm:sqref>
        </x14:dataValidation>
        <x14:dataValidation type="list" allowBlank="1" showInputMessage="1" showErrorMessage="1" xr:uid="{24B880A2-B130-470D-9E84-CBCA930EAE22}">
          <x14:formula1>
            <xm:f>Hoja4!$F$4:$F$20</xm:f>
          </x14:formula1>
          <xm:sqref>S36:S49 S201:S236 S53:S198</xm:sqref>
        </x14:dataValidation>
        <x14:dataValidation type="list" allowBlank="1" showInputMessage="1" showErrorMessage="1" xr:uid="{EB464396-5572-4DFC-831F-28654D837BAE}">
          <x14:formula1>
            <xm:f>Hoja4!$F$4:$F$9</xm:f>
          </x14:formula1>
          <xm:sqref>S237:S262 S264:S1449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3:C20"/>
  <sheetViews>
    <sheetView workbookViewId="0">
      <selection activeCell="C27" sqref="C27"/>
    </sheetView>
  </sheetViews>
  <sheetFormatPr baseColWidth="10" defaultColWidth="11.5" defaultRowHeight="15" x14ac:dyDescent="0.2"/>
  <cols>
    <col min="1" max="1" width="35.83203125" customWidth="1"/>
    <col min="2" max="2" width="22.5" bestFit="1" customWidth="1"/>
    <col min="3" max="3" width="5.1640625" customWidth="1"/>
    <col min="4" max="4" width="5.5" customWidth="1"/>
    <col min="5" max="5" width="12.5" bestFit="1" customWidth="1"/>
  </cols>
  <sheetData>
    <row r="3" spans="1:3" x14ac:dyDescent="0.2">
      <c r="A3" s="88"/>
      <c r="B3" s="89"/>
      <c r="C3" s="90"/>
    </row>
    <row r="4" spans="1:3" x14ac:dyDescent="0.2">
      <c r="A4" s="91"/>
      <c r="B4" s="92"/>
      <c r="C4" s="93"/>
    </row>
    <row r="5" spans="1:3" x14ac:dyDescent="0.2">
      <c r="A5" s="91"/>
      <c r="B5" s="92"/>
      <c r="C5" s="93"/>
    </row>
    <row r="6" spans="1:3" x14ac:dyDescent="0.2">
      <c r="A6" s="91"/>
      <c r="B6" s="92"/>
      <c r="C6" s="93"/>
    </row>
    <row r="7" spans="1:3" x14ac:dyDescent="0.2">
      <c r="A7" s="91"/>
      <c r="B7" s="92"/>
      <c r="C7" s="93"/>
    </row>
    <row r="8" spans="1:3" x14ac:dyDescent="0.2">
      <c r="A8" s="91"/>
      <c r="B8" s="92"/>
      <c r="C8" s="93"/>
    </row>
    <row r="9" spans="1:3" x14ac:dyDescent="0.2">
      <c r="A9" s="91"/>
      <c r="B9" s="92"/>
      <c r="C9" s="93"/>
    </row>
    <row r="10" spans="1:3" x14ac:dyDescent="0.2">
      <c r="A10" s="91"/>
      <c r="B10" s="92"/>
      <c r="C10" s="93"/>
    </row>
    <row r="11" spans="1:3" x14ac:dyDescent="0.2">
      <c r="A11" s="91"/>
      <c r="B11" s="92"/>
      <c r="C11" s="93"/>
    </row>
    <row r="12" spans="1:3" x14ac:dyDescent="0.2">
      <c r="A12" s="91"/>
      <c r="B12" s="92"/>
      <c r="C12" s="93"/>
    </row>
    <row r="13" spans="1:3" x14ac:dyDescent="0.2">
      <c r="A13" s="91"/>
      <c r="B13" s="92"/>
      <c r="C13" s="93"/>
    </row>
    <row r="14" spans="1:3" x14ac:dyDescent="0.2">
      <c r="A14" s="91"/>
      <c r="B14" s="92"/>
      <c r="C14" s="93"/>
    </row>
    <row r="15" spans="1:3" x14ac:dyDescent="0.2">
      <c r="A15" s="91"/>
      <c r="B15" s="92"/>
      <c r="C15" s="93"/>
    </row>
    <row r="16" spans="1:3" x14ac:dyDescent="0.2">
      <c r="A16" s="91"/>
      <c r="B16" s="92"/>
      <c r="C16" s="93"/>
    </row>
    <row r="17" spans="1:3" x14ac:dyDescent="0.2">
      <c r="A17" s="91"/>
      <c r="B17" s="92"/>
      <c r="C17" s="93"/>
    </row>
    <row r="18" spans="1:3" x14ac:dyDescent="0.2">
      <c r="A18" s="91"/>
      <c r="B18" s="92"/>
      <c r="C18" s="93"/>
    </row>
    <row r="19" spans="1:3" x14ac:dyDescent="0.2">
      <c r="A19" s="91"/>
      <c r="B19" s="92"/>
      <c r="C19" s="93"/>
    </row>
    <row r="20" spans="1:3" x14ac:dyDescent="0.2">
      <c r="A20" s="94"/>
      <c r="B20" s="95"/>
      <c r="C20" s="96"/>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U97"/>
  <sheetViews>
    <sheetView topLeftCell="F25" workbookViewId="0">
      <selection activeCell="L31" sqref="L31"/>
    </sheetView>
  </sheetViews>
  <sheetFormatPr baseColWidth="10" defaultColWidth="11.5" defaultRowHeight="15" x14ac:dyDescent="0.2"/>
  <cols>
    <col min="4" max="4" width="21.1640625" customWidth="1"/>
    <col min="6" max="6" width="20.6640625" customWidth="1"/>
    <col min="7" max="7" width="15.6640625" customWidth="1"/>
    <col min="8" max="8" width="28" customWidth="1"/>
    <col min="9" max="9" width="26.33203125" customWidth="1"/>
    <col min="12" max="12" width="34.1640625" bestFit="1" customWidth="1"/>
    <col min="13" max="13" width="56.33203125" bestFit="1" customWidth="1"/>
    <col min="14" max="14" width="52.5" bestFit="1" customWidth="1"/>
    <col min="15" max="15" width="28.5" bestFit="1" customWidth="1"/>
    <col min="16" max="16" width="48.5" bestFit="1" customWidth="1"/>
    <col min="19" max="19" width="16.5" customWidth="1"/>
    <col min="20" max="20" width="21.5" customWidth="1"/>
    <col min="21" max="21" width="39.83203125" customWidth="1"/>
  </cols>
  <sheetData>
    <row r="1" spans="1:21" ht="16" thickBot="1" x14ac:dyDescent="0.25">
      <c r="A1" s="6"/>
      <c r="B1" s="6"/>
      <c r="C1" s="6"/>
      <c r="D1" s="6"/>
      <c r="E1" s="6"/>
      <c r="F1" s="6"/>
      <c r="G1" s="6"/>
      <c r="H1" s="6"/>
      <c r="I1" s="6"/>
      <c r="J1" s="6"/>
      <c r="K1" s="6"/>
      <c r="L1" s="6"/>
    </row>
    <row r="2" spans="1:21" ht="16" thickBot="1" x14ac:dyDescent="0.25">
      <c r="A2" s="6" t="s">
        <v>63</v>
      </c>
      <c r="B2" s="6"/>
      <c r="C2" s="6"/>
      <c r="D2" s="6" t="s">
        <v>470</v>
      </c>
      <c r="E2" s="6"/>
      <c r="F2" s="7" t="s">
        <v>65</v>
      </c>
      <c r="G2" s="7" t="s">
        <v>64</v>
      </c>
      <c r="H2" s="24" t="s">
        <v>65</v>
      </c>
      <c r="I2" s="78" t="s">
        <v>471</v>
      </c>
      <c r="J2" s="78" t="s">
        <v>71</v>
      </c>
      <c r="K2" s="78" t="s">
        <v>72</v>
      </c>
      <c r="L2" s="78" t="s">
        <v>472</v>
      </c>
      <c r="M2" s="511" t="s">
        <v>473</v>
      </c>
      <c r="N2" s="512"/>
      <c r="O2" s="513" t="s">
        <v>474</v>
      </c>
      <c r="P2" s="512"/>
      <c r="R2" t="s">
        <v>475</v>
      </c>
    </row>
    <row r="3" spans="1:21" ht="22" thickBot="1" x14ac:dyDescent="0.3">
      <c r="A3" s="2" t="s">
        <v>424</v>
      </c>
      <c r="B3" s="6"/>
      <c r="C3" s="6"/>
      <c r="D3" s="6"/>
      <c r="E3" s="6"/>
      <c r="F3" s="6"/>
      <c r="G3" s="6"/>
      <c r="H3" s="6"/>
      <c r="I3" s="6"/>
      <c r="J3" s="6"/>
      <c r="K3" s="6"/>
      <c r="L3" s="6"/>
      <c r="M3" s="7" t="s">
        <v>476</v>
      </c>
      <c r="N3" s="7" t="s">
        <v>477</v>
      </c>
      <c r="O3" s="7" t="s">
        <v>478</v>
      </c>
      <c r="P3" s="7" t="s">
        <v>479</v>
      </c>
      <c r="R3" s="79" t="s">
        <v>105</v>
      </c>
      <c r="S3" t="s">
        <v>480</v>
      </c>
      <c r="T3" s="77" t="s">
        <v>481</v>
      </c>
    </row>
    <row r="4" spans="1:21" ht="21" x14ac:dyDescent="0.25">
      <c r="A4" s="2" t="s">
        <v>482</v>
      </c>
      <c r="B4" s="6"/>
      <c r="C4" s="6"/>
      <c r="D4" s="6" t="s">
        <v>483</v>
      </c>
      <c r="E4" s="6"/>
      <c r="F4" s="6" t="s">
        <v>106</v>
      </c>
      <c r="G4" s="6" t="s">
        <v>92</v>
      </c>
      <c r="H4" s="6" t="s">
        <v>106</v>
      </c>
      <c r="I4" s="6" t="s">
        <v>484</v>
      </c>
      <c r="J4" s="6" t="s">
        <v>130</v>
      </c>
      <c r="K4" s="6" t="s">
        <v>22</v>
      </c>
      <c r="L4" s="30" t="s">
        <v>485</v>
      </c>
      <c r="M4" s="48" t="s">
        <v>486</v>
      </c>
      <c r="N4" s="49" t="s">
        <v>487</v>
      </c>
      <c r="O4" s="50" t="s">
        <v>488</v>
      </c>
      <c r="P4" s="49" t="s">
        <v>489</v>
      </c>
      <c r="R4" s="80" t="s">
        <v>490</v>
      </c>
      <c r="S4" t="s">
        <v>103</v>
      </c>
      <c r="T4" t="s">
        <v>491</v>
      </c>
      <c r="U4" t="s">
        <v>492</v>
      </c>
    </row>
    <row r="5" spans="1:21" ht="21" x14ac:dyDescent="0.25">
      <c r="A5" s="2" t="s">
        <v>493</v>
      </c>
      <c r="B5" s="6"/>
      <c r="C5" s="6"/>
      <c r="D5" s="6" t="s">
        <v>8</v>
      </c>
      <c r="E5" s="6"/>
      <c r="F5" s="6" t="s">
        <v>341</v>
      </c>
      <c r="G5" s="6" t="s">
        <v>494</v>
      </c>
      <c r="H5" s="6" t="s">
        <v>341</v>
      </c>
      <c r="I5" s="6" t="s">
        <v>495</v>
      </c>
      <c r="J5" s="6" t="s">
        <v>138</v>
      </c>
      <c r="K5" s="6" t="s">
        <v>23</v>
      </c>
      <c r="L5" s="30" t="s">
        <v>96</v>
      </c>
      <c r="M5" s="26" t="s">
        <v>496</v>
      </c>
      <c r="N5" s="51" t="s">
        <v>497</v>
      </c>
      <c r="O5" s="52" t="s">
        <v>498</v>
      </c>
      <c r="P5" s="51" t="s">
        <v>499</v>
      </c>
      <c r="R5" s="80" t="s">
        <v>500</v>
      </c>
      <c r="S5" t="s">
        <v>104</v>
      </c>
      <c r="T5" t="s">
        <v>501</v>
      </c>
      <c r="U5" t="s">
        <v>502</v>
      </c>
    </row>
    <row r="6" spans="1:21" ht="21" x14ac:dyDescent="0.25">
      <c r="A6" s="2" t="s">
        <v>503</v>
      </c>
      <c r="B6" s="6"/>
      <c r="C6" s="6"/>
      <c r="D6" s="6" t="s">
        <v>11</v>
      </c>
      <c r="E6" s="6"/>
      <c r="F6" s="6" t="s">
        <v>128</v>
      </c>
      <c r="G6" s="6" t="s">
        <v>504</v>
      </c>
      <c r="H6" s="6" t="s">
        <v>128</v>
      </c>
      <c r="I6" s="6" t="s">
        <v>505</v>
      </c>
      <c r="J6" s="6" t="s">
        <v>150</v>
      </c>
      <c r="K6" s="6" t="s">
        <v>24</v>
      </c>
      <c r="L6" s="30" t="s">
        <v>506</v>
      </c>
      <c r="M6" s="53" t="s">
        <v>507</v>
      </c>
      <c r="N6" s="51" t="s">
        <v>508</v>
      </c>
      <c r="O6" s="52" t="s">
        <v>509</v>
      </c>
      <c r="P6" s="51" t="s">
        <v>510</v>
      </c>
      <c r="R6" s="80" t="s">
        <v>140</v>
      </c>
      <c r="S6" t="s">
        <v>101</v>
      </c>
      <c r="T6" t="s">
        <v>511</v>
      </c>
      <c r="U6" t="s">
        <v>512</v>
      </c>
    </row>
    <row r="7" spans="1:21" ht="21" x14ac:dyDescent="0.25">
      <c r="A7" s="2" t="s">
        <v>513</v>
      </c>
      <c r="B7" s="6"/>
      <c r="C7" s="6"/>
      <c r="D7" s="6" t="s">
        <v>514</v>
      </c>
      <c r="E7" s="6"/>
      <c r="F7" s="6" t="s">
        <v>271</v>
      </c>
      <c r="G7" s="6" t="s">
        <v>515</v>
      </c>
      <c r="H7" s="6" t="s">
        <v>168</v>
      </c>
      <c r="I7" s="6" t="s">
        <v>516</v>
      </c>
      <c r="J7" s="6" t="s">
        <v>230</v>
      </c>
      <c r="K7" s="6"/>
      <c r="L7" s="30" t="s">
        <v>517</v>
      </c>
      <c r="M7" s="26" t="s">
        <v>518</v>
      </c>
      <c r="N7" s="51" t="s">
        <v>519</v>
      </c>
      <c r="O7" s="52" t="s">
        <v>520</v>
      </c>
      <c r="P7" s="25" t="s">
        <v>521</v>
      </c>
      <c r="R7" s="80" t="s">
        <v>159</v>
      </c>
    </row>
    <row r="8" spans="1:21" ht="21" x14ac:dyDescent="0.25">
      <c r="A8" s="2" t="s">
        <v>225</v>
      </c>
      <c r="B8" s="6"/>
      <c r="C8" s="6"/>
      <c r="D8" s="6" t="s">
        <v>522</v>
      </c>
      <c r="E8" s="6"/>
      <c r="F8" s="6" t="s">
        <v>168</v>
      </c>
      <c r="G8" s="6" t="s">
        <v>523</v>
      </c>
      <c r="H8" s="6" t="s">
        <v>271</v>
      </c>
      <c r="I8" s="6" t="s">
        <v>524</v>
      </c>
      <c r="J8" s="6" t="s">
        <v>100</v>
      </c>
      <c r="K8" s="6"/>
      <c r="L8" s="30" t="s">
        <v>525</v>
      </c>
      <c r="M8" s="53" t="s">
        <v>526</v>
      </c>
      <c r="N8" s="51" t="s">
        <v>527</v>
      </c>
      <c r="O8" s="27" t="s">
        <v>528</v>
      </c>
      <c r="P8" s="25" t="s">
        <v>529</v>
      </c>
      <c r="R8" s="29" t="s">
        <v>530</v>
      </c>
    </row>
    <row r="9" spans="1:21" ht="21" x14ac:dyDescent="0.25">
      <c r="A9" s="2" t="s">
        <v>531</v>
      </c>
      <c r="B9" s="6"/>
      <c r="C9" s="6"/>
      <c r="D9" s="6" t="s">
        <v>532</v>
      </c>
      <c r="E9" s="6"/>
      <c r="G9" s="6" t="s">
        <v>108</v>
      </c>
      <c r="H9" s="6" t="s">
        <v>89</v>
      </c>
      <c r="I9" s="6" t="s">
        <v>89</v>
      </c>
      <c r="J9" s="6" t="s">
        <v>189</v>
      </c>
      <c r="K9" s="6"/>
      <c r="L9" s="30" t="s">
        <v>533</v>
      </c>
      <c r="M9" s="26" t="s">
        <v>534</v>
      </c>
      <c r="N9" s="25" t="s">
        <v>535</v>
      </c>
      <c r="O9" s="54" t="s">
        <v>536</v>
      </c>
      <c r="P9" s="25" t="s">
        <v>537</v>
      </c>
      <c r="R9" s="29" t="s">
        <v>538</v>
      </c>
    </row>
    <row r="10" spans="1:21" ht="21" x14ac:dyDescent="0.25">
      <c r="A10" s="2" t="s">
        <v>539</v>
      </c>
      <c r="B10" s="6"/>
      <c r="C10" s="6"/>
      <c r="D10" s="6" t="s">
        <v>403</v>
      </c>
      <c r="E10" s="6"/>
      <c r="G10" s="6"/>
      <c r="H10" s="6" t="s">
        <v>108</v>
      </c>
      <c r="I10" s="6"/>
      <c r="J10" s="6" t="s">
        <v>438</v>
      </c>
      <c r="K10" s="6"/>
      <c r="L10" s="30" t="s">
        <v>540</v>
      </c>
      <c r="M10" s="26" t="s">
        <v>541</v>
      </c>
      <c r="N10" s="25" t="s">
        <v>542</v>
      </c>
      <c r="O10" s="54" t="s">
        <v>543</v>
      </c>
      <c r="P10" s="25" t="s">
        <v>544</v>
      </c>
      <c r="R10" s="29" t="s">
        <v>545</v>
      </c>
    </row>
    <row r="11" spans="1:21" ht="21" x14ac:dyDescent="0.25">
      <c r="A11" s="2" t="s">
        <v>546</v>
      </c>
      <c r="B11" s="6"/>
      <c r="C11" s="6"/>
      <c r="D11" s="6" t="s">
        <v>547</v>
      </c>
      <c r="E11" s="6"/>
      <c r="G11" s="6"/>
      <c r="H11" s="6"/>
      <c r="I11" s="6"/>
      <c r="J11" s="6"/>
      <c r="K11" s="6"/>
      <c r="L11" s="30" t="s">
        <v>548</v>
      </c>
      <c r="M11" s="26" t="s">
        <v>549</v>
      </c>
      <c r="N11" s="25" t="s">
        <v>550</v>
      </c>
      <c r="O11" s="27" t="s">
        <v>551</v>
      </c>
      <c r="P11" s="25" t="s">
        <v>552</v>
      </c>
      <c r="R11" s="29" t="s">
        <v>553</v>
      </c>
    </row>
    <row r="12" spans="1:21" ht="21" x14ac:dyDescent="0.25">
      <c r="A12" s="2" t="s">
        <v>554</v>
      </c>
      <c r="B12" s="6"/>
      <c r="C12" s="6"/>
      <c r="D12" s="6" t="s">
        <v>177</v>
      </c>
      <c r="E12" s="6"/>
      <c r="G12" s="6"/>
      <c r="H12" s="6"/>
      <c r="I12" s="6"/>
      <c r="J12" s="6"/>
      <c r="K12" s="6"/>
      <c r="L12" s="30" t="s">
        <v>555</v>
      </c>
      <c r="M12" s="55" t="s">
        <v>556</v>
      </c>
      <c r="N12" s="25" t="s">
        <v>557</v>
      </c>
      <c r="O12" s="27" t="s">
        <v>558</v>
      </c>
      <c r="P12" s="25" t="s">
        <v>559</v>
      </c>
      <c r="R12" s="29"/>
    </row>
    <row r="13" spans="1:21" ht="21" x14ac:dyDescent="0.25">
      <c r="A13" s="2" t="s">
        <v>560</v>
      </c>
      <c r="B13" s="6"/>
      <c r="C13" s="6"/>
      <c r="D13" s="6" t="s">
        <v>561</v>
      </c>
      <c r="E13" s="6"/>
      <c r="G13" s="6"/>
      <c r="H13" s="6"/>
      <c r="I13" s="6"/>
      <c r="J13" s="6"/>
      <c r="K13" s="6"/>
      <c r="L13" s="30" t="s">
        <v>562</v>
      </c>
      <c r="M13" s="55" t="s">
        <v>563</v>
      </c>
      <c r="N13" s="25" t="s">
        <v>564</v>
      </c>
      <c r="O13" s="27" t="s">
        <v>565</v>
      </c>
      <c r="P13" s="25" t="s">
        <v>566</v>
      </c>
      <c r="R13" s="29"/>
    </row>
    <row r="14" spans="1:21" ht="21" x14ac:dyDescent="0.25">
      <c r="A14" s="2" t="s">
        <v>567</v>
      </c>
      <c r="B14" s="6"/>
      <c r="C14" s="6"/>
      <c r="D14" s="6" t="s">
        <v>568</v>
      </c>
      <c r="E14" s="6"/>
      <c r="G14" s="6"/>
      <c r="H14" s="6"/>
      <c r="I14" s="6"/>
      <c r="J14" s="6"/>
      <c r="K14" s="6"/>
      <c r="L14" s="30" t="s">
        <v>569</v>
      </c>
      <c r="M14" s="26" t="s">
        <v>570</v>
      </c>
      <c r="N14" s="25" t="s">
        <v>571</v>
      </c>
      <c r="O14" s="27" t="s">
        <v>572</v>
      </c>
      <c r="P14" s="25" t="s">
        <v>573</v>
      </c>
    </row>
    <row r="15" spans="1:21" ht="21" x14ac:dyDescent="0.25">
      <c r="A15" s="2" t="s">
        <v>574</v>
      </c>
      <c r="B15" s="6"/>
      <c r="C15" s="6"/>
      <c r="D15" s="6" t="s">
        <v>575</v>
      </c>
      <c r="E15" s="6"/>
      <c r="F15" s="6"/>
      <c r="G15" s="6"/>
      <c r="H15" s="6"/>
      <c r="I15" s="6"/>
      <c r="J15" s="6"/>
      <c r="K15" s="6"/>
      <c r="L15" s="30" t="s">
        <v>576</v>
      </c>
      <c r="M15" s="21" t="s">
        <v>577</v>
      </c>
      <c r="N15" s="22" t="s">
        <v>578</v>
      </c>
      <c r="O15" s="52" t="s">
        <v>579</v>
      </c>
      <c r="P15" s="40" t="s">
        <v>580</v>
      </c>
    </row>
    <row r="16" spans="1:21" ht="21" x14ac:dyDescent="0.25">
      <c r="A16" s="2" t="s">
        <v>581</v>
      </c>
      <c r="B16" s="6"/>
      <c r="C16" s="6"/>
      <c r="E16" s="6"/>
      <c r="F16" s="6"/>
      <c r="G16" s="6"/>
      <c r="H16" s="6"/>
      <c r="I16" s="6"/>
      <c r="J16" s="6"/>
      <c r="K16" s="6"/>
      <c r="L16" s="30" t="s">
        <v>582</v>
      </c>
      <c r="M16" s="21" t="s">
        <v>583</v>
      </c>
      <c r="N16" s="25" t="s">
        <v>584</v>
      </c>
      <c r="O16" s="27" t="s">
        <v>585</v>
      </c>
      <c r="P16" s="40" t="s">
        <v>586</v>
      </c>
    </row>
    <row r="17" spans="1:16" ht="21" x14ac:dyDescent="0.25">
      <c r="A17" s="2" t="s">
        <v>587</v>
      </c>
      <c r="B17" s="6"/>
      <c r="C17" s="6"/>
      <c r="D17" s="6"/>
      <c r="E17" s="6"/>
      <c r="F17" s="6"/>
      <c r="G17" s="6"/>
      <c r="H17" s="6"/>
      <c r="I17" s="6"/>
      <c r="J17" s="6"/>
      <c r="K17" s="6"/>
      <c r="L17" s="30" t="s">
        <v>588</v>
      </c>
      <c r="M17" s="21" t="s">
        <v>589</v>
      </c>
      <c r="N17" s="25" t="s">
        <v>590</v>
      </c>
      <c r="O17" s="28" t="s">
        <v>591</v>
      </c>
      <c r="P17" s="25" t="s">
        <v>592</v>
      </c>
    </row>
    <row r="18" spans="1:16" ht="21" x14ac:dyDescent="0.25">
      <c r="A18" s="2" t="s">
        <v>593</v>
      </c>
      <c r="B18" s="6"/>
      <c r="C18" s="6"/>
      <c r="D18" s="6"/>
      <c r="E18" s="6"/>
      <c r="F18" s="6"/>
      <c r="G18" s="6"/>
      <c r="H18" s="6"/>
      <c r="I18" s="6"/>
      <c r="J18" s="6"/>
      <c r="K18" s="6"/>
      <c r="L18" s="30" t="s">
        <v>594</v>
      </c>
      <c r="M18" s="21" t="s">
        <v>595</v>
      </c>
      <c r="N18" s="25" t="s">
        <v>596</v>
      </c>
      <c r="O18" s="27" t="s">
        <v>597</v>
      </c>
      <c r="P18" s="40" t="s">
        <v>598</v>
      </c>
    </row>
    <row r="19" spans="1:16" ht="21" x14ac:dyDescent="0.25">
      <c r="A19" s="2" t="s">
        <v>599</v>
      </c>
      <c r="B19" s="6"/>
      <c r="C19" s="6"/>
      <c r="D19" s="6"/>
      <c r="E19" s="6"/>
      <c r="F19" s="6"/>
      <c r="G19" s="6"/>
      <c r="H19" s="6"/>
      <c r="I19" s="6"/>
      <c r="J19" s="6"/>
      <c r="K19" s="6"/>
      <c r="L19" s="30" t="s">
        <v>600</v>
      </c>
      <c r="M19" s="21" t="s">
        <v>601</v>
      </c>
      <c r="N19" s="25" t="s">
        <v>602</v>
      </c>
      <c r="O19" s="27" t="s">
        <v>183</v>
      </c>
      <c r="P19" s="25" t="s">
        <v>603</v>
      </c>
    </row>
    <row r="20" spans="1:16" ht="21" x14ac:dyDescent="0.25">
      <c r="A20" s="2" t="s">
        <v>604</v>
      </c>
      <c r="B20" s="6"/>
      <c r="C20" s="6"/>
      <c r="D20" s="6"/>
      <c r="E20" s="6"/>
      <c r="F20" s="6"/>
      <c r="G20" s="6"/>
      <c r="H20" s="6"/>
      <c r="I20" s="6"/>
      <c r="J20" s="6"/>
      <c r="K20" s="6"/>
      <c r="L20" s="30" t="s">
        <v>605</v>
      </c>
      <c r="M20" s="21" t="s">
        <v>606</v>
      </c>
      <c r="N20" s="25" t="s">
        <v>607</v>
      </c>
      <c r="O20" s="27" t="s">
        <v>608</v>
      </c>
      <c r="P20" s="25" t="s">
        <v>609</v>
      </c>
    </row>
    <row r="21" spans="1:16" ht="21" x14ac:dyDescent="0.25">
      <c r="A21" s="2" t="s">
        <v>610</v>
      </c>
      <c r="B21" s="6"/>
      <c r="C21" s="6"/>
      <c r="D21" s="6"/>
      <c r="E21" s="6"/>
      <c r="F21" s="6"/>
      <c r="G21" s="6"/>
      <c r="H21" s="6"/>
      <c r="I21" s="6"/>
      <c r="J21" s="6"/>
      <c r="K21" s="6"/>
      <c r="L21" s="30" t="s">
        <v>611</v>
      </c>
      <c r="M21" s="26" t="s">
        <v>612</v>
      </c>
      <c r="N21" s="25" t="s">
        <v>613</v>
      </c>
      <c r="O21" s="27" t="s">
        <v>614</v>
      </c>
      <c r="P21" s="25" t="s">
        <v>615</v>
      </c>
    </row>
    <row r="22" spans="1:16" ht="21" x14ac:dyDescent="0.25">
      <c r="A22" s="2" t="s">
        <v>416</v>
      </c>
      <c r="B22" s="6"/>
      <c r="C22" s="6"/>
      <c r="D22" s="6"/>
      <c r="E22" s="6"/>
      <c r="F22" s="6"/>
      <c r="G22" s="6"/>
      <c r="H22" s="6"/>
      <c r="I22" s="6"/>
      <c r="J22" s="6"/>
      <c r="K22" s="6"/>
      <c r="L22" s="31" t="s">
        <v>616</v>
      </c>
      <c r="M22" s="21" t="s">
        <v>617</v>
      </c>
      <c r="N22" s="25" t="s">
        <v>618</v>
      </c>
      <c r="O22" s="27" t="s">
        <v>619</v>
      </c>
      <c r="P22" s="25" t="s">
        <v>620</v>
      </c>
    </row>
    <row r="23" spans="1:16" ht="21" x14ac:dyDescent="0.25">
      <c r="A23" s="2" t="s">
        <v>621</v>
      </c>
      <c r="B23" s="6"/>
      <c r="C23" s="6"/>
      <c r="D23" s="6"/>
      <c r="E23" s="6"/>
      <c r="F23" s="6"/>
      <c r="G23" s="6"/>
      <c r="H23" s="6"/>
      <c r="I23" s="6"/>
      <c r="J23" s="6"/>
      <c r="K23" s="6"/>
      <c r="L23" s="31" t="s">
        <v>622</v>
      </c>
      <c r="M23" s="21" t="s">
        <v>623</v>
      </c>
      <c r="N23" s="25" t="s">
        <v>624</v>
      </c>
      <c r="O23" s="27" t="s">
        <v>625</v>
      </c>
      <c r="P23" s="40" t="s">
        <v>626</v>
      </c>
    </row>
    <row r="24" spans="1:16" ht="21" x14ac:dyDescent="0.25">
      <c r="A24" s="1" t="s">
        <v>627</v>
      </c>
      <c r="B24" s="6"/>
      <c r="C24" s="6"/>
      <c r="D24" s="6"/>
      <c r="E24" s="6"/>
      <c r="F24" s="6"/>
      <c r="G24" s="6"/>
      <c r="H24" s="6"/>
      <c r="I24" s="6"/>
      <c r="J24" s="6"/>
      <c r="K24" s="6"/>
      <c r="L24" s="30" t="s">
        <v>628</v>
      </c>
      <c r="M24" s="21" t="s">
        <v>629</v>
      </c>
      <c r="N24" s="40" t="s">
        <v>630</v>
      </c>
      <c r="O24" t="s">
        <v>631</v>
      </c>
      <c r="P24" s="25" t="s">
        <v>632</v>
      </c>
    </row>
    <row r="25" spans="1:16" ht="21" x14ac:dyDescent="0.25">
      <c r="A25" s="2" t="s">
        <v>633</v>
      </c>
      <c r="B25" s="6"/>
      <c r="C25" s="6"/>
      <c r="D25" s="6"/>
      <c r="E25" s="6"/>
      <c r="F25" s="6"/>
      <c r="G25" s="6"/>
      <c r="H25" s="6"/>
      <c r="I25" s="6"/>
      <c r="J25" s="6"/>
      <c r="K25" s="6"/>
      <c r="L25" s="43" t="s">
        <v>634</v>
      </c>
      <c r="M25" s="45" t="s">
        <v>635</v>
      </c>
      <c r="N25" s="27" t="s">
        <v>636</v>
      </c>
      <c r="O25" s="27" t="s">
        <v>637</v>
      </c>
      <c r="P25" s="25" t="s">
        <v>638</v>
      </c>
    </row>
    <row r="26" spans="1:16" ht="21" x14ac:dyDescent="0.25">
      <c r="A26" s="2" t="s">
        <v>639</v>
      </c>
      <c r="B26" s="6"/>
      <c r="C26" s="6"/>
      <c r="D26" s="6"/>
      <c r="E26" s="6"/>
      <c r="F26" s="6"/>
      <c r="G26" s="6"/>
      <c r="H26" s="6"/>
      <c r="I26" s="6"/>
      <c r="J26" s="6"/>
      <c r="K26" s="6"/>
      <c r="L26" s="65" t="s">
        <v>640</v>
      </c>
      <c r="M26" s="45" t="s">
        <v>641</v>
      </c>
      <c r="N26" s="27" t="s">
        <v>642</v>
      </c>
      <c r="O26" t="s">
        <v>643</v>
      </c>
      <c r="P26" t="s">
        <v>644</v>
      </c>
    </row>
    <row r="27" spans="1:16" ht="21" x14ac:dyDescent="0.25">
      <c r="A27" s="2" t="s">
        <v>645</v>
      </c>
      <c r="B27" s="6"/>
      <c r="C27" s="6"/>
      <c r="D27" s="6"/>
      <c r="E27" s="6"/>
      <c r="F27" s="6"/>
      <c r="G27" s="6"/>
      <c r="H27" s="6"/>
      <c r="I27" s="6"/>
      <c r="J27" s="6"/>
      <c r="K27" s="6"/>
      <c r="L27" s="43" t="s">
        <v>646</v>
      </c>
      <c r="M27" s="25" t="s">
        <v>647</v>
      </c>
      <c r="N27" s="27" t="s">
        <v>648</v>
      </c>
      <c r="O27" s="27" t="s">
        <v>649</v>
      </c>
      <c r="P27" s="25" t="s">
        <v>650</v>
      </c>
    </row>
    <row r="28" spans="1:16" ht="21" x14ac:dyDescent="0.25">
      <c r="A28" s="2" t="s">
        <v>651</v>
      </c>
      <c r="B28" s="6"/>
      <c r="C28" s="6"/>
      <c r="D28" s="6"/>
      <c r="E28" s="6"/>
      <c r="F28" s="6"/>
      <c r="G28" s="6"/>
      <c r="H28" s="6"/>
      <c r="I28" s="6"/>
      <c r="J28" s="6"/>
      <c r="K28" s="6"/>
      <c r="L28" s="43" t="s">
        <v>652</v>
      </c>
      <c r="M28" s="25" t="s">
        <v>653</v>
      </c>
      <c r="N28" s="46" t="s">
        <v>654</v>
      </c>
      <c r="O28" s="27"/>
      <c r="P28" s="25" t="s">
        <v>655</v>
      </c>
    </row>
    <row r="29" spans="1:16" ht="21" x14ac:dyDescent="0.25">
      <c r="A29" s="2" t="s">
        <v>656</v>
      </c>
      <c r="B29" s="6"/>
      <c r="C29" s="6"/>
      <c r="D29" s="6"/>
      <c r="E29" s="6"/>
      <c r="F29" s="6"/>
      <c r="G29" s="6"/>
      <c r="H29" s="6"/>
      <c r="I29" s="6"/>
      <c r="J29" s="6"/>
      <c r="K29" s="6"/>
      <c r="L29" s="43" t="s">
        <v>657</v>
      </c>
      <c r="M29" s="25" t="s">
        <v>658</v>
      </c>
      <c r="N29" s="46" t="s">
        <v>659</v>
      </c>
      <c r="O29" s="27"/>
      <c r="P29" s="25" t="s">
        <v>660</v>
      </c>
    </row>
    <row r="30" spans="1:16" ht="22" thickBot="1" x14ac:dyDescent="0.3">
      <c r="A30" s="2" t="s">
        <v>661</v>
      </c>
      <c r="B30" s="6"/>
      <c r="C30" s="6"/>
      <c r="D30" s="6"/>
      <c r="E30" s="6"/>
      <c r="F30" s="6"/>
      <c r="G30" s="6"/>
      <c r="H30" s="6"/>
      <c r="I30" s="6"/>
      <c r="J30" s="6"/>
      <c r="K30" s="6"/>
      <c r="L30" s="43" t="s">
        <v>662</v>
      </c>
      <c r="M30" s="26" t="s">
        <v>663</v>
      </c>
      <c r="N30" s="44" t="s">
        <v>664</v>
      </c>
      <c r="O30" s="56"/>
      <c r="P30" s="56" t="s">
        <v>665</v>
      </c>
    </row>
    <row r="31" spans="1:16" ht="22" thickBot="1" x14ac:dyDescent="0.3">
      <c r="A31" s="2" t="s">
        <v>666</v>
      </c>
      <c r="B31" s="6"/>
      <c r="C31" s="6"/>
      <c r="D31" s="6"/>
      <c r="E31" s="6"/>
      <c r="F31" s="6"/>
      <c r="G31" s="6"/>
      <c r="H31" s="6"/>
      <c r="I31" s="6"/>
      <c r="J31" s="6"/>
      <c r="K31" s="6"/>
      <c r="L31" s="43" t="s">
        <v>667</v>
      </c>
      <c r="M31" s="21" t="s">
        <v>598</v>
      </c>
      <c r="N31" s="44" t="s">
        <v>598</v>
      </c>
      <c r="O31" s="56"/>
      <c r="P31" s="56"/>
    </row>
    <row r="32" spans="1:16" ht="21" x14ac:dyDescent="0.25">
      <c r="A32" s="2" t="s">
        <v>668</v>
      </c>
      <c r="B32" s="6"/>
      <c r="C32" s="6"/>
      <c r="D32" s="6"/>
      <c r="E32" s="6"/>
      <c r="F32" s="6"/>
      <c r="G32" s="6"/>
      <c r="H32" s="6"/>
      <c r="I32" s="6"/>
      <c r="J32" s="6"/>
      <c r="K32" s="6"/>
      <c r="L32" s="43" t="s">
        <v>669</v>
      </c>
      <c r="M32" s="21" t="s">
        <v>670</v>
      </c>
      <c r="N32" s="44" t="s">
        <v>671</v>
      </c>
    </row>
    <row r="33" spans="1:14" ht="21" x14ac:dyDescent="0.25">
      <c r="A33" s="2" t="s">
        <v>672</v>
      </c>
      <c r="B33" s="6"/>
      <c r="C33" s="6"/>
      <c r="D33" s="6"/>
      <c r="E33" s="6"/>
      <c r="F33" s="6"/>
      <c r="G33" s="6"/>
      <c r="H33" s="6"/>
      <c r="I33" s="6"/>
      <c r="J33" s="6"/>
      <c r="K33" s="6"/>
      <c r="L33" s="43"/>
      <c r="M33" s="23" t="s">
        <v>673</v>
      </c>
      <c r="N33" s="44" t="s">
        <v>674</v>
      </c>
    </row>
    <row r="34" spans="1:14" ht="21" x14ac:dyDescent="0.25">
      <c r="A34" s="2" t="s">
        <v>675</v>
      </c>
      <c r="B34" s="6"/>
      <c r="C34" s="6"/>
      <c r="D34" s="6"/>
      <c r="E34" s="6"/>
      <c r="F34" s="6"/>
      <c r="G34" s="6"/>
      <c r="H34" s="6"/>
      <c r="I34" s="6"/>
      <c r="J34" s="6"/>
      <c r="K34" s="6"/>
      <c r="L34" s="43"/>
      <c r="M34" s="29" t="s">
        <v>676</v>
      </c>
      <c r="N34" s="47" t="s">
        <v>677</v>
      </c>
    </row>
    <row r="35" spans="1:14" ht="21" x14ac:dyDescent="0.25">
      <c r="A35" s="2" t="s">
        <v>678</v>
      </c>
      <c r="B35" s="6"/>
      <c r="C35" s="6"/>
      <c r="D35" s="6"/>
      <c r="E35" s="6"/>
      <c r="F35" s="6"/>
      <c r="G35" s="6"/>
      <c r="H35" s="6"/>
      <c r="I35" s="6"/>
      <c r="J35" s="6"/>
      <c r="K35" s="6"/>
      <c r="L35" s="43"/>
      <c r="M35" s="29" t="s">
        <v>679</v>
      </c>
      <c r="N35" s="47" t="s">
        <v>680</v>
      </c>
    </row>
    <row r="36" spans="1:14" ht="21" x14ac:dyDescent="0.25">
      <c r="A36" s="2" t="s">
        <v>681</v>
      </c>
      <c r="B36" s="6"/>
      <c r="C36" s="6"/>
      <c r="D36" s="6"/>
      <c r="E36" s="6"/>
      <c r="F36" s="6"/>
      <c r="G36" s="6"/>
      <c r="H36" s="6"/>
      <c r="I36" s="6"/>
      <c r="J36" s="6"/>
      <c r="K36" s="6"/>
      <c r="L36" s="43"/>
      <c r="M36" s="29" t="s">
        <v>682</v>
      </c>
      <c r="N36" s="47" t="s">
        <v>683</v>
      </c>
    </row>
    <row r="37" spans="1:14" ht="21" x14ac:dyDescent="0.25">
      <c r="A37" s="2" t="s">
        <v>684</v>
      </c>
      <c r="B37" s="6"/>
      <c r="C37" s="6"/>
      <c r="D37" s="6"/>
      <c r="E37" s="6"/>
      <c r="F37" s="6"/>
      <c r="G37" s="6"/>
      <c r="H37" s="6"/>
      <c r="I37" s="6"/>
      <c r="J37" s="6"/>
      <c r="K37" s="6"/>
      <c r="L37" s="43"/>
      <c r="M37" s="29" t="s">
        <v>685</v>
      </c>
      <c r="N37" s="64" t="s">
        <v>686</v>
      </c>
    </row>
    <row r="38" spans="1:14" ht="21" x14ac:dyDescent="0.25">
      <c r="A38" s="2" t="s">
        <v>687</v>
      </c>
      <c r="B38" s="6"/>
      <c r="C38" s="6"/>
      <c r="D38" s="6"/>
      <c r="E38" s="6"/>
      <c r="F38" s="6"/>
      <c r="G38" s="6"/>
      <c r="H38" s="6"/>
      <c r="I38" s="6"/>
      <c r="J38" s="6"/>
      <c r="K38" s="6"/>
      <c r="L38" s="43"/>
      <c r="M38" s="29" t="s">
        <v>688</v>
      </c>
      <c r="N38" s="64" t="s">
        <v>689</v>
      </c>
    </row>
    <row r="39" spans="1:14" ht="21" x14ac:dyDescent="0.25">
      <c r="A39" s="2" t="s">
        <v>690</v>
      </c>
      <c r="B39" s="6"/>
      <c r="C39" s="6"/>
      <c r="D39" s="6"/>
      <c r="E39" s="6"/>
      <c r="F39" s="6"/>
      <c r="G39" s="6"/>
      <c r="H39" s="6"/>
      <c r="I39" s="6"/>
      <c r="J39" s="6"/>
      <c r="K39" s="6"/>
      <c r="L39" s="43"/>
      <c r="M39" s="29"/>
      <c r="N39" s="64" t="s">
        <v>254</v>
      </c>
    </row>
    <row r="40" spans="1:14" ht="21" x14ac:dyDescent="0.25">
      <c r="A40" s="2" t="s">
        <v>691</v>
      </c>
      <c r="B40" s="6"/>
      <c r="C40" s="6"/>
      <c r="D40" s="6"/>
      <c r="E40" s="6"/>
      <c r="F40" s="6"/>
      <c r="G40" s="6"/>
      <c r="H40" s="6"/>
      <c r="I40" s="6"/>
      <c r="J40" s="6"/>
      <c r="K40" s="6"/>
      <c r="L40" s="30"/>
      <c r="N40" s="64" t="s">
        <v>692</v>
      </c>
    </row>
    <row r="41" spans="1:14" ht="21" x14ac:dyDescent="0.25">
      <c r="A41" s="2" t="s">
        <v>693</v>
      </c>
      <c r="B41" s="6"/>
      <c r="C41" s="6"/>
      <c r="D41" s="6"/>
      <c r="E41" s="6"/>
      <c r="F41" s="6"/>
      <c r="G41" s="6"/>
      <c r="H41" s="6"/>
      <c r="I41" s="6"/>
      <c r="J41" s="6"/>
      <c r="K41" s="6"/>
      <c r="L41" s="30"/>
    </row>
    <row r="42" spans="1:14" ht="21" x14ac:dyDescent="0.25">
      <c r="A42" s="2" t="s">
        <v>694</v>
      </c>
      <c r="B42" s="6"/>
      <c r="C42" s="6"/>
      <c r="D42" s="6"/>
      <c r="E42" s="6"/>
      <c r="F42" s="6"/>
      <c r="G42" s="6"/>
      <c r="H42" s="6"/>
      <c r="I42" s="6"/>
      <c r="J42" s="6"/>
      <c r="K42" s="6"/>
      <c r="L42" s="30"/>
    </row>
    <row r="43" spans="1:14" ht="21" x14ac:dyDescent="0.25">
      <c r="A43" s="2" t="s">
        <v>695</v>
      </c>
      <c r="B43" s="6"/>
      <c r="C43" s="6"/>
      <c r="D43" s="6"/>
      <c r="E43" s="6"/>
      <c r="F43" s="6"/>
      <c r="G43" s="6"/>
      <c r="H43" s="6"/>
      <c r="I43" s="6"/>
      <c r="J43" s="6"/>
      <c r="K43" s="6"/>
      <c r="L43" s="30"/>
    </row>
    <row r="44" spans="1:14" ht="21" x14ac:dyDescent="0.25">
      <c r="A44" s="2" t="s">
        <v>696</v>
      </c>
      <c r="B44" s="6"/>
      <c r="C44" s="6"/>
      <c r="D44" s="6"/>
      <c r="E44" s="6"/>
      <c r="F44" s="6"/>
      <c r="G44" s="6"/>
      <c r="H44" s="6"/>
      <c r="I44" s="6"/>
      <c r="J44" s="6"/>
      <c r="K44" s="6"/>
      <c r="L44" s="30"/>
    </row>
    <row r="45" spans="1:14" ht="21" x14ac:dyDescent="0.25">
      <c r="A45" s="2" t="s">
        <v>697</v>
      </c>
      <c r="B45" s="6"/>
      <c r="C45" s="6"/>
      <c r="D45" s="6"/>
      <c r="E45" s="6"/>
      <c r="F45" s="6"/>
      <c r="G45" s="6"/>
      <c r="H45" s="6"/>
      <c r="I45" s="6"/>
      <c r="J45" s="6"/>
      <c r="K45" s="6"/>
      <c r="L45" s="30"/>
    </row>
    <row r="46" spans="1:14" ht="21" x14ac:dyDescent="0.25">
      <c r="A46" s="2" t="s">
        <v>698</v>
      </c>
      <c r="B46" s="6"/>
      <c r="C46" s="6"/>
      <c r="D46" s="6"/>
      <c r="E46" s="6"/>
      <c r="F46" s="6"/>
      <c r="G46" s="6"/>
      <c r="H46" s="6"/>
      <c r="I46" s="6"/>
      <c r="J46" s="6"/>
      <c r="K46" s="6"/>
      <c r="L46" s="30"/>
    </row>
    <row r="47" spans="1:14" ht="21" x14ac:dyDescent="0.25">
      <c r="A47" s="1" t="s">
        <v>699</v>
      </c>
      <c r="B47" s="6"/>
      <c r="C47" s="6"/>
      <c r="D47" s="6"/>
      <c r="E47" s="6"/>
      <c r="F47" s="6"/>
      <c r="G47" s="6"/>
      <c r="H47" s="6"/>
      <c r="I47" s="6"/>
      <c r="J47" s="6"/>
      <c r="K47" s="6"/>
      <c r="L47" s="30"/>
    </row>
    <row r="48" spans="1:14" ht="21" x14ac:dyDescent="0.25">
      <c r="A48" s="1" t="s">
        <v>700</v>
      </c>
      <c r="B48" s="6"/>
      <c r="C48" s="6"/>
      <c r="D48" s="6"/>
      <c r="E48" s="6"/>
      <c r="F48" s="6"/>
      <c r="G48" s="6"/>
      <c r="H48" s="6"/>
      <c r="I48" s="6"/>
      <c r="J48" s="6"/>
      <c r="K48" s="6"/>
      <c r="L48" s="30"/>
    </row>
    <row r="49" spans="1:12" ht="21" x14ac:dyDescent="0.25">
      <c r="A49" s="1" t="s">
        <v>701</v>
      </c>
    </row>
    <row r="50" spans="1:12" ht="21" x14ac:dyDescent="0.25">
      <c r="A50" s="2" t="s">
        <v>702</v>
      </c>
    </row>
    <row r="51" spans="1:12" ht="21" x14ac:dyDescent="0.25">
      <c r="A51" s="2" t="s">
        <v>703</v>
      </c>
      <c r="L51" s="30"/>
    </row>
    <row r="52" spans="1:12" ht="21" x14ac:dyDescent="0.25">
      <c r="A52" s="2" t="s">
        <v>704</v>
      </c>
      <c r="L52" s="30"/>
    </row>
    <row r="53" spans="1:12" ht="21" x14ac:dyDescent="0.25">
      <c r="A53" s="1" t="s">
        <v>705</v>
      </c>
      <c r="L53" s="30"/>
    </row>
    <row r="54" spans="1:12" ht="21" x14ac:dyDescent="0.25">
      <c r="A54" s="1" t="s">
        <v>706</v>
      </c>
      <c r="L54" s="30"/>
    </row>
    <row r="55" spans="1:12" ht="21" x14ac:dyDescent="0.25">
      <c r="A55" s="1" t="s">
        <v>707</v>
      </c>
      <c r="L55" s="30"/>
    </row>
    <row r="56" spans="1:12" ht="21" x14ac:dyDescent="0.25">
      <c r="A56" s="1" t="s">
        <v>708</v>
      </c>
    </row>
    <row r="57" spans="1:12" ht="21" x14ac:dyDescent="0.25">
      <c r="A57" s="2" t="s">
        <v>709</v>
      </c>
      <c r="L57" s="30"/>
    </row>
    <row r="58" spans="1:12" ht="21" x14ac:dyDescent="0.25">
      <c r="A58" s="3" t="s">
        <v>710</v>
      </c>
      <c r="L58" s="30"/>
    </row>
    <row r="59" spans="1:12" ht="21" x14ac:dyDescent="0.25">
      <c r="A59" s="3" t="s">
        <v>711</v>
      </c>
      <c r="L59" s="30"/>
    </row>
    <row r="60" spans="1:12" ht="21" x14ac:dyDescent="0.25">
      <c r="A60" s="3" t="s">
        <v>712</v>
      </c>
      <c r="L60" s="30"/>
    </row>
    <row r="61" spans="1:12" ht="21" x14ac:dyDescent="0.25">
      <c r="A61" s="3" t="s">
        <v>713</v>
      </c>
      <c r="L61" s="30"/>
    </row>
    <row r="62" spans="1:12" ht="21" x14ac:dyDescent="0.25">
      <c r="A62" s="1" t="s">
        <v>305</v>
      </c>
      <c r="L62" s="30"/>
    </row>
    <row r="63" spans="1:12" ht="21" x14ac:dyDescent="0.25">
      <c r="A63" s="2" t="s">
        <v>714</v>
      </c>
      <c r="L63" s="30"/>
    </row>
    <row r="64" spans="1:12" ht="21" x14ac:dyDescent="0.25">
      <c r="A64" s="2" t="s">
        <v>715</v>
      </c>
      <c r="L64" s="30"/>
    </row>
    <row r="65" spans="1:12" ht="21" x14ac:dyDescent="0.25">
      <c r="A65" s="2" t="s">
        <v>716</v>
      </c>
      <c r="L65" s="30"/>
    </row>
    <row r="66" spans="1:12" ht="21" x14ac:dyDescent="0.25">
      <c r="A66" s="2" t="s">
        <v>717</v>
      </c>
      <c r="L66" s="30"/>
    </row>
    <row r="67" spans="1:12" ht="21" x14ac:dyDescent="0.25">
      <c r="A67" s="2" t="s">
        <v>404</v>
      </c>
      <c r="L67" s="30"/>
    </row>
    <row r="68" spans="1:12" ht="21" x14ac:dyDescent="0.25">
      <c r="A68" s="2" t="s">
        <v>718</v>
      </c>
      <c r="L68" s="30"/>
    </row>
    <row r="69" spans="1:12" ht="21" x14ac:dyDescent="0.25">
      <c r="A69" s="2" t="s">
        <v>719</v>
      </c>
      <c r="L69" s="30"/>
    </row>
    <row r="70" spans="1:12" ht="21" x14ac:dyDescent="0.25">
      <c r="A70" s="2" t="s">
        <v>720</v>
      </c>
      <c r="L70" s="30"/>
    </row>
    <row r="71" spans="1:12" ht="21" x14ac:dyDescent="0.25">
      <c r="A71" s="2" t="s">
        <v>721</v>
      </c>
      <c r="L71" s="30"/>
    </row>
    <row r="72" spans="1:12" ht="21" x14ac:dyDescent="0.25">
      <c r="A72" s="2" t="s">
        <v>127</v>
      </c>
    </row>
    <row r="73" spans="1:12" ht="21" x14ac:dyDescent="0.25">
      <c r="A73" s="2" t="s">
        <v>722</v>
      </c>
      <c r="L73" s="30"/>
    </row>
    <row r="74" spans="1:12" ht="21" x14ac:dyDescent="0.25">
      <c r="A74" s="2" t="s">
        <v>723</v>
      </c>
      <c r="L74" s="30"/>
    </row>
    <row r="75" spans="1:12" ht="21" x14ac:dyDescent="0.25">
      <c r="A75" s="2" t="s">
        <v>724</v>
      </c>
      <c r="L75" s="30"/>
    </row>
    <row r="76" spans="1:12" ht="21" x14ac:dyDescent="0.25">
      <c r="A76" s="2" t="s">
        <v>725</v>
      </c>
      <c r="L76" s="30"/>
    </row>
    <row r="77" spans="1:12" ht="21" x14ac:dyDescent="0.25">
      <c r="A77" s="2" t="s">
        <v>726</v>
      </c>
      <c r="L77" s="30"/>
    </row>
    <row r="78" spans="1:12" ht="21" x14ac:dyDescent="0.25">
      <c r="A78" s="2" t="s">
        <v>727</v>
      </c>
      <c r="L78" s="30"/>
    </row>
    <row r="79" spans="1:12" ht="21" x14ac:dyDescent="0.25">
      <c r="A79" s="2" t="s">
        <v>728</v>
      </c>
      <c r="L79" s="30"/>
    </row>
    <row r="80" spans="1:12" ht="21" x14ac:dyDescent="0.25">
      <c r="A80" s="2" t="s">
        <v>729</v>
      </c>
      <c r="L80" s="30"/>
    </row>
    <row r="81" spans="1:12" ht="21" x14ac:dyDescent="0.25">
      <c r="A81" s="2" t="s">
        <v>730</v>
      </c>
      <c r="L81" s="30"/>
    </row>
    <row r="82" spans="1:12" ht="21" x14ac:dyDescent="0.25">
      <c r="A82" s="2" t="s">
        <v>731</v>
      </c>
      <c r="L82" s="30"/>
    </row>
    <row r="83" spans="1:12" ht="21" x14ac:dyDescent="0.25">
      <c r="A83" s="2" t="s">
        <v>732</v>
      </c>
      <c r="L83" s="30"/>
    </row>
    <row r="84" spans="1:12" ht="21" x14ac:dyDescent="0.25">
      <c r="A84" s="2" t="s">
        <v>289</v>
      </c>
      <c r="L84" s="30"/>
    </row>
    <row r="85" spans="1:12" ht="21" x14ac:dyDescent="0.25">
      <c r="A85" s="2" t="s">
        <v>733</v>
      </c>
      <c r="L85" s="30"/>
    </row>
    <row r="86" spans="1:12" ht="21" x14ac:dyDescent="0.25">
      <c r="A86" s="2" t="s">
        <v>734</v>
      </c>
      <c r="L86" s="30"/>
    </row>
    <row r="87" spans="1:12" ht="21" x14ac:dyDescent="0.25">
      <c r="A87" s="2" t="s">
        <v>735</v>
      </c>
      <c r="L87" s="30"/>
    </row>
    <row r="88" spans="1:12" ht="21" x14ac:dyDescent="0.25">
      <c r="A88" s="2" t="s">
        <v>736</v>
      </c>
      <c r="L88" s="30"/>
    </row>
    <row r="89" spans="1:12" ht="21" x14ac:dyDescent="0.25">
      <c r="A89" s="2" t="s">
        <v>737</v>
      </c>
      <c r="L89" s="30"/>
    </row>
    <row r="90" spans="1:12" ht="21" x14ac:dyDescent="0.25">
      <c r="A90" s="4" t="s">
        <v>738</v>
      </c>
      <c r="L90" s="30"/>
    </row>
    <row r="91" spans="1:12" ht="21" x14ac:dyDescent="0.25">
      <c r="A91" s="5" t="s">
        <v>91</v>
      </c>
      <c r="L91" s="30"/>
    </row>
    <row r="92" spans="1:12" x14ac:dyDescent="0.2">
      <c r="L92" s="30"/>
    </row>
    <row r="93" spans="1:12" x14ac:dyDescent="0.2">
      <c r="L93" s="30"/>
    </row>
    <row r="94" spans="1:12" x14ac:dyDescent="0.2">
      <c r="L94" s="30"/>
    </row>
    <row r="95" spans="1:12" x14ac:dyDescent="0.2">
      <c r="L95" s="30"/>
    </row>
    <row r="96" spans="1:12" x14ac:dyDescent="0.2">
      <c r="L96" s="30"/>
    </row>
    <row r="97" spans="12:12" x14ac:dyDescent="0.2">
      <c r="L97" s="30"/>
    </row>
  </sheetData>
  <mergeCells count="2">
    <mergeCell ref="M2:N2"/>
    <mergeCell ref="O2:P2"/>
  </mergeCells>
  <dataValidations count="1">
    <dataValidation type="list" allowBlank="1" showInputMessage="1" showErrorMessage="1" sqref="Q4" xr:uid="{00000000-0002-0000-0300-000000000000}">
      <formula1>$A$4:$A$91</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C20"/>
  <sheetViews>
    <sheetView workbookViewId="0">
      <selection activeCell="A14" sqref="A14"/>
    </sheetView>
  </sheetViews>
  <sheetFormatPr baseColWidth="10" defaultColWidth="11.5" defaultRowHeight="15" x14ac:dyDescent="0.2"/>
  <cols>
    <col min="1" max="1" width="18" customWidth="1"/>
    <col min="2" max="2" width="22.5" customWidth="1"/>
    <col min="3" max="3" width="5.5" customWidth="1"/>
    <col min="4" max="5" width="12.5" customWidth="1"/>
    <col min="6" max="6" width="14.5" bestFit="1" customWidth="1"/>
    <col min="7" max="7" width="17" bestFit="1" customWidth="1"/>
    <col min="8" max="9" width="11.1640625" customWidth="1"/>
    <col min="10" max="10" width="36.1640625" bestFit="1" customWidth="1"/>
    <col min="11" max="11" width="10.6640625" customWidth="1"/>
    <col min="12" max="12" width="15.1640625" bestFit="1" customWidth="1"/>
    <col min="13" max="13" width="22.5" bestFit="1" customWidth="1"/>
    <col min="14" max="14" width="14.5" bestFit="1" customWidth="1"/>
    <col min="15" max="15" width="24.83203125" bestFit="1" customWidth="1"/>
    <col min="16" max="16" width="14.33203125" bestFit="1" customWidth="1"/>
    <col min="17" max="17" width="14.5" bestFit="1" customWidth="1"/>
    <col min="18" max="18" width="17" bestFit="1" customWidth="1"/>
    <col min="19" max="19" width="12.83203125" bestFit="1" customWidth="1"/>
    <col min="20" max="20" width="13.83203125" bestFit="1" customWidth="1"/>
    <col min="21" max="21" width="10" customWidth="1"/>
    <col min="22" max="22" width="36.1640625" bestFit="1" customWidth="1"/>
    <col min="23" max="23" width="11.6640625" bestFit="1" customWidth="1"/>
    <col min="24" max="24" width="10.6640625" customWidth="1"/>
    <col min="25" max="25" width="15.1640625" bestFit="1" customWidth="1"/>
    <col min="26" max="26" width="22.5" bestFit="1" customWidth="1"/>
    <col min="27" max="27" width="23.5" bestFit="1" customWidth="1"/>
    <col min="28" max="28" width="14.5" bestFit="1" customWidth="1"/>
    <col min="29" max="29" width="24.83203125" bestFit="1" customWidth="1"/>
    <col min="30" max="30" width="14.33203125" bestFit="1" customWidth="1"/>
    <col min="31" max="31" width="14.5" bestFit="1" customWidth="1"/>
    <col min="32" max="32" width="17" bestFit="1" customWidth="1"/>
    <col min="33" max="33" width="16.6640625" bestFit="1" customWidth="1"/>
    <col min="34" max="34" width="12.83203125" bestFit="1" customWidth="1"/>
    <col min="35" max="35" width="11.1640625" customWidth="1"/>
    <col min="36" max="36" width="19" bestFit="1" customWidth="1"/>
    <col min="37" max="37" width="23.5" bestFit="1" customWidth="1"/>
    <col min="38" max="38" width="13.83203125" bestFit="1" customWidth="1"/>
    <col min="39" max="39" width="10.33203125" customWidth="1"/>
    <col min="40" max="40" width="12.5" bestFit="1" customWidth="1"/>
  </cols>
  <sheetData>
    <row r="3" spans="1:3" x14ac:dyDescent="0.2">
      <c r="A3" s="88"/>
      <c r="B3" s="89"/>
      <c r="C3" s="90"/>
    </row>
    <row r="4" spans="1:3" x14ac:dyDescent="0.2">
      <c r="A4" s="91"/>
      <c r="B4" s="92"/>
      <c r="C4" s="93"/>
    </row>
    <row r="5" spans="1:3" x14ac:dyDescent="0.2">
      <c r="A5" s="91"/>
      <c r="B5" s="92"/>
      <c r="C5" s="93"/>
    </row>
    <row r="6" spans="1:3" x14ac:dyDescent="0.2">
      <c r="A6" s="91"/>
      <c r="B6" s="92"/>
      <c r="C6" s="93"/>
    </row>
    <row r="7" spans="1:3" x14ac:dyDescent="0.2">
      <c r="A7" s="91"/>
      <c r="B7" s="92"/>
      <c r="C7" s="93"/>
    </row>
    <row r="8" spans="1:3" x14ac:dyDescent="0.2">
      <c r="A8" s="91"/>
      <c r="B8" s="92"/>
      <c r="C8" s="93"/>
    </row>
    <row r="9" spans="1:3" x14ac:dyDescent="0.2">
      <c r="A9" s="91"/>
      <c r="B9" s="92"/>
      <c r="C9" s="93"/>
    </row>
    <row r="10" spans="1:3" x14ac:dyDescent="0.2">
      <c r="A10" s="91"/>
      <c r="B10" s="92"/>
      <c r="C10" s="93"/>
    </row>
    <row r="11" spans="1:3" x14ac:dyDescent="0.2">
      <c r="A11" s="91"/>
      <c r="B11" s="92"/>
      <c r="C11" s="93"/>
    </row>
    <row r="12" spans="1:3" x14ac:dyDescent="0.2">
      <c r="A12" s="91"/>
      <c r="B12" s="92"/>
      <c r="C12" s="93"/>
    </row>
    <row r="13" spans="1:3" x14ac:dyDescent="0.2">
      <c r="A13" s="91"/>
      <c r="B13" s="92"/>
      <c r="C13" s="93"/>
    </row>
    <row r="14" spans="1:3" x14ac:dyDescent="0.2">
      <c r="A14" s="91"/>
      <c r="B14" s="92"/>
      <c r="C14" s="93"/>
    </row>
    <row r="15" spans="1:3" x14ac:dyDescent="0.2">
      <c r="A15" s="91"/>
      <c r="B15" s="92"/>
      <c r="C15" s="93"/>
    </row>
    <row r="16" spans="1:3" x14ac:dyDescent="0.2">
      <c r="A16" s="91"/>
      <c r="B16" s="92"/>
      <c r="C16" s="93"/>
    </row>
    <row r="17" spans="1:3" x14ac:dyDescent="0.2">
      <c r="A17" s="91"/>
      <c r="B17" s="92"/>
      <c r="C17" s="93"/>
    </row>
    <row r="18" spans="1:3" x14ac:dyDescent="0.2">
      <c r="A18" s="91"/>
      <c r="B18" s="92"/>
      <c r="C18" s="93"/>
    </row>
    <row r="19" spans="1:3" x14ac:dyDescent="0.2">
      <c r="A19" s="91"/>
      <c r="B19" s="92"/>
      <c r="C19" s="93"/>
    </row>
    <row r="20" spans="1:3" x14ac:dyDescent="0.2">
      <c r="A20" s="94"/>
      <c r="B20" s="95"/>
      <c r="C20" s="9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T70"/>
  <sheetViews>
    <sheetView zoomScale="80" zoomScaleNormal="80" workbookViewId="0">
      <selection activeCell="C9" sqref="C9"/>
    </sheetView>
  </sheetViews>
  <sheetFormatPr baseColWidth="10" defaultColWidth="10.83203125" defaultRowHeight="15" x14ac:dyDescent="0.2"/>
  <cols>
    <col min="1" max="1" width="5.1640625" customWidth="1"/>
    <col min="2" max="2" width="10.33203125" customWidth="1"/>
    <col min="3" max="3" width="18.1640625" customWidth="1"/>
    <col min="4" max="4" width="32" customWidth="1"/>
    <col min="5" max="5" width="52" customWidth="1"/>
    <col min="6" max="6" width="13.6640625" customWidth="1"/>
    <col min="7" max="7" width="8.5" customWidth="1"/>
    <col min="8" max="8" width="32" customWidth="1"/>
    <col min="9" max="9" width="24.6640625" customWidth="1"/>
    <col min="10" max="10" width="22.1640625" customWidth="1"/>
    <col min="11" max="11" width="31.1640625" customWidth="1"/>
    <col min="12" max="12" width="22.1640625" customWidth="1"/>
    <col min="13" max="13" width="42.83203125" customWidth="1"/>
    <col min="14" max="15" width="52" customWidth="1"/>
    <col min="16" max="16" width="29.83203125" customWidth="1"/>
    <col min="17" max="17" width="40.33203125" customWidth="1"/>
    <col min="18" max="18" width="48.1640625" customWidth="1"/>
    <col min="19" max="19" width="42.83203125" customWidth="1"/>
    <col min="20" max="20" width="23.5" customWidth="1"/>
  </cols>
  <sheetData>
    <row r="1" spans="1:20" x14ac:dyDescent="0.2">
      <c r="C1" s="514" t="s">
        <v>739</v>
      </c>
      <c r="D1" s="515"/>
      <c r="E1" s="515"/>
      <c r="F1" s="515"/>
      <c r="G1" s="515"/>
      <c r="H1" s="515"/>
      <c r="I1" s="515"/>
      <c r="J1" s="515"/>
      <c r="K1" s="515"/>
      <c r="L1" s="515"/>
      <c r="M1" s="515"/>
      <c r="N1" s="515"/>
      <c r="O1" s="515"/>
      <c r="P1" s="515"/>
      <c r="Q1" s="515"/>
      <c r="R1" s="515"/>
      <c r="S1" s="515"/>
      <c r="T1" s="515"/>
    </row>
    <row r="2" spans="1:20" x14ac:dyDescent="0.2">
      <c r="A2" t="s">
        <v>48</v>
      </c>
      <c r="C2" s="74" t="s">
        <v>740</v>
      </c>
      <c r="D2" s="74" t="s">
        <v>741</v>
      </c>
      <c r="E2" s="74" t="s">
        <v>742</v>
      </c>
      <c r="F2" s="74" t="s">
        <v>743</v>
      </c>
      <c r="G2" s="74" t="s">
        <v>744</v>
      </c>
      <c r="H2" s="74" t="s">
        <v>745</v>
      </c>
      <c r="I2" s="74" t="s">
        <v>746</v>
      </c>
      <c r="J2" s="74" t="s">
        <v>747</v>
      </c>
      <c r="K2" s="74" t="s">
        <v>748</v>
      </c>
      <c r="L2" s="74" t="s">
        <v>749</v>
      </c>
      <c r="M2" s="74" t="s">
        <v>750</v>
      </c>
      <c r="N2" s="74" t="s">
        <v>751</v>
      </c>
      <c r="O2" s="74" t="s">
        <v>752</v>
      </c>
      <c r="P2" s="74" t="s">
        <v>753</v>
      </c>
      <c r="Q2" s="74" t="s">
        <v>754</v>
      </c>
      <c r="R2" s="74" t="s">
        <v>755</v>
      </c>
      <c r="S2" s="74" t="s">
        <v>741</v>
      </c>
      <c r="T2" s="74" t="s">
        <v>756</v>
      </c>
    </row>
    <row r="3" spans="1:20" ht="14.5" customHeight="1" x14ac:dyDescent="0.2">
      <c r="A3" s="39">
        <v>1</v>
      </c>
      <c r="B3" t="s">
        <v>757</v>
      </c>
      <c r="C3" t="s">
        <v>758</v>
      </c>
      <c r="D3" t="s">
        <v>759</v>
      </c>
      <c r="E3" t="s">
        <v>760</v>
      </c>
      <c r="F3" t="s">
        <v>761</v>
      </c>
      <c r="G3" t="s">
        <v>762</v>
      </c>
      <c r="H3" t="s">
        <v>763</v>
      </c>
      <c r="I3" t="s">
        <v>764</v>
      </c>
      <c r="J3" t="s">
        <v>763</v>
      </c>
      <c r="K3" t="s">
        <v>765</v>
      </c>
      <c r="L3" t="s">
        <v>765</v>
      </c>
      <c r="M3" t="s">
        <v>765</v>
      </c>
      <c r="N3" t="s">
        <v>766</v>
      </c>
      <c r="O3" t="s">
        <v>767</v>
      </c>
      <c r="P3" t="s">
        <v>767</v>
      </c>
      <c r="Q3" t="s">
        <v>765</v>
      </c>
      <c r="R3" t="s">
        <v>758</v>
      </c>
      <c r="S3" t="s">
        <v>768</v>
      </c>
      <c r="T3" s="75" t="s">
        <v>769</v>
      </c>
    </row>
    <row r="4" spans="1:20" ht="14.5" customHeight="1" x14ac:dyDescent="0.2">
      <c r="A4" s="39">
        <v>2</v>
      </c>
      <c r="B4" t="s">
        <v>757</v>
      </c>
      <c r="C4" t="s">
        <v>770</v>
      </c>
      <c r="D4" t="s">
        <v>771</v>
      </c>
      <c r="E4" t="s">
        <v>772</v>
      </c>
      <c r="F4" t="s">
        <v>761</v>
      </c>
      <c r="G4" t="s">
        <v>773</v>
      </c>
      <c r="H4" t="s">
        <v>774</v>
      </c>
      <c r="I4" t="s">
        <v>775</v>
      </c>
      <c r="J4" t="s">
        <v>774</v>
      </c>
      <c r="K4" t="s">
        <v>765</v>
      </c>
      <c r="L4" t="s">
        <v>765</v>
      </c>
      <c r="M4" t="s">
        <v>765</v>
      </c>
      <c r="N4" t="s">
        <v>766</v>
      </c>
      <c r="O4" t="s">
        <v>767</v>
      </c>
      <c r="P4" t="s">
        <v>767</v>
      </c>
      <c r="Q4" t="s">
        <v>765</v>
      </c>
      <c r="R4" t="s">
        <v>770</v>
      </c>
      <c r="S4" t="s">
        <v>768</v>
      </c>
      <c r="T4" s="75" t="s">
        <v>768</v>
      </c>
    </row>
    <row r="5" spans="1:20" ht="14.5" customHeight="1" x14ac:dyDescent="0.2">
      <c r="A5" s="39">
        <v>3</v>
      </c>
      <c r="B5" t="s">
        <v>757</v>
      </c>
      <c r="C5" t="s">
        <v>770</v>
      </c>
      <c r="D5" t="s">
        <v>776</v>
      </c>
      <c r="E5" t="s">
        <v>777</v>
      </c>
      <c r="F5" t="s">
        <v>761</v>
      </c>
      <c r="G5" t="s">
        <v>778</v>
      </c>
      <c r="H5" t="s">
        <v>779</v>
      </c>
      <c r="I5" t="s">
        <v>780</v>
      </c>
      <c r="J5" t="s">
        <v>779</v>
      </c>
      <c r="K5" t="s">
        <v>765</v>
      </c>
      <c r="L5" t="s">
        <v>765</v>
      </c>
      <c r="M5" t="s">
        <v>765</v>
      </c>
      <c r="N5" t="s">
        <v>766</v>
      </c>
      <c r="O5" t="s">
        <v>767</v>
      </c>
      <c r="P5" t="s">
        <v>767</v>
      </c>
      <c r="Q5" t="s">
        <v>765</v>
      </c>
      <c r="R5" t="s">
        <v>770</v>
      </c>
      <c r="S5" t="s">
        <v>768</v>
      </c>
      <c r="T5" s="75" t="s">
        <v>768</v>
      </c>
    </row>
    <row r="6" spans="1:20" ht="14.5" customHeight="1" x14ac:dyDescent="0.2">
      <c r="A6" s="39">
        <v>4</v>
      </c>
      <c r="B6" t="s">
        <v>757</v>
      </c>
      <c r="C6" t="s">
        <v>770</v>
      </c>
      <c r="D6" t="s">
        <v>781</v>
      </c>
      <c r="E6" t="s">
        <v>772</v>
      </c>
      <c r="F6" t="s">
        <v>761</v>
      </c>
      <c r="G6" t="s">
        <v>778</v>
      </c>
      <c r="H6" t="s">
        <v>779</v>
      </c>
      <c r="I6" t="s">
        <v>782</v>
      </c>
      <c r="J6" t="s">
        <v>779</v>
      </c>
      <c r="K6" t="s">
        <v>765</v>
      </c>
      <c r="L6" t="s">
        <v>765</v>
      </c>
      <c r="M6" t="s">
        <v>765</v>
      </c>
      <c r="N6" t="s">
        <v>766</v>
      </c>
      <c r="O6" t="s">
        <v>767</v>
      </c>
      <c r="P6" t="s">
        <v>767</v>
      </c>
      <c r="Q6" t="s">
        <v>765</v>
      </c>
      <c r="R6" t="s">
        <v>770</v>
      </c>
      <c r="S6" t="s">
        <v>768</v>
      </c>
      <c r="T6" s="75" t="s">
        <v>768</v>
      </c>
    </row>
    <row r="7" spans="1:20" ht="14.5" customHeight="1" x14ac:dyDescent="0.2">
      <c r="A7" s="39">
        <v>5</v>
      </c>
      <c r="B7" t="s">
        <v>757</v>
      </c>
      <c r="C7" t="s">
        <v>770</v>
      </c>
      <c r="D7" t="s">
        <v>783</v>
      </c>
      <c r="E7" t="s">
        <v>772</v>
      </c>
      <c r="F7" t="s">
        <v>761</v>
      </c>
      <c r="G7" t="s">
        <v>773</v>
      </c>
      <c r="H7" t="s">
        <v>784</v>
      </c>
      <c r="I7" t="s">
        <v>785</v>
      </c>
      <c r="J7" t="s">
        <v>784</v>
      </c>
      <c r="K7" t="s">
        <v>765</v>
      </c>
      <c r="L7" t="s">
        <v>765</v>
      </c>
      <c r="M7" t="s">
        <v>765</v>
      </c>
      <c r="N7" t="s">
        <v>766</v>
      </c>
      <c r="O7" t="s">
        <v>767</v>
      </c>
      <c r="P7" t="s">
        <v>767</v>
      </c>
      <c r="Q7" t="s">
        <v>765</v>
      </c>
      <c r="R7" t="s">
        <v>770</v>
      </c>
      <c r="S7" t="s">
        <v>768</v>
      </c>
      <c r="T7" s="75" t="s">
        <v>768</v>
      </c>
    </row>
    <row r="8" spans="1:20" ht="14.5" customHeight="1" x14ac:dyDescent="0.2">
      <c r="A8" s="39">
        <v>6</v>
      </c>
      <c r="B8" t="s">
        <v>757</v>
      </c>
      <c r="C8" t="s">
        <v>770</v>
      </c>
      <c r="D8" t="s">
        <v>786</v>
      </c>
      <c r="E8" t="s">
        <v>772</v>
      </c>
      <c r="F8" t="s">
        <v>761</v>
      </c>
      <c r="G8" t="s">
        <v>773</v>
      </c>
      <c r="H8" t="s">
        <v>784</v>
      </c>
      <c r="I8" t="s">
        <v>787</v>
      </c>
      <c r="J8" t="s">
        <v>784</v>
      </c>
      <c r="K8" t="s">
        <v>765</v>
      </c>
      <c r="L8" t="s">
        <v>765</v>
      </c>
      <c r="M8" t="s">
        <v>765</v>
      </c>
      <c r="N8" t="s">
        <v>766</v>
      </c>
      <c r="O8" t="s">
        <v>767</v>
      </c>
      <c r="P8" t="s">
        <v>767</v>
      </c>
      <c r="Q8" t="s">
        <v>765</v>
      </c>
      <c r="R8" t="s">
        <v>770</v>
      </c>
      <c r="S8" t="s">
        <v>768</v>
      </c>
      <c r="T8" s="75" t="s">
        <v>768</v>
      </c>
    </row>
    <row r="9" spans="1:20" ht="14.5" customHeight="1" x14ac:dyDescent="0.2">
      <c r="A9" s="39">
        <v>7</v>
      </c>
      <c r="B9" t="s">
        <v>757</v>
      </c>
      <c r="C9" t="s">
        <v>770</v>
      </c>
      <c r="D9" t="s">
        <v>788</v>
      </c>
      <c r="E9" t="s">
        <v>777</v>
      </c>
      <c r="F9" t="s">
        <v>761</v>
      </c>
      <c r="G9" t="s">
        <v>789</v>
      </c>
      <c r="H9" t="s">
        <v>784</v>
      </c>
      <c r="I9" t="s">
        <v>790</v>
      </c>
      <c r="J9" t="s">
        <v>784</v>
      </c>
      <c r="K9" t="s">
        <v>765</v>
      </c>
      <c r="L9" t="s">
        <v>765</v>
      </c>
      <c r="M9" t="s">
        <v>765</v>
      </c>
      <c r="N9" t="s">
        <v>766</v>
      </c>
      <c r="O9" t="s">
        <v>767</v>
      </c>
      <c r="P9" t="s">
        <v>767</v>
      </c>
      <c r="Q9" t="s">
        <v>765</v>
      </c>
      <c r="R9" t="s">
        <v>770</v>
      </c>
      <c r="S9" t="s">
        <v>768</v>
      </c>
      <c r="T9" s="75" t="s">
        <v>768</v>
      </c>
    </row>
    <row r="10" spans="1:20" ht="14.5" customHeight="1" x14ac:dyDescent="0.2">
      <c r="A10" s="39">
        <v>8</v>
      </c>
      <c r="B10" t="s">
        <v>757</v>
      </c>
      <c r="C10" t="s">
        <v>791</v>
      </c>
      <c r="D10" t="s">
        <v>792</v>
      </c>
      <c r="E10" t="s">
        <v>772</v>
      </c>
      <c r="F10" t="s">
        <v>761</v>
      </c>
      <c r="G10" t="s">
        <v>773</v>
      </c>
      <c r="H10" t="s">
        <v>774</v>
      </c>
      <c r="I10" t="s">
        <v>793</v>
      </c>
      <c r="J10" t="s">
        <v>774</v>
      </c>
      <c r="K10" t="s">
        <v>765</v>
      </c>
      <c r="L10" t="s">
        <v>765</v>
      </c>
      <c r="M10" t="s">
        <v>765</v>
      </c>
      <c r="N10" t="s">
        <v>766</v>
      </c>
      <c r="O10" t="s">
        <v>767</v>
      </c>
      <c r="P10" t="s">
        <v>767</v>
      </c>
      <c r="Q10" t="s">
        <v>765</v>
      </c>
      <c r="R10" t="s">
        <v>791</v>
      </c>
      <c r="S10" t="s">
        <v>768</v>
      </c>
      <c r="T10" s="75" t="s">
        <v>768</v>
      </c>
    </row>
    <row r="11" spans="1:20" ht="14.5" customHeight="1" x14ac:dyDescent="0.2">
      <c r="A11" s="39">
        <v>9</v>
      </c>
      <c r="B11" t="s">
        <v>757</v>
      </c>
      <c r="C11" t="s">
        <v>770</v>
      </c>
      <c r="D11" t="s">
        <v>794</v>
      </c>
      <c r="E11" t="s">
        <v>777</v>
      </c>
      <c r="F11" t="s">
        <v>761</v>
      </c>
      <c r="G11" t="s">
        <v>795</v>
      </c>
      <c r="H11" t="s">
        <v>779</v>
      </c>
      <c r="I11" t="s">
        <v>796</v>
      </c>
      <c r="J11" t="s">
        <v>797</v>
      </c>
      <c r="K11" t="s">
        <v>765</v>
      </c>
      <c r="L11" t="s">
        <v>765</v>
      </c>
      <c r="M11" t="s">
        <v>765</v>
      </c>
      <c r="N11" t="s">
        <v>766</v>
      </c>
      <c r="O11" t="s">
        <v>767</v>
      </c>
      <c r="P11" t="s">
        <v>798</v>
      </c>
      <c r="Q11" t="s">
        <v>765</v>
      </c>
      <c r="R11" t="s">
        <v>770</v>
      </c>
      <c r="S11" t="s">
        <v>768</v>
      </c>
      <c r="T11" s="75" t="s">
        <v>769</v>
      </c>
    </row>
    <row r="12" spans="1:20" ht="14.5" customHeight="1" x14ac:dyDescent="0.2">
      <c r="A12" s="39">
        <v>10</v>
      </c>
      <c r="B12" t="s">
        <v>757</v>
      </c>
      <c r="C12" t="s">
        <v>799</v>
      </c>
      <c r="D12" t="s">
        <v>800</v>
      </c>
      <c r="E12" t="s">
        <v>777</v>
      </c>
      <c r="F12" t="s">
        <v>761</v>
      </c>
      <c r="G12" t="s">
        <v>795</v>
      </c>
      <c r="H12" t="s">
        <v>779</v>
      </c>
      <c r="I12" t="s">
        <v>801</v>
      </c>
      <c r="J12" t="s">
        <v>779</v>
      </c>
      <c r="K12" t="s">
        <v>802</v>
      </c>
      <c r="L12" t="s">
        <v>779</v>
      </c>
      <c r="M12" t="s">
        <v>765</v>
      </c>
      <c r="N12" t="s">
        <v>803</v>
      </c>
      <c r="O12" t="s">
        <v>767</v>
      </c>
      <c r="P12" t="s">
        <v>767</v>
      </c>
      <c r="Q12" t="s">
        <v>767</v>
      </c>
      <c r="R12" t="s">
        <v>799</v>
      </c>
      <c r="S12" t="s">
        <v>768</v>
      </c>
      <c r="T12" s="75" t="s">
        <v>768</v>
      </c>
    </row>
    <row r="13" spans="1:20" ht="14.5" customHeight="1" x14ac:dyDescent="0.2">
      <c r="A13" s="39">
        <v>11</v>
      </c>
      <c r="B13" t="s">
        <v>757</v>
      </c>
      <c r="C13" t="s">
        <v>791</v>
      </c>
      <c r="D13" t="s">
        <v>804</v>
      </c>
      <c r="E13" t="s">
        <v>760</v>
      </c>
      <c r="F13" t="s">
        <v>761</v>
      </c>
      <c r="G13" t="s">
        <v>805</v>
      </c>
      <c r="H13" t="s">
        <v>763</v>
      </c>
      <c r="I13" t="s">
        <v>806</v>
      </c>
      <c r="J13" t="s">
        <v>763</v>
      </c>
      <c r="K13" t="s">
        <v>807</v>
      </c>
      <c r="L13" t="s">
        <v>763</v>
      </c>
      <c r="M13" t="s">
        <v>765</v>
      </c>
      <c r="N13" t="s">
        <v>803</v>
      </c>
      <c r="O13" t="s">
        <v>767</v>
      </c>
      <c r="P13" t="s">
        <v>767</v>
      </c>
      <c r="Q13" t="s">
        <v>767</v>
      </c>
      <c r="R13" t="s">
        <v>791</v>
      </c>
      <c r="S13" t="s">
        <v>768</v>
      </c>
      <c r="T13" s="75" t="s">
        <v>768</v>
      </c>
    </row>
    <row r="14" spans="1:20" ht="14.5" customHeight="1" x14ac:dyDescent="0.2">
      <c r="A14" s="39">
        <v>12</v>
      </c>
      <c r="B14" t="s">
        <v>757</v>
      </c>
      <c r="C14" t="s">
        <v>808</v>
      </c>
      <c r="D14" t="s">
        <v>809</v>
      </c>
      <c r="E14" t="s">
        <v>777</v>
      </c>
      <c r="F14" t="s">
        <v>761</v>
      </c>
      <c r="G14" t="s">
        <v>778</v>
      </c>
      <c r="H14" t="s">
        <v>810</v>
      </c>
      <c r="I14" t="s">
        <v>811</v>
      </c>
      <c r="J14" t="s">
        <v>810</v>
      </c>
      <c r="K14" t="s">
        <v>812</v>
      </c>
      <c r="L14" t="s">
        <v>810</v>
      </c>
      <c r="M14" t="s">
        <v>765</v>
      </c>
      <c r="N14" t="s">
        <v>803</v>
      </c>
      <c r="O14" t="s">
        <v>767</v>
      </c>
      <c r="P14" t="s">
        <v>767</v>
      </c>
      <c r="Q14" t="s">
        <v>767</v>
      </c>
      <c r="R14" t="s">
        <v>808</v>
      </c>
      <c r="S14" t="s">
        <v>768</v>
      </c>
      <c r="T14" s="75" t="s">
        <v>769</v>
      </c>
    </row>
    <row r="15" spans="1:20" ht="14.5" customHeight="1" x14ac:dyDescent="0.2">
      <c r="A15" s="39">
        <v>13</v>
      </c>
      <c r="B15" t="s">
        <v>757</v>
      </c>
      <c r="C15" t="s">
        <v>770</v>
      </c>
      <c r="D15" t="s">
        <v>813</v>
      </c>
      <c r="E15" t="s">
        <v>760</v>
      </c>
      <c r="F15" t="s">
        <v>761</v>
      </c>
      <c r="G15" t="s">
        <v>773</v>
      </c>
      <c r="H15" t="s">
        <v>784</v>
      </c>
      <c r="I15" t="s">
        <v>814</v>
      </c>
      <c r="J15" t="s">
        <v>784</v>
      </c>
      <c r="K15" t="s">
        <v>765</v>
      </c>
      <c r="L15" t="s">
        <v>765</v>
      </c>
      <c r="M15" t="s">
        <v>765</v>
      </c>
      <c r="N15" t="s">
        <v>766</v>
      </c>
      <c r="O15" t="s">
        <v>767</v>
      </c>
      <c r="P15" t="s">
        <v>767</v>
      </c>
      <c r="Q15" t="s">
        <v>765</v>
      </c>
      <c r="R15" t="s">
        <v>770</v>
      </c>
      <c r="S15" t="s">
        <v>768</v>
      </c>
      <c r="T15" s="75" t="s">
        <v>768</v>
      </c>
    </row>
    <row r="16" spans="1:20" ht="14.5" customHeight="1" x14ac:dyDescent="0.2">
      <c r="A16" s="39">
        <v>14</v>
      </c>
      <c r="B16" t="s">
        <v>757</v>
      </c>
      <c r="C16" t="s">
        <v>770</v>
      </c>
      <c r="D16" t="s">
        <v>815</v>
      </c>
      <c r="E16" t="s">
        <v>777</v>
      </c>
      <c r="F16" t="s">
        <v>761</v>
      </c>
      <c r="G16" t="s">
        <v>816</v>
      </c>
      <c r="H16" t="s">
        <v>774</v>
      </c>
      <c r="I16" t="s">
        <v>817</v>
      </c>
      <c r="J16" t="s">
        <v>774</v>
      </c>
      <c r="K16" t="s">
        <v>765</v>
      </c>
      <c r="L16" t="s">
        <v>765</v>
      </c>
      <c r="M16" t="s">
        <v>765</v>
      </c>
      <c r="N16" t="s">
        <v>766</v>
      </c>
      <c r="O16" t="s">
        <v>767</v>
      </c>
      <c r="P16" t="s">
        <v>767</v>
      </c>
      <c r="Q16" t="s">
        <v>765</v>
      </c>
      <c r="R16" t="s">
        <v>770</v>
      </c>
      <c r="S16" t="s">
        <v>768</v>
      </c>
      <c r="T16" s="75" t="s">
        <v>768</v>
      </c>
    </row>
    <row r="17" spans="1:20" ht="14.5" customHeight="1" x14ac:dyDescent="0.2">
      <c r="A17" s="39">
        <v>15</v>
      </c>
      <c r="B17" t="s">
        <v>757</v>
      </c>
      <c r="C17" t="s">
        <v>791</v>
      </c>
      <c r="D17" t="s">
        <v>818</v>
      </c>
      <c r="E17" t="s">
        <v>777</v>
      </c>
      <c r="F17" t="s">
        <v>761</v>
      </c>
      <c r="G17" t="s">
        <v>819</v>
      </c>
      <c r="H17" t="s">
        <v>784</v>
      </c>
      <c r="I17" t="s">
        <v>820</v>
      </c>
      <c r="J17" t="s">
        <v>784</v>
      </c>
      <c r="K17" t="s">
        <v>765</v>
      </c>
      <c r="L17" t="s">
        <v>765</v>
      </c>
      <c r="M17" t="s">
        <v>765</v>
      </c>
      <c r="N17" t="s">
        <v>766</v>
      </c>
      <c r="O17" t="s">
        <v>767</v>
      </c>
      <c r="P17" t="s">
        <v>767</v>
      </c>
      <c r="Q17" t="s">
        <v>765</v>
      </c>
      <c r="R17" t="s">
        <v>791</v>
      </c>
      <c r="S17" t="s">
        <v>768</v>
      </c>
      <c r="T17" s="75" t="s">
        <v>768</v>
      </c>
    </row>
    <row r="18" spans="1:20" ht="14.5" customHeight="1" x14ac:dyDescent="0.2">
      <c r="A18" s="39">
        <v>16</v>
      </c>
      <c r="B18" t="s">
        <v>757</v>
      </c>
      <c r="C18" t="s">
        <v>791</v>
      </c>
      <c r="D18" t="s">
        <v>821</v>
      </c>
      <c r="E18" t="s">
        <v>760</v>
      </c>
      <c r="F18" t="s">
        <v>761</v>
      </c>
      <c r="G18" t="s">
        <v>822</v>
      </c>
      <c r="H18" t="s">
        <v>823</v>
      </c>
      <c r="I18" t="s">
        <v>824</v>
      </c>
      <c r="J18" t="s">
        <v>823</v>
      </c>
      <c r="K18" t="s">
        <v>765</v>
      </c>
      <c r="L18" t="s">
        <v>765</v>
      </c>
      <c r="M18" t="s">
        <v>765</v>
      </c>
      <c r="N18" t="s">
        <v>766</v>
      </c>
      <c r="O18" t="s">
        <v>767</v>
      </c>
      <c r="P18" t="s">
        <v>767</v>
      </c>
      <c r="Q18" t="s">
        <v>765</v>
      </c>
      <c r="R18" t="s">
        <v>791</v>
      </c>
      <c r="S18" t="s">
        <v>768</v>
      </c>
      <c r="T18" s="75" t="s">
        <v>768</v>
      </c>
    </row>
    <row r="19" spans="1:20" ht="14.5" customHeight="1" x14ac:dyDescent="0.2">
      <c r="A19" s="39">
        <v>17</v>
      </c>
      <c r="B19" t="s">
        <v>757</v>
      </c>
      <c r="C19" t="s">
        <v>825</v>
      </c>
      <c r="D19" t="s">
        <v>826</v>
      </c>
      <c r="E19" t="s">
        <v>760</v>
      </c>
      <c r="F19" t="s">
        <v>761</v>
      </c>
      <c r="G19" t="s">
        <v>795</v>
      </c>
      <c r="H19" t="s">
        <v>779</v>
      </c>
      <c r="I19" t="s">
        <v>827</v>
      </c>
      <c r="J19" t="s">
        <v>779</v>
      </c>
      <c r="K19" t="s">
        <v>765</v>
      </c>
      <c r="L19" t="s">
        <v>765</v>
      </c>
      <c r="M19" t="s">
        <v>765</v>
      </c>
      <c r="N19" t="s">
        <v>766</v>
      </c>
      <c r="O19" t="s">
        <v>767</v>
      </c>
      <c r="P19" t="s">
        <v>767</v>
      </c>
      <c r="Q19" t="s">
        <v>765</v>
      </c>
      <c r="R19" t="s">
        <v>825</v>
      </c>
      <c r="S19" t="s">
        <v>768</v>
      </c>
      <c r="T19" s="75" t="s">
        <v>768</v>
      </c>
    </row>
    <row r="20" spans="1:20" ht="14.5" customHeight="1" x14ac:dyDescent="0.2">
      <c r="A20" s="39">
        <v>18</v>
      </c>
      <c r="B20" t="s">
        <v>757</v>
      </c>
      <c r="C20" t="s">
        <v>828</v>
      </c>
      <c r="D20" t="s">
        <v>829</v>
      </c>
      <c r="E20" t="s">
        <v>760</v>
      </c>
      <c r="F20" t="s">
        <v>761</v>
      </c>
      <c r="G20" t="s">
        <v>795</v>
      </c>
      <c r="H20" t="s">
        <v>779</v>
      </c>
      <c r="I20" t="s">
        <v>830</v>
      </c>
      <c r="J20" t="s">
        <v>779</v>
      </c>
      <c r="K20" t="s">
        <v>765</v>
      </c>
      <c r="L20" t="s">
        <v>765</v>
      </c>
      <c r="M20" t="s">
        <v>765</v>
      </c>
      <c r="N20" t="s">
        <v>766</v>
      </c>
      <c r="O20" t="s">
        <v>767</v>
      </c>
      <c r="P20" t="s">
        <v>767</v>
      </c>
      <c r="Q20" t="s">
        <v>765</v>
      </c>
      <c r="R20" t="s">
        <v>828</v>
      </c>
      <c r="S20" t="s">
        <v>769</v>
      </c>
      <c r="T20" s="75" t="s">
        <v>768</v>
      </c>
    </row>
    <row r="21" spans="1:20" ht="14.5" customHeight="1" x14ac:dyDescent="0.2">
      <c r="A21" s="39">
        <v>19</v>
      </c>
      <c r="B21" t="s">
        <v>757</v>
      </c>
      <c r="C21" t="s">
        <v>828</v>
      </c>
      <c r="D21" t="s">
        <v>831</v>
      </c>
      <c r="E21" t="s">
        <v>772</v>
      </c>
      <c r="F21" t="s">
        <v>761</v>
      </c>
      <c r="G21" t="s">
        <v>832</v>
      </c>
      <c r="H21" t="s">
        <v>784</v>
      </c>
      <c r="I21" t="s">
        <v>833</v>
      </c>
      <c r="J21" t="s">
        <v>784</v>
      </c>
      <c r="K21" t="s">
        <v>765</v>
      </c>
      <c r="L21" t="s">
        <v>765</v>
      </c>
      <c r="M21" t="s">
        <v>765</v>
      </c>
      <c r="N21" t="s">
        <v>766</v>
      </c>
      <c r="O21" t="s">
        <v>767</v>
      </c>
      <c r="P21" t="s">
        <v>767</v>
      </c>
      <c r="Q21" t="s">
        <v>765</v>
      </c>
      <c r="R21" t="s">
        <v>828</v>
      </c>
      <c r="S21" t="s">
        <v>768</v>
      </c>
      <c r="T21" s="75" t="s">
        <v>768</v>
      </c>
    </row>
    <row r="22" spans="1:20" ht="14.5" customHeight="1" x14ac:dyDescent="0.2">
      <c r="A22" s="39">
        <v>20</v>
      </c>
      <c r="B22" t="s">
        <v>757</v>
      </c>
      <c r="C22" t="s">
        <v>770</v>
      </c>
      <c r="D22" t="s">
        <v>834</v>
      </c>
      <c r="E22" t="s">
        <v>777</v>
      </c>
      <c r="F22" t="s">
        <v>761</v>
      </c>
      <c r="G22" t="s">
        <v>835</v>
      </c>
      <c r="H22" t="s">
        <v>836</v>
      </c>
      <c r="I22" t="s">
        <v>837</v>
      </c>
      <c r="J22" t="s">
        <v>838</v>
      </c>
      <c r="K22" t="s">
        <v>765</v>
      </c>
      <c r="L22" t="s">
        <v>765</v>
      </c>
      <c r="M22" t="s">
        <v>765</v>
      </c>
      <c r="N22" t="s">
        <v>766</v>
      </c>
      <c r="O22" t="s">
        <v>767</v>
      </c>
      <c r="P22" t="s">
        <v>767</v>
      </c>
      <c r="Q22" t="s">
        <v>765</v>
      </c>
      <c r="R22" t="s">
        <v>770</v>
      </c>
      <c r="S22" t="s">
        <v>768</v>
      </c>
      <c r="T22" s="75" t="s">
        <v>768</v>
      </c>
    </row>
    <row r="23" spans="1:20" ht="14.5" customHeight="1" x14ac:dyDescent="0.2">
      <c r="A23" s="39">
        <v>21</v>
      </c>
      <c r="B23" t="s">
        <v>757</v>
      </c>
      <c r="C23" t="s">
        <v>791</v>
      </c>
      <c r="D23" t="s">
        <v>839</v>
      </c>
      <c r="E23" t="s">
        <v>777</v>
      </c>
      <c r="F23" t="s">
        <v>761</v>
      </c>
      <c r="G23" t="s">
        <v>840</v>
      </c>
      <c r="H23" t="s">
        <v>774</v>
      </c>
      <c r="I23" t="s">
        <v>841</v>
      </c>
      <c r="J23" t="s">
        <v>774</v>
      </c>
      <c r="K23" t="s">
        <v>765</v>
      </c>
      <c r="L23" t="s">
        <v>765</v>
      </c>
      <c r="M23" t="s">
        <v>765</v>
      </c>
      <c r="N23" t="s">
        <v>766</v>
      </c>
      <c r="O23" t="s">
        <v>767</v>
      </c>
      <c r="P23" t="s">
        <v>767</v>
      </c>
      <c r="Q23" t="s">
        <v>765</v>
      </c>
      <c r="R23" t="s">
        <v>791</v>
      </c>
      <c r="S23" t="s">
        <v>768</v>
      </c>
      <c r="T23" s="75" t="s">
        <v>768</v>
      </c>
    </row>
    <row r="24" spans="1:20" ht="14.5" customHeight="1" x14ac:dyDescent="0.2">
      <c r="A24" s="39">
        <v>22</v>
      </c>
      <c r="B24" t="s">
        <v>757</v>
      </c>
      <c r="C24" t="s">
        <v>808</v>
      </c>
      <c r="D24" t="s">
        <v>842</v>
      </c>
      <c r="E24" t="s">
        <v>760</v>
      </c>
      <c r="F24" t="s">
        <v>761</v>
      </c>
      <c r="G24" t="s">
        <v>805</v>
      </c>
      <c r="H24" t="s">
        <v>784</v>
      </c>
      <c r="I24" t="s">
        <v>843</v>
      </c>
      <c r="J24" t="s">
        <v>844</v>
      </c>
      <c r="K24" t="s">
        <v>845</v>
      </c>
      <c r="L24" t="s">
        <v>844</v>
      </c>
      <c r="M24" t="s">
        <v>765</v>
      </c>
      <c r="N24" t="s">
        <v>803</v>
      </c>
      <c r="O24" t="s">
        <v>767</v>
      </c>
      <c r="P24" t="s">
        <v>798</v>
      </c>
      <c r="Q24" t="s">
        <v>798</v>
      </c>
      <c r="R24" t="s">
        <v>808</v>
      </c>
      <c r="S24" t="s">
        <v>768</v>
      </c>
      <c r="T24" s="75" t="s">
        <v>768</v>
      </c>
    </row>
    <row r="25" spans="1:20" ht="14.5" customHeight="1" x14ac:dyDescent="0.2">
      <c r="A25" s="39">
        <v>23</v>
      </c>
      <c r="B25" t="s">
        <v>757</v>
      </c>
      <c r="C25" t="s">
        <v>825</v>
      </c>
      <c r="D25" t="s">
        <v>846</v>
      </c>
      <c r="E25" t="s">
        <v>772</v>
      </c>
      <c r="F25" t="s">
        <v>761</v>
      </c>
      <c r="G25" t="s">
        <v>795</v>
      </c>
      <c r="H25" t="s">
        <v>784</v>
      </c>
      <c r="I25" t="s">
        <v>847</v>
      </c>
      <c r="J25" t="s">
        <v>784</v>
      </c>
      <c r="K25" t="s">
        <v>765</v>
      </c>
      <c r="L25" t="s">
        <v>765</v>
      </c>
      <c r="M25" t="s">
        <v>765</v>
      </c>
      <c r="N25" t="s">
        <v>766</v>
      </c>
      <c r="O25" t="s">
        <v>767</v>
      </c>
      <c r="P25" t="s">
        <v>767</v>
      </c>
      <c r="Q25" t="s">
        <v>765</v>
      </c>
      <c r="R25" t="s">
        <v>825</v>
      </c>
      <c r="S25" t="s">
        <v>768</v>
      </c>
      <c r="T25" s="75" t="s">
        <v>768</v>
      </c>
    </row>
    <row r="26" spans="1:20" ht="14.5" customHeight="1" x14ac:dyDescent="0.2">
      <c r="A26" s="39">
        <v>24</v>
      </c>
      <c r="B26" t="s">
        <v>757</v>
      </c>
      <c r="C26" t="s">
        <v>848</v>
      </c>
      <c r="D26" t="s">
        <v>849</v>
      </c>
      <c r="E26" t="s">
        <v>772</v>
      </c>
      <c r="F26" t="s">
        <v>761</v>
      </c>
      <c r="G26" t="s">
        <v>789</v>
      </c>
      <c r="H26" t="s">
        <v>774</v>
      </c>
      <c r="I26" t="s">
        <v>850</v>
      </c>
      <c r="J26" t="s">
        <v>774</v>
      </c>
      <c r="K26" t="s">
        <v>765</v>
      </c>
      <c r="L26" t="s">
        <v>765</v>
      </c>
      <c r="M26" t="s">
        <v>765</v>
      </c>
      <c r="N26" t="s">
        <v>766</v>
      </c>
      <c r="O26" t="s">
        <v>767</v>
      </c>
      <c r="P26" t="s">
        <v>767</v>
      </c>
      <c r="Q26" t="s">
        <v>765</v>
      </c>
      <c r="R26" t="s">
        <v>848</v>
      </c>
      <c r="S26" t="s">
        <v>768</v>
      </c>
      <c r="T26" s="75" t="s">
        <v>768</v>
      </c>
    </row>
    <row r="27" spans="1:20" ht="14.5" customHeight="1" x14ac:dyDescent="0.2">
      <c r="A27" s="39">
        <v>25</v>
      </c>
      <c r="B27" t="s">
        <v>757</v>
      </c>
      <c r="C27" t="s">
        <v>851</v>
      </c>
      <c r="D27" t="s">
        <v>852</v>
      </c>
      <c r="E27" t="s">
        <v>777</v>
      </c>
      <c r="F27" t="s">
        <v>761</v>
      </c>
      <c r="G27" t="s">
        <v>822</v>
      </c>
      <c r="H27" t="s">
        <v>823</v>
      </c>
      <c r="I27" t="s">
        <v>853</v>
      </c>
      <c r="J27" t="s">
        <v>836</v>
      </c>
      <c r="K27" t="s">
        <v>765</v>
      </c>
      <c r="L27" t="s">
        <v>765</v>
      </c>
      <c r="M27" t="s">
        <v>765</v>
      </c>
      <c r="N27" t="s">
        <v>766</v>
      </c>
      <c r="O27" t="s">
        <v>767</v>
      </c>
      <c r="P27" t="s">
        <v>767</v>
      </c>
      <c r="Q27" t="s">
        <v>765</v>
      </c>
      <c r="R27" t="s">
        <v>851</v>
      </c>
      <c r="S27" t="s">
        <v>768</v>
      </c>
      <c r="T27" s="75" t="s">
        <v>768</v>
      </c>
    </row>
    <row r="28" spans="1:20" x14ac:dyDescent="0.2">
      <c r="A28" s="39">
        <v>26</v>
      </c>
      <c r="B28" t="s">
        <v>757</v>
      </c>
      <c r="C28" t="s">
        <v>828</v>
      </c>
      <c r="D28" t="s">
        <v>854</v>
      </c>
      <c r="E28" t="s">
        <v>760</v>
      </c>
      <c r="F28" t="s">
        <v>761</v>
      </c>
      <c r="G28" t="s">
        <v>840</v>
      </c>
      <c r="H28" t="s">
        <v>784</v>
      </c>
      <c r="I28" t="s">
        <v>855</v>
      </c>
      <c r="J28" t="s">
        <v>784</v>
      </c>
      <c r="K28" t="s">
        <v>765</v>
      </c>
      <c r="L28" t="s">
        <v>765</v>
      </c>
      <c r="M28" t="s">
        <v>765</v>
      </c>
      <c r="N28" t="s">
        <v>766</v>
      </c>
      <c r="O28" t="s">
        <v>767</v>
      </c>
      <c r="P28" t="s">
        <v>767</v>
      </c>
      <c r="Q28" t="s">
        <v>765</v>
      </c>
      <c r="R28" t="s">
        <v>828</v>
      </c>
      <c r="S28" t="s">
        <v>769</v>
      </c>
      <c r="T28" t="s">
        <v>768</v>
      </c>
    </row>
    <row r="29" spans="1:20" x14ac:dyDescent="0.2">
      <c r="A29" s="39">
        <v>27</v>
      </c>
      <c r="B29" t="s">
        <v>757</v>
      </c>
      <c r="C29" t="s">
        <v>791</v>
      </c>
      <c r="D29" t="s">
        <v>856</v>
      </c>
      <c r="E29" t="s">
        <v>760</v>
      </c>
      <c r="F29" t="s">
        <v>761</v>
      </c>
      <c r="G29" t="s">
        <v>857</v>
      </c>
      <c r="H29" t="s">
        <v>823</v>
      </c>
      <c r="I29" t="s">
        <v>858</v>
      </c>
      <c r="J29" t="s">
        <v>859</v>
      </c>
      <c r="K29" t="s">
        <v>765</v>
      </c>
      <c r="L29" t="s">
        <v>765</v>
      </c>
      <c r="M29" t="s">
        <v>765</v>
      </c>
      <c r="N29" t="s">
        <v>766</v>
      </c>
      <c r="O29" t="s">
        <v>767</v>
      </c>
      <c r="P29" t="s">
        <v>798</v>
      </c>
      <c r="Q29" t="s">
        <v>765</v>
      </c>
      <c r="R29" t="s">
        <v>791</v>
      </c>
      <c r="S29" t="s">
        <v>768</v>
      </c>
      <c r="T29" t="s">
        <v>768</v>
      </c>
    </row>
    <row r="30" spans="1:20" x14ac:dyDescent="0.2">
      <c r="A30" s="39">
        <v>28</v>
      </c>
      <c r="B30" t="s">
        <v>757</v>
      </c>
      <c r="C30" t="s">
        <v>791</v>
      </c>
      <c r="D30" t="s">
        <v>860</v>
      </c>
      <c r="E30" t="s">
        <v>777</v>
      </c>
      <c r="F30" t="s">
        <v>761</v>
      </c>
      <c r="G30" t="s">
        <v>861</v>
      </c>
      <c r="H30" t="s">
        <v>823</v>
      </c>
      <c r="I30" t="s">
        <v>862</v>
      </c>
      <c r="J30" t="s">
        <v>863</v>
      </c>
      <c r="K30" t="s">
        <v>765</v>
      </c>
      <c r="L30" t="s">
        <v>765</v>
      </c>
      <c r="M30" t="s">
        <v>765</v>
      </c>
      <c r="N30" t="s">
        <v>766</v>
      </c>
      <c r="O30" t="s">
        <v>767</v>
      </c>
      <c r="P30" t="s">
        <v>767</v>
      </c>
      <c r="Q30" t="s">
        <v>765</v>
      </c>
      <c r="R30" t="s">
        <v>791</v>
      </c>
      <c r="S30" t="s">
        <v>768</v>
      </c>
      <c r="T30" t="s">
        <v>768</v>
      </c>
    </row>
    <row r="31" spans="1:20" x14ac:dyDescent="0.2">
      <c r="A31" s="39">
        <v>29</v>
      </c>
      <c r="B31" t="s">
        <v>757</v>
      </c>
      <c r="C31" t="s">
        <v>791</v>
      </c>
      <c r="D31" t="s">
        <v>864</v>
      </c>
      <c r="E31" t="s">
        <v>760</v>
      </c>
      <c r="F31" t="s">
        <v>761</v>
      </c>
      <c r="G31" t="s">
        <v>822</v>
      </c>
      <c r="H31" t="s">
        <v>784</v>
      </c>
      <c r="I31" t="s">
        <v>865</v>
      </c>
      <c r="J31" t="s">
        <v>784</v>
      </c>
      <c r="K31" t="s">
        <v>765</v>
      </c>
      <c r="L31" t="s">
        <v>765</v>
      </c>
      <c r="M31" t="s">
        <v>765</v>
      </c>
      <c r="N31" t="s">
        <v>766</v>
      </c>
      <c r="O31" t="s">
        <v>767</v>
      </c>
      <c r="P31" t="s">
        <v>767</v>
      </c>
      <c r="Q31" t="s">
        <v>765</v>
      </c>
      <c r="R31" t="s">
        <v>791</v>
      </c>
      <c r="S31" t="s">
        <v>768</v>
      </c>
      <c r="T31" t="s">
        <v>768</v>
      </c>
    </row>
    <row r="32" spans="1:20" x14ac:dyDescent="0.2">
      <c r="A32" s="39">
        <v>30</v>
      </c>
      <c r="B32" t="s">
        <v>757</v>
      </c>
      <c r="C32" t="s">
        <v>791</v>
      </c>
      <c r="D32" t="s">
        <v>866</v>
      </c>
      <c r="E32" t="s">
        <v>760</v>
      </c>
      <c r="F32" t="s">
        <v>761</v>
      </c>
      <c r="G32" t="s">
        <v>835</v>
      </c>
      <c r="H32" t="s">
        <v>784</v>
      </c>
      <c r="I32" t="s">
        <v>867</v>
      </c>
      <c r="J32" t="s">
        <v>784</v>
      </c>
      <c r="K32" t="s">
        <v>765</v>
      </c>
      <c r="L32" t="s">
        <v>765</v>
      </c>
      <c r="M32" t="s">
        <v>765</v>
      </c>
      <c r="N32" t="s">
        <v>766</v>
      </c>
      <c r="O32" t="s">
        <v>767</v>
      </c>
      <c r="P32" t="s">
        <v>767</v>
      </c>
      <c r="Q32" t="s">
        <v>765</v>
      </c>
      <c r="R32" t="s">
        <v>791</v>
      </c>
      <c r="S32" t="s">
        <v>768</v>
      </c>
      <c r="T32" t="s">
        <v>768</v>
      </c>
    </row>
    <row r="33" spans="1:20" x14ac:dyDescent="0.2">
      <c r="A33" s="39">
        <v>31</v>
      </c>
      <c r="B33" t="s">
        <v>757</v>
      </c>
      <c r="C33" t="s">
        <v>828</v>
      </c>
      <c r="D33" t="s">
        <v>868</v>
      </c>
      <c r="E33" t="s">
        <v>760</v>
      </c>
      <c r="F33" t="s">
        <v>761</v>
      </c>
      <c r="G33" t="s">
        <v>822</v>
      </c>
      <c r="H33" t="s">
        <v>784</v>
      </c>
      <c r="I33" t="s">
        <v>869</v>
      </c>
      <c r="J33" t="s">
        <v>784</v>
      </c>
      <c r="K33" t="s">
        <v>765</v>
      </c>
      <c r="L33" t="s">
        <v>765</v>
      </c>
      <c r="M33" t="s">
        <v>765</v>
      </c>
      <c r="N33" t="s">
        <v>766</v>
      </c>
      <c r="O33" t="s">
        <v>767</v>
      </c>
      <c r="P33" t="s">
        <v>767</v>
      </c>
      <c r="Q33" t="s">
        <v>765</v>
      </c>
      <c r="R33" t="s">
        <v>828</v>
      </c>
      <c r="S33" t="s">
        <v>769</v>
      </c>
      <c r="T33" t="s">
        <v>768</v>
      </c>
    </row>
    <row r="34" spans="1:20" x14ac:dyDescent="0.2">
      <c r="A34" s="39">
        <v>32</v>
      </c>
      <c r="B34" t="s">
        <v>757</v>
      </c>
      <c r="C34" t="s">
        <v>791</v>
      </c>
      <c r="D34" t="s">
        <v>870</v>
      </c>
      <c r="E34" t="s">
        <v>760</v>
      </c>
      <c r="F34" t="s">
        <v>761</v>
      </c>
      <c r="G34" t="s">
        <v>795</v>
      </c>
      <c r="H34" t="s">
        <v>784</v>
      </c>
      <c r="I34" t="s">
        <v>871</v>
      </c>
      <c r="J34" t="s">
        <v>784</v>
      </c>
      <c r="K34" t="s">
        <v>765</v>
      </c>
      <c r="L34" t="s">
        <v>765</v>
      </c>
      <c r="M34" t="s">
        <v>765</v>
      </c>
      <c r="N34" t="s">
        <v>766</v>
      </c>
      <c r="O34" t="s">
        <v>767</v>
      </c>
      <c r="P34" t="s">
        <v>767</v>
      </c>
      <c r="Q34" t="s">
        <v>765</v>
      </c>
      <c r="R34" t="s">
        <v>791</v>
      </c>
      <c r="S34" t="s">
        <v>768</v>
      </c>
      <c r="T34" t="s">
        <v>768</v>
      </c>
    </row>
    <row r="35" spans="1:20" x14ac:dyDescent="0.2">
      <c r="A35" s="39">
        <v>33</v>
      </c>
      <c r="B35" t="s">
        <v>757</v>
      </c>
      <c r="C35" t="s">
        <v>758</v>
      </c>
      <c r="D35" t="s">
        <v>872</v>
      </c>
      <c r="E35" t="s">
        <v>760</v>
      </c>
      <c r="F35" t="s">
        <v>761</v>
      </c>
      <c r="G35" t="s">
        <v>805</v>
      </c>
      <c r="H35" t="s">
        <v>823</v>
      </c>
      <c r="I35" t="s">
        <v>873</v>
      </c>
      <c r="J35" t="s">
        <v>823</v>
      </c>
      <c r="K35" t="s">
        <v>874</v>
      </c>
      <c r="L35" t="s">
        <v>763</v>
      </c>
      <c r="M35" t="s">
        <v>765</v>
      </c>
      <c r="N35" t="s">
        <v>803</v>
      </c>
      <c r="O35" t="s">
        <v>767</v>
      </c>
      <c r="P35" t="s">
        <v>767</v>
      </c>
      <c r="Q35" t="s">
        <v>767</v>
      </c>
      <c r="R35" t="s">
        <v>758</v>
      </c>
      <c r="S35" t="s">
        <v>768</v>
      </c>
      <c r="T35" t="s">
        <v>768</v>
      </c>
    </row>
    <row r="36" spans="1:20" x14ac:dyDescent="0.2">
      <c r="A36" s="39">
        <v>34</v>
      </c>
      <c r="B36" t="s">
        <v>757</v>
      </c>
      <c r="C36" t="s">
        <v>791</v>
      </c>
      <c r="D36" t="s">
        <v>875</v>
      </c>
      <c r="E36" t="s">
        <v>772</v>
      </c>
      <c r="F36" t="s">
        <v>761</v>
      </c>
      <c r="G36" t="s">
        <v>762</v>
      </c>
      <c r="H36" t="s">
        <v>784</v>
      </c>
      <c r="I36" t="s">
        <v>876</v>
      </c>
      <c r="J36" t="s">
        <v>784</v>
      </c>
      <c r="K36" t="s">
        <v>765</v>
      </c>
      <c r="L36" t="s">
        <v>765</v>
      </c>
      <c r="M36" t="s">
        <v>765</v>
      </c>
      <c r="N36" t="s">
        <v>766</v>
      </c>
      <c r="O36" t="s">
        <v>767</v>
      </c>
      <c r="P36" t="s">
        <v>767</v>
      </c>
      <c r="Q36" t="s">
        <v>765</v>
      </c>
      <c r="R36" t="s">
        <v>791</v>
      </c>
      <c r="S36" t="s">
        <v>768</v>
      </c>
      <c r="T36" t="s">
        <v>768</v>
      </c>
    </row>
    <row r="37" spans="1:20" x14ac:dyDescent="0.2">
      <c r="A37" s="39">
        <v>35</v>
      </c>
      <c r="B37" t="s">
        <v>757</v>
      </c>
      <c r="C37" t="s">
        <v>799</v>
      </c>
      <c r="D37" t="s">
        <v>877</v>
      </c>
      <c r="E37" t="s">
        <v>772</v>
      </c>
      <c r="F37" t="s">
        <v>761</v>
      </c>
      <c r="G37" t="s">
        <v>819</v>
      </c>
      <c r="H37" t="s">
        <v>774</v>
      </c>
      <c r="I37" t="s">
        <v>878</v>
      </c>
      <c r="J37" t="s">
        <v>774</v>
      </c>
      <c r="K37" t="s">
        <v>765</v>
      </c>
      <c r="L37" t="s">
        <v>765</v>
      </c>
      <c r="M37" t="s">
        <v>765</v>
      </c>
      <c r="N37" t="s">
        <v>766</v>
      </c>
      <c r="O37" t="s">
        <v>767</v>
      </c>
      <c r="P37" t="s">
        <v>767</v>
      </c>
      <c r="Q37" t="s">
        <v>765</v>
      </c>
      <c r="R37" t="s">
        <v>799</v>
      </c>
      <c r="S37" t="s">
        <v>768</v>
      </c>
      <c r="T37" t="s">
        <v>768</v>
      </c>
    </row>
    <row r="38" spans="1:20" x14ac:dyDescent="0.2">
      <c r="A38" s="39">
        <v>36</v>
      </c>
      <c r="B38" t="s">
        <v>757</v>
      </c>
      <c r="C38" t="s">
        <v>770</v>
      </c>
      <c r="D38" t="s">
        <v>879</v>
      </c>
      <c r="E38" t="s">
        <v>772</v>
      </c>
      <c r="F38" t="s">
        <v>761</v>
      </c>
      <c r="G38" t="s">
        <v>778</v>
      </c>
      <c r="H38" t="s">
        <v>774</v>
      </c>
      <c r="I38" t="s">
        <v>880</v>
      </c>
      <c r="J38" t="s">
        <v>774</v>
      </c>
      <c r="K38" t="s">
        <v>765</v>
      </c>
      <c r="L38" t="s">
        <v>765</v>
      </c>
      <c r="M38" t="s">
        <v>765</v>
      </c>
      <c r="N38" t="s">
        <v>766</v>
      </c>
      <c r="O38" t="s">
        <v>767</v>
      </c>
      <c r="P38" t="s">
        <v>767</v>
      </c>
      <c r="Q38" t="s">
        <v>765</v>
      </c>
      <c r="R38" t="s">
        <v>770</v>
      </c>
      <c r="S38" t="s">
        <v>768</v>
      </c>
      <c r="T38" t="s">
        <v>768</v>
      </c>
    </row>
    <row r="39" spans="1:20" x14ac:dyDescent="0.2">
      <c r="A39" s="39">
        <v>37</v>
      </c>
      <c r="B39" t="s">
        <v>757</v>
      </c>
      <c r="C39" t="s">
        <v>828</v>
      </c>
      <c r="D39" t="s">
        <v>881</v>
      </c>
      <c r="E39" t="s">
        <v>777</v>
      </c>
      <c r="F39" t="s">
        <v>761</v>
      </c>
      <c r="G39" t="s">
        <v>861</v>
      </c>
      <c r="H39" t="s">
        <v>774</v>
      </c>
      <c r="I39" t="s">
        <v>882</v>
      </c>
      <c r="J39" t="s">
        <v>774</v>
      </c>
      <c r="K39" t="s">
        <v>765</v>
      </c>
      <c r="L39" t="s">
        <v>765</v>
      </c>
      <c r="M39" t="s">
        <v>765</v>
      </c>
      <c r="N39" t="s">
        <v>766</v>
      </c>
      <c r="O39" t="s">
        <v>767</v>
      </c>
      <c r="P39" t="s">
        <v>767</v>
      </c>
      <c r="Q39" t="s">
        <v>765</v>
      </c>
      <c r="R39" t="s">
        <v>828</v>
      </c>
      <c r="S39" t="s">
        <v>768</v>
      </c>
      <c r="T39" t="s">
        <v>768</v>
      </c>
    </row>
    <row r="40" spans="1:20" x14ac:dyDescent="0.2">
      <c r="A40" s="39">
        <v>38</v>
      </c>
      <c r="B40" t="s">
        <v>757</v>
      </c>
      <c r="C40" t="s">
        <v>825</v>
      </c>
      <c r="D40" t="s">
        <v>883</v>
      </c>
      <c r="E40" t="s">
        <v>772</v>
      </c>
      <c r="F40" t="s">
        <v>761</v>
      </c>
      <c r="G40" t="s">
        <v>835</v>
      </c>
      <c r="H40" t="s">
        <v>784</v>
      </c>
      <c r="I40" t="s">
        <v>884</v>
      </c>
      <c r="J40" t="s">
        <v>784</v>
      </c>
      <c r="K40" t="s">
        <v>765</v>
      </c>
      <c r="L40" t="s">
        <v>765</v>
      </c>
      <c r="M40" t="s">
        <v>765</v>
      </c>
      <c r="N40" t="s">
        <v>766</v>
      </c>
      <c r="O40" t="s">
        <v>767</v>
      </c>
      <c r="P40" t="s">
        <v>767</v>
      </c>
      <c r="Q40" t="s">
        <v>765</v>
      </c>
      <c r="R40" t="s">
        <v>825</v>
      </c>
      <c r="S40" t="s">
        <v>768</v>
      </c>
      <c r="T40" t="s">
        <v>768</v>
      </c>
    </row>
    <row r="41" spans="1:20" x14ac:dyDescent="0.2">
      <c r="A41" s="39">
        <v>39</v>
      </c>
      <c r="B41" t="s">
        <v>757</v>
      </c>
      <c r="C41" t="s">
        <v>851</v>
      </c>
      <c r="D41" t="s">
        <v>885</v>
      </c>
      <c r="E41" t="s">
        <v>777</v>
      </c>
      <c r="F41" t="s">
        <v>761</v>
      </c>
      <c r="G41" t="s">
        <v>805</v>
      </c>
      <c r="H41" t="s">
        <v>823</v>
      </c>
      <c r="I41" t="s">
        <v>886</v>
      </c>
      <c r="J41" t="s">
        <v>823</v>
      </c>
      <c r="K41" t="s">
        <v>765</v>
      </c>
      <c r="L41" t="s">
        <v>765</v>
      </c>
      <c r="M41" t="s">
        <v>765</v>
      </c>
      <c r="N41" t="s">
        <v>766</v>
      </c>
      <c r="O41" t="s">
        <v>767</v>
      </c>
      <c r="P41" t="s">
        <v>767</v>
      </c>
      <c r="Q41" t="s">
        <v>765</v>
      </c>
      <c r="R41" t="s">
        <v>851</v>
      </c>
      <c r="S41" t="s">
        <v>768</v>
      </c>
      <c r="T41" t="s">
        <v>768</v>
      </c>
    </row>
    <row r="42" spans="1:20" x14ac:dyDescent="0.2">
      <c r="A42" s="39">
        <v>40</v>
      </c>
      <c r="B42" t="s">
        <v>757</v>
      </c>
      <c r="C42" t="s">
        <v>851</v>
      </c>
      <c r="D42" t="s">
        <v>887</v>
      </c>
      <c r="E42" t="s">
        <v>760</v>
      </c>
      <c r="F42" t="s">
        <v>761</v>
      </c>
      <c r="G42" t="s">
        <v>805</v>
      </c>
      <c r="H42" t="s">
        <v>823</v>
      </c>
      <c r="I42" t="s">
        <v>888</v>
      </c>
      <c r="J42" t="s">
        <v>823</v>
      </c>
      <c r="K42" t="s">
        <v>889</v>
      </c>
      <c r="L42" t="s">
        <v>823</v>
      </c>
      <c r="M42" t="s">
        <v>890</v>
      </c>
      <c r="N42" t="s">
        <v>891</v>
      </c>
      <c r="O42" t="s">
        <v>767</v>
      </c>
      <c r="P42" t="s">
        <v>767</v>
      </c>
      <c r="Q42" t="s">
        <v>767</v>
      </c>
      <c r="R42" t="s">
        <v>851</v>
      </c>
      <c r="S42" t="s">
        <v>768</v>
      </c>
    </row>
    <row r="43" spans="1:20" x14ac:dyDescent="0.2">
      <c r="A43" s="39">
        <v>41</v>
      </c>
      <c r="B43" t="s">
        <v>757</v>
      </c>
      <c r="C43" t="s">
        <v>799</v>
      </c>
      <c r="D43" t="s">
        <v>892</v>
      </c>
      <c r="E43" t="s">
        <v>777</v>
      </c>
      <c r="F43" t="s">
        <v>761</v>
      </c>
      <c r="G43" t="s">
        <v>805</v>
      </c>
      <c r="H43" t="s">
        <v>823</v>
      </c>
      <c r="I43" t="s">
        <v>893</v>
      </c>
      <c r="J43" t="s">
        <v>823</v>
      </c>
      <c r="K43" t="s">
        <v>894</v>
      </c>
      <c r="L43" t="s">
        <v>823</v>
      </c>
      <c r="M43" t="s">
        <v>895</v>
      </c>
      <c r="N43" t="s">
        <v>891</v>
      </c>
      <c r="O43" t="s">
        <v>767</v>
      </c>
      <c r="P43" t="s">
        <v>767</v>
      </c>
      <c r="Q43" t="s">
        <v>767</v>
      </c>
      <c r="R43" t="s">
        <v>799</v>
      </c>
      <c r="S43" t="s">
        <v>768</v>
      </c>
    </row>
    <row r="44" spans="1:20" x14ac:dyDescent="0.2">
      <c r="A44" s="39">
        <v>42</v>
      </c>
      <c r="B44" t="s">
        <v>757</v>
      </c>
      <c r="C44" t="s">
        <v>791</v>
      </c>
      <c r="D44" t="s">
        <v>896</v>
      </c>
      <c r="E44" t="s">
        <v>760</v>
      </c>
      <c r="F44" t="s">
        <v>761</v>
      </c>
      <c r="G44" t="s">
        <v>897</v>
      </c>
      <c r="H44" t="s">
        <v>836</v>
      </c>
      <c r="I44" t="s">
        <v>898</v>
      </c>
      <c r="J44" t="s">
        <v>797</v>
      </c>
      <c r="K44" t="s">
        <v>765</v>
      </c>
      <c r="L44" t="s">
        <v>765</v>
      </c>
      <c r="M44" t="s">
        <v>765</v>
      </c>
      <c r="N44" t="s">
        <v>766</v>
      </c>
      <c r="O44" t="s">
        <v>767</v>
      </c>
      <c r="P44" t="s">
        <v>798</v>
      </c>
      <c r="Q44" t="s">
        <v>765</v>
      </c>
      <c r="R44" t="s">
        <v>791</v>
      </c>
      <c r="S44" t="s">
        <v>768</v>
      </c>
    </row>
    <row r="45" spans="1:20" x14ac:dyDescent="0.2">
      <c r="A45" s="39">
        <v>43</v>
      </c>
      <c r="B45" t="s">
        <v>757</v>
      </c>
      <c r="C45" t="s">
        <v>791</v>
      </c>
      <c r="D45" t="s">
        <v>899</v>
      </c>
      <c r="E45" t="s">
        <v>760</v>
      </c>
      <c r="F45" t="s">
        <v>761</v>
      </c>
      <c r="G45" t="s">
        <v>897</v>
      </c>
      <c r="H45" t="s">
        <v>836</v>
      </c>
      <c r="I45" t="s">
        <v>898</v>
      </c>
      <c r="J45" t="s">
        <v>838</v>
      </c>
      <c r="K45" t="s">
        <v>765</v>
      </c>
      <c r="L45" t="s">
        <v>765</v>
      </c>
      <c r="M45" t="s">
        <v>765</v>
      </c>
      <c r="N45" t="s">
        <v>766</v>
      </c>
      <c r="O45" t="s">
        <v>767</v>
      </c>
      <c r="P45" t="s">
        <v>767</v>
      </c>
      <c r="Q45" t="s">
        <v>765</v>
      </c>
      <c r="R45" t="s">
        <v>791</v>
      </c>
      <c r="S45" t="s">
        <v>768</v>
      </c>
    </row>
    <row r="46" spans="1:20" x14ac:dyDescent="0.2">
      <c r="A46" s="39">
        <v>44</v>
      </c>
      <c r="B46" t="s">
        <v>757</v>
      </c>
      <c r="C46" t="s">
        <v>828</v>
      </c>
      <c r="D46" t="s">
        <v>900</v>
      </c>
      <c r="E46" t="s">
        <v>772</v>
      </c>
      <c r="F46" t="s">
        <v>761</v>
      </c>
      <c r="G46" t="s">
        <v>901</v>
      </c>
      <c r="H46" t="s">
        <v>774</v>
      </c>
      <c r="I46" t="s">
        <v>902</v>
      </c>
      <c r="J46" t="s">
        <v>863</v>
      </c>
      <c r="K46" t="s">
        <v>765</v>
      </c>
      <c r="L46" t="s">
        <v>765</v>
      </c>
      <c r="M46" t="s">
        <v>765</v>
      </c>
      <c r="N46" t="s">
        <v>766</v>
      </c>
      <c r="O46" t="s">
        <v>767</v>
      </c>
      <c r="P46" t="s">
        <v>767</v>
      </c>
      <c r="Q46" t="s">
        <v>765</v>
      </c>
      <c r="R46" t="s">
        <v>828</v>
      </c>
      <c r="S46" t="s">
        <v>769</v>
      </c>
    </row>
    <row r="47" spans="1:20" x14ac:dyDescent="0.2">
      <c r="A47" s="39">
        <v>45</v>
      </c>
      <c r="B47" t="s">
        <v>757</v>
      </c>
      <c r="C47" t="s">
        <v>903</v>
      </c>
      <c r="D47" t="s">
        <v>904</v>
      </c>
      <c r="E47" t="s">
        <v>760</v>
      </c>
      <c r="F47" t="s">
        <v>761</v>
      </c>
      <c r="G47" t="s">
        <v>840</v>
      </c>
      <c r="H47" t="s">
        <v>836</v>
      </c>
      <c r="I47" t="s">
        <v>905</v>
      </c>
      <c r="J47" t="s">
        <v>797</v>
      </c>
      <c r="K47" t="s">
        <v>765</v>
      </c>
      <c r="L47" t="s">
        <v>765</v>
      </c>
      <c r="M47" t="s">
        <v>765</v>
      </c>
      <c r="N47" t="s">
        <v>766</v>
      </c>
      <c r="O47" t="s">
        <v>767</v>
      </c>
      <c r="P47" t="s">
        <v>798</v>
      </c>
      <c r="Q47" t="s">
        <v>765</v>
      </c>
      <c r="R47" t="s">
        <v>903</v>
      </c>
      <c r="S47" t="s">
        <v>768</v>
      </c>
    </row>
    <row r="48" spans="1:20" x14ac:dyDescent="0.2">
      <c r="A48" s="39">
        <v>46</v>
      </c>
      <c r="B48" t="s">
        <v>757</v>
      </c>
      <c r="C48" t="s">
        <v>825</v>
      </c>
      <c r="D48" t="s">
        <v>906</v>
      </c>
      <c r="E48" t="s">
        <v>772</v>
      </c>
      <c r="F48" t="s">
        <v>761</v>
      </c>
      <c r="G48" t="s">
        <v>822</v>
      </c>
      <c r="H48" t="s">
        <v>784</v>
      </c>
      <c r="I48" t="s">
        <v>907</v>
      </c>
      <c r="J48" t="s">
        <v>784</v>
      </c>
      <c r="K48" t="s">
        <v>765</v>
      </c>
      <c r="L48" t="s">
        <v>765</v>
      </c>
      <c r="M48" t="s">
        <v>765</v>
      </c>
      <c r="N48" t="s">
        <v>766</v>
      </c>
      <c r="O48" t="s">
        <v>767</v>
      </c>
      <c r="P48" t="s">
        <v>767</v>
      </c>
      <c r="Q48" t="s">
        <v>765</v>
      </c>
      <c r="R48" t="s">
        <v>825</v>
      </c>
      <c r="S48" t="s">
        <v>768</v>
      </c>
    </row>
    <row r="49" spans="1:19" x14ac:dyDescent="0.2">
      <c r="A49" s="39">
        <v>47</v>
      </c>
      <c r="B49" t="s">
        <v>757</v>
      </c>
      <c r="C49" t="s">
        <v>825</v>
      </c>
      <c r="D49" t="s">
        <v>908</v>
      </c>
      <c r="E49" t="s">
        <v>772</v>
      </c>
      <c r="F49" t="s">
        <v>761</v>
      </c>
      <c r="G49" t="s">
        <v>795</v>
      </c>
      <c r="H49" t="s">
        <v>784</v>
      </c>
      <c r="I49" t="s">
        <v>909</v>
      </c>
      <c r="J49" t="s">
        <v>784</v>
      </c>
      <c r="K49" t="s">
        <v>765</v>
      </c>
      <c r="L49" t="s">
        <v>765</v>
      </c>
      <c r="M49" t="s">
        <v>765</v>
      </c>
      <c r="N49" t="s">
        <v>766</v>
      </c>
      <c r="O49" t="s">
        <v>767</v>
      </c>
      <c r="P49" t="s">
        <v>767</v>
      </c>
      <c r="Q49" t="s">
        <v>765</v>
      </c>
      <c r="R49" t="s">
        <v>825</v>
      </c>
      <c r="S49" t="s">
        <v>768</v>
      </c>
    </row>
    <row r="50" spans="1:19" x14ac:dyDescent="0.2">
      <c r="A50" s="39">
        <v>48</v>
      </c>
      <c r="B50" t="s">
        <v>757</v>
      </c>
      <c r="C50" t="s">
        <v>808</v>
      </c>
      <c r="D50" t="s">
        <v>910</v>
      </c>
      <c r="E50" t="s">
        <v>760</v>
      </c>
      <c r="F50" t="s">
        <v>761</v>
      </c>
      <c r="G50" t="s">
        <v>795</v>
      </c>
      <c r="H50" t="s">
        <v>838</v>
      </c>
      <c r="I50" t="s">
        <v>911</v>
      </c>
      <c r="J50" t="s">
        <v>836</v>
      </c>
      <c r="K50" t="s">
        <v>765</v>
      </c>
      <c r="L50" t="s">
        <v>765</v>
      </c>
      <c r="M50" t="s">
        <v>765</v>
      </c>
      <c r="N50" t="s">
        <v>766</v>
      </c>
      <c r="O50" t="s">
        <v>767</v>
      </c>
      <c r="P50" t="s">
        <v>767</v>
      </c>
      <c r="Q50" t="s">
        <v>765</v>
      </c>
      <c r="R50" t="s">
        <v>808</v>
      </c>
      <c r="S50" t="s">
        <v>768</v>
      </c>
    </row>
    <row r="51" spans="1:19" x14ac:dyDescent="0.2">
      <c r="A51" s="39">
        <v>49</v>
      </c>
      <c r="B51" t="s">
        <v>757</v>
      </c>
      <c r="C51" t="s">
        <v>848</v>
      </c>
      <c r="D51" t="s">
        <v>912</v>
      </c>
      <c r="E51" t="s">
        <v>777</v>
      </c>
      <c r="F51" t="s">
        <v>761</v>
      </c>
      <c r="G51" t="s">
        <v>805</v>
      </c>
      <c r="H51" t="s">
        <v>823</v>
      </c>
      <c r="I51" t="s">
        <v>913</v>
      </c>
      <c r="J51" t="s">
        <v>836</v>
      </c>
      <c r="K51" t="s">
        <v>765</v>
      </c>
      <c r="L51" t="s">
        <v>765</v>
      </c>
      <c r="M51" t="s">
        <v>765</v>
      </c>
      <c r="N51" t="s">
        <v>766</v>
      </c>
      <c r="O51" t="s">
        <v>767</v>
      </c>
      <c r="P51" t="s">
        <v>767</v>
      </c>
      <c r="Q51" t="s">
        <v>765</v>
      </c>
      <c r="R51" t="s">
        <v>848</v>
      </c>
      <c r="S51" t="s">
        <v>768</v>
      </c>
    </row>
    <row r="52" spans="1:19" x14ac:dyDescent="0.2">
      <c r="A52" s="39">
        <v>50</v>
      </c>
      <c r="B52" t="s">
        <v>757</v>
      </c>
      <c r="C52" t="s">
        <v>914</v>
      </c>
      <c r="D52" t="s">
        <v>915</v>
      </c>
      <c r="E52" t="s">
        <v>760</v>
      </c>
      <c r="F52" t="s">
        <v>761</v>
      </c>
      <c r="G52" t="s">
        <v>778</v>
      </c>
      <c r="H52" t="s">
        <v>763</v>
      </c>
      <c r="I52" t="s">
        <v>916</v>
      </c>
      <c r="J52" t="s">
        <v>763</v>
      </c>
      <c r="K52" t="s">
        <v>917</v>
      </c>
      <c r="L52" t="s">
        <v>763</v>
      </c>
      <c r="M52" t="s">
        <v>918</v>
      </c>
      <c r="N52" t="s">
        <v>891</v>
      </c>
      <c r="O52" t="s">
        <v>767</v>
      </c>
      <c r="P52" t="s">
        <v>767</v>
      </c>
      <c r="Q52" t="s">
        <v>767</v>
      </c>
      <c r="R52" t="s">
        <v>914</v>
      </c>
      <c r="S52" t="s">
        <v>768</v>
      </c>
    </row>
    <row r="53" spans="1:19" x14ac:dyDescent="0.2">
      <c r="A53" s="39">
        <v>51</v>
      </c>
      <c r="B53" t="s">
        <v>757</v>
      </c>
      <c r="C53" t="s">
        <v>828</v>
      </c>
      <c r="D53" t="s">
        <v>919</v>
      </c>
      <c r="E53" t="s">
        <v>760</v>
      </c>
      <c r="F53" t="s">
        <v>761</v>
      </c>
      <c r="G53" t="s">
        <v>778</v>
      </c>
      <c r="H53" t="s">
        <v>763</v>
      </c>
      <c r="I53" t="s">
        <v>920</v>
      </c>
      <c r="J53" t="s">
        <v>763</v>
      </c>
      <c r="K53" t="s">
        <v>921</v>
      </c>
      <c r="L53" t="s">
        <v>763</v>
      </c>
      <c r="M53" t="s">
        <v>922</v>
      </c>
      <c r="N53" t="s">
        <v>891</v>
      </c>
      <c r="O53" t="s">
        <v>767</v>
      </c>
      <c r="P53" t="s">
        <v>767</v>
      </c>
      <c r="Q53" t="s">
        <v>767</v>
      </c>
      <c r="R53" t="s">
        <v>828</v>
      </c>
      <c r="S53" t="s">
        <v>769</v>
      </c>
    </row>
    <row r="54" spans="1:19" x14ac:dyDescent="0.2">
      <c r="A54" s="39">
        <v>52</v>
      </c>
      <c r="B54" t="s">
        <v>757</v>
      </c>
      <c r="C54" t="s">
        <v>848</v>
      </c>
      <c r="D54" t="s">
        <v>923</v>
      </c>
      <c r="E54" t="s">
        <v>760</v>
      </c>
      <c r="F54" t="s">
        <v>761</v>
      </c>
      <c r="G54" t="s">
        <v>789</v>
      </c>
      <c r="H54" t="s">
        <v>836</v>
      </c>
      <c r="I54" t="s">
        <v>924</v>
      </c>
      <c r="J54" t="s">
        <v>797</v>
      </c>
      <c r="K54" t="s">
        <v>765</v>
      </c>
      <c r="L54" t="s">
        <v>765</v>
      </c>
      <c r="M54" t="s">
        <v>765</v>
      </c>
      <c r="N54" t="s">
        <v>766</v>
      </c>
      <c r="O54" t="s">
        <v>767</v>
      </c>
      <c r="P54" t="s">
        <v>798</v>
      </c>
      <c r="Q54" t="s">
        <v>765</v>
      </c>
      <c r="R54" t="s">
        <v>848</v>
      </c>
      <c r="S54" t="s">
        <v>768</v>
      </c>
    </row>
    <row r="55" spans="1:19" x14ac:dyDescent="0.2">
      <c r="A55" s="39">
        <v>53</v>
      </c>
      <c r="B55" t="s">
        <v>757</v>
      </c>
      <c r="C55" t="s">
        <v>851</v>
      </c>
      <c r="D55" t="s">
        <v>925</v>
      </c>
      <c r="E55" t="s">
        <v>777</v>
      </c>
      <c r="F55" t="s">
        <v>761</v>
      </c>
      <c r="G55" t="s">
        <v>778</v>
      </c>
      <c r="H55" t="s">
        <v>779</v>
      </c>
      <c r="I55" t="s">
        <v>926</v>
      </c>
      <c r="J55" t="s">
        <v>779</v>
      </c>
      <c r="K55" t="s">
        <v>765</v>
      </c>
      <c r="L55" t="s">
        <v>765</v>
      </c>
      <c r="M55" t="s">
        <v>765</v>
      </c>
      <c r="N55" t="s">
        <v>766</v>
      </c>
      <c r="O55" t="s">
        <v>767</v>
      </c>
      <c r="P55" t="s">
        <v>767</v>
      </c>
      <c r="Q55" t="s">
        <v>765</v>
      </c>
      <c r="R55" t="s">
        <v>851</v>
      </c>
      <c r="S55" t="s">
        <v>768</v>
      </c>
    </row>
    <row r="56" spans="1:19" x14ac:dyDescent="0.2">
      <c r="A56" s="39">
        <v>54</v>
      </c>
      <c r="B56" t="s">
        <v>757</v>
      </c>
      <c r="C56" t="s">
        <v>828</v>
      </c>
      <c r="D56" t="s">
        <v>927</v>
      </c>
      <c r="E56" t="s">
        <v>777</v>
      </c>
      <c r="F56" t="s">
        <v>761</v>
      </c>
      <c r="G56" t="s">
        <v>795</v>
      </c>
      <c r="H56" t="s">
        <v>774</v>
      </c>
      <c r="I56" t="s">
        <v>928</v>
      </c>
      <c r="J56" t="s">
        <v>774</v>
      </c>
      <c r="K56" t="s">
        <v>929</v>
      </c>
      <c r="L56" t="s">
        <v>774</v>
      </c>
      <c r="M56" t="s">
        <v>765</v>
      </c>
      <c r="N56" t="s">
        <v>803</v>
      </c>
      <c r="O56" t="s">
        <v>767</v>
      </c>
      <c r="P56" t="s">
        <v>767</v>
      </c>
      <c r="Q56" t="s">
        <v>767</v>
      </c>
      <c r="R56" t="s">
        <v>828</v>
      </c>
      <c r="S56" t="s">
        <v>769</v>
      </c>
    </row>
    <row r="57" spans="1:19" x14ac:dyDescent="0.2">
      <c r="A57" s="39">
        <v>55</v>
      </c>
      <c r="B57" t="s">
        <v>757</v>
      </c>
      <c r="C57" t="s">
        <v>848</v>
      </c>
      <c r="D57" t="s">
        <v>930</v>
      </c>
      <c r="E57" t="s">
        <v>772</v>
      </c>
      <c r="F57" t="s">
        <v>761</v>
      </c>
      <c r="G57" t="s">
        <v>789</v>
      </c>
      <c r="H57" t="s">
        <v>774</v>
      </c>
      <c r="I57" t="s">
        <v>931</v>
      </c>
      <c r="J57" t="s">
        <v>774</v>
      </c>
      <c r="K57" t="s">
        <v>932</v>
      </c>
      <c r="L57" t="s">
        <v>774</v>
      </c>
      <c r="M57" t="s">
        <v>765</v>
      </c>
      <c r="N57" t="s">
        <v>803</v>
      </c>
      <c r="O57" t="s">
        <v>767</v>
      </c>
      <c r="P57" t="s">
        <v>767</v>
      </c>
      <c r="Q57" t="s">
        <v>767</v>
      </c>
      <c r="R57" t="s">
        <v>848</v>
      </c>
      <c r="S57" t="s">
        <v>768</v>
      </c>
    </row>
    <row r="58" spans="1:19" x14ac:dyDescent="0.2">
      <c r="A58" s="39">
        <v>56</v>
      </c>
      <c r="B58" t="s">
        <v>757</v>
      </c>
      <c r="C58" t="s">
        <v>791</v>
      </c>
      <c r="D58" t="s">
        <v>933</v>
      </c>
      <c r="E58" t="s">
        <v>760</v>
      </c>
      <c r="F58" t="s">
        <v>761</v>
      </c>
      <c r="G58" t="s">
        <v>805</v>
      </c>
      <c r="H58" t="s">
        <v>823</v>
      </c>
      <c r="I58" t="s">
        <v>934</v>
      </c>
      <c r="J58" t="s">
        <v>823</v>
      </c>
      <c r="K58" t="s">
        <v>765</v>
      </c>
      <c r="L58" t="s">
        <v>765</v>
      </c>
      <c r="M58" t="s">
        <v>765</v>
      </c>
      <c r="N58" t="s">
        <v>766</v>
      </c>
      <c r="O58" t="s">
        <v>767</v>
      </c>
      <c r="P58" t="s">
        <v>767</v>
      </c>
      <c r="Q58" t="s">
        <v>765</v>
      </c>
      <c r="R58" t="s">
        <v>791</v>
      </c>
      <c r="S58" t="s">
        <v>768</v>
      </c>
    </row>
    <row r="59" spans="1:19" x14ac:dyDescent="0.2">
      <c r="A59" s="39">
        <v>57</v>
      </c>
      <c r="B59" t="s">
        <v>757</v>
      </c>
      <c r="C59" t="s">
        <v>825</v>
      </c>
      <c r="D59" t="s">
        <v>935</v>
      </c>
      <c r="E59" t="s">
        <v>760</v>
      </c>
      <c r="F59" t="s">
        <v>761</v>
      </c>
      <c r="G59" t="s">
        <v>795</v>
      </c>
      <c r="H59" t="s">
        <v>763</v>
      </c>
      <c r="I59" t="s">
        <v>936</v>
      </c>
      <c r="J59" t="s">
        <v>763</v>
      </c>
      <c r="K59" t="s">
        <v>937</v>
      </c>
      <c r="L59" t="s">
        <v>763</v>
      </c>
      <c r="M59" t="s">
        <v>938</v>
      </c>
      <c r="N59" t="s">
        <v>891</v>
      </c>
      <c r="O59" t="s">
        <v>767</v>
      </c>
      <c r="P59" t="s">
        <v>767</v>
      </c>
      <c r="Q59" t="s">
        <v>767</v>
      </c>
      <c r="R59" t="s">
        <v>825</v>
      </c>
      <c r="S59" t="s">
        <v>768</v>
      </c>
    </row>
    <row r="60" spans="1:19" x14ac:dyDescent="0.2">
      <c r="A60" s="39">
        <v>58</v>
      </c>
      <c r="B60" t="s">
        <v>757</v>
      </c>
      <c r="C60" t="s">
        <v>770</v>
      </c>
      <c r="D60" t="s">
        <v>939</v>
      </c>
      <c r="E60" t="s">
        <v>772</v>
      </c>
      <c r="F60" t="s">
        <v>761</v>
      </c>
      <c r="G60" t="s">
        <v>940</v>
      </c>
      <c r="H60" t="s">
        <v>779</v>
      </c>
      <c r="I60" t="s">
        <v>941</v>
      </c>
      <c r="J60" t="s">
        <v>779</v>
      </c>
      <c r="K60" t="s">
        <v>765</v>
      </c>
      <c r="L60" t="s">
        <v>765</v>
      </c>
      <c r="M60" t="s">
        <v>765</v>
      </c>
      <c r="N60" t="s">
        <v>766</v>
      </c>
      <c r="O60" t="s">
        <v>767</v>
      </c>
      <c r="P60" t="s">
        <v>767</v>
      </c>
      <c r="Q60" t="s">
        <v>765</v>
      </c>
      <c r="R60" t="s">
        <v>770</v>
      </c>
      <c r="S60" t="s">
        <v>768</v>
      </c>
    </row>
    <row r="61" spans="1:19" x14ac:dyDescent="0.2">
      <c r="A61" s="39">
        <v>59</v>
      </c>
      <c r="B61" t="s">
        <v>757</v>
      </c>
      <c r="C61" t="s">
        <v>851</v>
      </c>
      <c r="D61" t="s">
        <v>942</v>
      </c>
      <c r="E61" t="s">
        <v>772</v>
      </c>
      <c r="F61" t="s">
        <v>761</v>
      </c>
      <c r="G61" t="s">
        <v>805</v>
      </c>
      <c r="H61" t="s">
        <v>836</v>
      </c>
      <c r="I61" t="s">
        <v>943</v>
      </c>
      <c r="J61" t="s">
        <v>844</v>
      </c>
      <c r="K61" t="s">
        <v>765</v>
      </c>
      <c r="L61" t="s">
        <v>765</v>
      </c>
      <c r="M61" t="s">
        <v>765</v>
      </c>
      <c r="N61" t="s">
        <v>766</v>
      </c>
      <c r="O61" t="s">
        <v>767</v>
      </c>
      <c r="P61" t="s">
        <v>798</v>
      </c>
      <c r="Q61" t="s">
        <v>765</v>
      </c>
      <c r="R61" t="s">
        <v>851</v>
      </c>
      <c r="S61" t="s">
        <v>768</v>
      </c>
    </row>
    <row r="62" spans="1:19" x14ac:dyDescent="0.2">
      <c r="A62" s="39">
        <v>60</v>
      </c>
      <c r="B62" t="s">
        <v>757</v>
      </c>
      <c r="C62" t="s">
        <v>851</v>
      </c>
      <c r="D62" t="s">
        <v>944</v>
      </c>
      <c r="E62" t="s">
        <v>772</v>
      </c>
      <c r="F62" t="s">
        <v>761</v>
      </c>
      <c r="G62" t="s">
        <v>805</v>
      </c>
      <c r="H62" t="s">
        <v>836</v>
      </c>
      <c r="I62" t="s">
        <v>943</v>
      </c>
      <c r="J62" t="s">
        <v>844</v>
      </c>
      <c r="K62" t="s">
        <v>765</v>
      </c>
      <c r="L62" t="s">
        <v>765</v>
      </c>
      <c r="M62" t="s">
        <v>765</v>
      </c>
      <c r="N62" t="s">
        <v>766</v>
      </c>
      <c r="O62" t="s">
        <v>767</v>
      </c>
      <c r="P62" t="s">
        <v>798</v>
      </c>
      <c r="Q62" t="s">
        <v>765</v>
      </c>
      <c r="R62" t="s">
        <v>851</v>
      </c>
      <c r="S62" t="s">
        <v>768</v>
      </c>
    </row>
    <row r="63" spans="1:19" x14ac:dyDescent="0.2">
      <c r="A63" s="39">
        <v>61</v>
      </c>
      <c r="B63" t="s">
        <v>757</v>
      </c>
      <c r="C63" t="s">
        <v>825</v>
      </c>
      <c r="D63" t="s">
        <v>945</v>
      </c>
      <c r="E63" t="s">
        <v>777</v>
      </c>
      <c r="F63" t="s">
        <v>761</v>
      </c>
      <c r="G63" t="s">
        <v>795</v>
      </c>
      <c r="H63" t="s">
        <v>779</v>
      </c>
      <c r="I63" t="s">
        <v>946</v>
      </c>
      <c r="J63" t="s">
        <v>779</v>
      </c>
      <c r="K63" t="s">
        <v>765</v>
      </c>
      <c r="L63" t="s">
        <v>765</v>
      </c>
      <c r="M63" t="s">
        <v>765</v>
      </c>
      <c r="N63" t="s">
        <v>766</v>
      </c>
      <c r="O63" t="s">
        <v>767</v>
      </c>
      <c r="P63" t="s">
        <v>767</v>
      </c>
      <c r="Q63" t="s">
        <v>765</v>
      </c>
      <c r="R63" t="s">
        <v>825</v>
      </c>
      <c r="S63" t="s">
        <v>768</v>
      </c>
    </row>
    <row r="64" spans="1:19" x14ac:dyDescent="0.2">
      <c r="A64" s="39">
        <v>62</v>
      </c>
      <c r="B64" t="s">
        <v>757</v>
      </c>
      <c r="C64" t="s">
        <v>791</v>
      </c>
      <c r="D64" t="s">
        <v>947</v>
      </c>
      <c r="E64" t="s">
        <v>760</v>
      </c>
      <c r="F64" t="s">
        <v>761</v>
      </c>
      <c r="G64" t="s">
        <v>778</v>
      </c>
      <c r="H64" t="s">
        <v>763</v>
      </c>
      <c r="I64" t="s">
        <v>948</v>
      </c>
      <c r="J64" t="s">
        <v>763</v>
      </c>
      <c r="K64" t="s">
        <v>765</v>
      </c>
      <c r="L64" t="s">
        <v>765</v>
      </c>
      <c r="M64" t="s">
        <v>765</v>
      </c>
      <c r="N64" t="s">
        <v>766</v>
      </c>
      <c r="O64" t="s">
        <v>767</v>
      </c>
      <c r="P64" t="s">
        <v>767</v>
      </c>
      <c r="Q64" t="s">
        <v>765</v>
      </c>
      <c r="R64" t="s">
        <v>791</v>
      </c>
      <c r="S64" t="s">
        <v>768</v>
      </c>
    </row>
    <row r="65" spans="1:19" x14ac:dyDescent="0.2">
      <c r="A65" s="39">
        <v>63</v>
      </c>
      <c r="B65" t="s">
        <v>757</v>
      </c>
      <c r="C65" t="s">
        <v>808</v>
      </c>
      <c r="D65" t="s">
        <v>949</v>
      </c>
      <c r="E65" t="s">
        <v>760</v>
      </c>
      <c r="F65" t="s">
        <v>761</v>
      </c>
      <c r="G65" t="s">
        <v>832</v>
      </c>
      <c r="H65" t="s">
        <v>763</v>
      </c>
      <c r="I65" t="s">
        <v>950</v>
      </c>
      <c r="J65" t="s">
        <v>763</v>
      </c>
      <c r="K65" t="s">
        <v>951</v>
      </c>
      <c r="L65" t="s">
        <v>763</v>
      </c>
      <c r="M65" t="s">
        <v>952</v>
      </c>
      <c r="N65" t="s">
        <v>891</v>
      </c>
      <c r="O65" t="s">
        <v>767</v>
      </c>
      <c r="P65" t="s">
        <v>767</v>
      </c>
      <c r="Q65" t="s">
        <v>767</v>
      </c>
      <c r="R65" t="s">
        <v>808</v>
      </c>
      <c r="S65" t="s">
        <v>768</v>
      </c>
    </row>
    <row r="66" spans="1:19" x14ac:dyDescent="0.2">
      <c r="A66" s="39">
        <v>64</v>
      </c>
      <c r="B66" t="s">
        <v>757</v>
      </c>
      <c r="C66" t="s">
        <v>851</v>
      </c>
      <c r="D66" t="s">
        <v>953</v>
      </c>
      <c r="E66" t="s">
        <v>777</v>
      </c>
      <c r="F66" t="s">
        <v>761</v>
      </c>
      <c r="G66" t="s">
        <v>805</v>
      </c>
      <c r="H66" t="s">
        <v>763</v>
      </c>
      <c r="I66" t="s">
        <v>954</v>
      </c>
      <c r="J66" t="s">
        <v>823</v>
      </c>
      <c r="K66" t="s">
        <v>765</v>
      </c>
      <c r="L66" t="s">
        <v>765</v>
      </c>
      <c r="M66" t="s">
        <v>765</v>
      </c>
      <c r="N66" t="s">
        <v>766</v>
      </c>
      <c r="O66" t="s">
        <v>767</v>
      </c>
      <c r="P66" t="s">
        <v>767</v>
      </c>
      <c r="Q66" t="s">
        <v>765</v>
      </c>
      <c r="R66" t="s">
        <v>851</v>
      </c>
      <c r="S66" t="s">
        <v>768</v>
      </c>
    </row>
    <row r="67" spans="1:19" x14ac:dyDescent="0.2">
      <c r="A67" s="39">
        <v>65</v>
      </c>
      <c r="B67" t="s">
        <v>757</v>
      </c>
      <c r="C67" t="s">
        <v>851</v>
      </c>
      <c r="D67" t="s">
        <v>955</v>
      </c>
      <c r="E67" t="s">
        <v>777</v>
      </c>
      <c r="F67" t="s">
        <v>761</v>
      </c>
      <c r="G67" t="s">
        <v>778</v>
      </c>
      <c r="H67" t="s">
        <v>810</v>
      </c>
      <c r="I67" t="s">
        <v>956</v>
      </c>
      <c r="J67" t="s">
        <v>810</v>
      </c>
      <c r="K67" t="s">
        <v>765</v>
      </c>
      <c r="L67" t="s">
        <v>765</v>
      </c>
      <c r="M67" t="s">
        <v>765</v>
      </c>
      <c r="N67" t="s">
        <v>766</v>
      </c>
      <c r="O67" t="s">
        <v>767</v>
      </c>
      <c r="P67" t="s">
        <v>767</v>
      </c>
      <c r="Q67" t="s">
        <v>765</v>
      </c>
      <c r="R67" t="s">
        <v>851</v>
      </c>
      <c r="S67" t="s">
        <v>768</v>
      </c>
    </row>
    <row r="68" spans="1:19" x14ac:dyDescent="0.2">
      <c r="A68" s="39">
        <v>66</v>
      </c>
      <c r="B68" t="s">
        <v>757</v>
      </c>
      <c r="C68" t="s">
        <v>851</v>
      </c>
      <c r="D68" t="s">
        <v>957</v>
      </c>
      <c r="E68" t="s">
        <v>760</v>
      </c>
      <c r="F68" t="s">
        <v>761</v>
      </c>
      <c r="G68" t="s">
        <v>805</v>
      </c>
      <c r="H68" t="s">
        <v>763</v>
      </c>
      <c r="I68" t="s">
        <v>958</v>
      </c>
      <c r="J68" t="s">
        <v>763</v>
      </c>
      <c r="K68" t="s">
        <v>959</v>
      </c>
      <c r="L68" t="s">
        <v>763</v>
      </c>
      <c r="M68" t="s">
        <v>960</v>
      </c>
      <c r="N68" t="s">
        <v>891</v>
      </c>
      <c r="O68" t="s">
        <v>767</v>
      </c>
      <c r="P68" t="s">
        <v>767</v>
      </c>
      <c r="Q68" t="s">
        <v>767</v>
      </c>
      <c r="R68" t="s">
        <v>851</v>
      </c>
      <c r="S68" t="s">
        <v>768</v>
      </c>
    </row>
    <row r="69" spans="1:19" x14ac:dyDescent="0.2">
      <c r="A69" s="39">
        <v>67</v>
      </c>
      <c r="B69" t="s">
        <v>757</v>
      </c>
      <c r="C69" t="s">
        <v>851</v>
      </c>
      <c r="D69" t="s">
        <v>961</v>
      </c>
      <c r="E69" t="s">
        <v>777</v>
      </c>
      <c r="F69" t="s">
        <v>761</v>
      </c>
      <c r="G69" t="s">
        <v>805</v>
      </c>
      <c r="H69" t="s">
        <v>763</v>
      </c>
      <c r="I69" t="s">
        <v>962</v>
      </c>
      <c r="J69" t="s">
        <v>763</v>
      </c>
      <c r="K69" t="s">
        <v>963</v>
      </c>
      <c r="L69" t="s">
        <v>763</v>
      </c>
      <c r="M69" t="s">
        <v>964</v>
      </c>
      <c r="N69" t="s">
        <v>891</v>
      </c>
      <c r="O69" t="s">
        <v>767</v>
      </c>
      <c r="P69" t="s">
        <v>767</v>
      </c>
      <c r="Q69" t="s">
        <v>767</v>
      </c>
      <c r="R69" t="s">
        <v>851</v>
      </c>
      <c r="S69" t="s">
        <v>768</v>
      </c>
    </row>
    <row r="70" spans="1:19" x14ac:dyDescent="0.2">
      <c r="A70" s="39">
        <v>68</v>
      </c>
      <c r="B70" t="s">
        <v>757</v>
      </c>
      <c r="C70" t="s">
        <v>914</v>
      </c>
      <c r="D70" t="s">
        <v>965</v>
      </c>
      <c r="E70" t="s">
        <v>760</v>
      </c>
      <c r="F70" t="s">
        <v>761</v>
      </c>
      <c r="G70" t="s">
        <v>805</v>
      </c>
      <c r="H70" t="s">
        <v>763</v>
      </c>
      <c r="I70" t="s">
        <v>966</v>
      </c>
      <c r="J70" t="s">
        <v>763</v>
      </c>
      <c r="K70" t="s">
        <v>967</v>
      </c>
      <c r="L70" t="s">
        <v>763</v>
      </c>
      <c r="M70" t="s">
        <v>968</v>
      </c>
      <c r="N70" t="s">
        <v>891</v>
      </c>
      <c r="O70" t="s">
        <v>767</v>
      </c>
      <c r="P70" t="s">
        <v>767</v>
      </c>
      <c r="Q70" t="s">
        <v>767</v>
      </c>
      <c r="R70" t="s">
        <v>914</v>
      </c>
      <c r="S70" t="s">
        <v>768</v>
      </c>
    </row>
  </sheetData>
  <autoFilter ref="A2:AD41" xr:uid="{00000000-0009-0000-0000-000005000000}"/>
  <mergeCells count="1">
    <mergeCell ref="C1:T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K23"/>
  <sheetViews>
    <sheetView topLeftCell="A39" workbookViewId="0">
      <selection activeCell="E13" sqref="E13"/>
    </sheetView>
  </sheetViews>
  <sheetFormatPr baseColWidth="10" defaultColWidth="11.5" defaultRowHeight="15" x14ac:dyDescent="0.2"/>
  <cols>
    <col min="1" max="1" width="2.5" customWidth="1"/>
    <col min="2" max="2" width="41.6640625" customWidth="1"/>
    <col min="3" max="3" width="12.33203125" bestFit="1" customWidth="1"/>
  </cols>
  <sheetData>
    <row r="1" spans="1:11" x14ac:dyDescent="0.2">
      <c r="A1" s="11"/>
      <c r="B1" s="12"/>
      <c r="C1" s="13"/>
      <c r="D1" s="11"/>
      <c r="E1" s="11"/>
      <c r="F1" s="11"/>
      <c r="G1" s="11"/>
      <c r="H1" s="6"/>
      <c r="I1" s="6"/>
      <c r="J1" s="6"/>
      <c r="K1" s="6"/>
    </row>
    <row r="2" spans="1:11" x14ac:dyDescent="0.2">
      <c r="A2" s="11"/>
      <c r="B2" s="12"/>
      <c r="C2" s="13"/>
      <c r="D2" s="13"/>
      <c r="E2" s="11"/>
      <c r="F2" s="11"/>
      <c r="G2" s="11"/>
      <c r="H2" s="6"/>
      <c r="I2" s="6"/>
      <c r="J2" s="6"/>
      <c r="K2" s="6"/>
    </row>
    <row r="3" spans="1:11" x14ac:dyDescent="0.2">
      <c r="A3" s="14" t="s">
        <v>36</v>
      </c>
      <c r="B3" s="15"/>
      <c r="C3" s="13"/>
      <c r="D3" s="57"/>
      <c r="E3" s="57"/>
      <c r="F3" s="57"/>
      <c r="G3" s="57"/>
      <c r="H3" s="6"/>
      <c r="I3" s="6"/>
      <c r="J3" s="6"/>
      <c r="K3" s="6"/>
    </row>
    <row r="4" spans="1:11" x14ac:dyDescent="0.2">
      <c r="A4" s="16"/>
      <c r="B4" s="15"/>
    </row>
    <row r="5" spans="1:11" x14ac:dyDescent="0.2">
      <c r="A5" s="16" t="s">
        <v>41</v>
      </c>
      <c r="C5" s="17">
        <f ca="1">NOW()</f>
        <v>45845.759908217595</v>
      </c>
    </row>
    <row r="7" spans="1:11" ht="16" x14ac:dyDescent="0.2">
      <c r="A7" s="11"/>
      <c r="B7" s="11"/>
      <c r="C7" s="11"/>
      <c r="D7" s="11"/>
      <c r="E7" s="11"/>
      <c r="F7" s="11"/>
      <c r="G7" s="11"/>
      <c r="H7" s="6"/>
      <c r="I7" s="6"/>
      <c r="J7" s="6"/>
      <c r="K7" s="19"/>
    </row>
    <row r="8" spans="1:11" ht="25" x14ac:dyDescent="0.25">
      <c r="A8" s="18"/>
      <c r="B8" s="516" t="s">
        <v>969</v>
      </c>
      <c r="C8" s="516"/>
      <c r="D8" s="516"/>
      <c r="E8" s="516"/>
      <c r="F8" s="516"/>
      <c r="G8" s="516"/>
      <c r="H8" s="516"/>
      <c r="I8" s="6"/>
      <c r="J8" s="6"/>
      <c r="K8" s="6"/>
    </row>
    <row r="9" spans="1:11" ht="16" thickBot="1" x14ac:dyDescent="0.25">
      <c r="A9" s="6"/>
      <c r="B9" s="6"/>
      <c r="C9" s="6"/>
      <c r="D9" s="6"/>
      <c r="E9" s="6"/>
      <c r="F9" s="6"/>
      <c r="G9" s="6"/>
      <c r="H9" s="6"/>
      <c r="I9" s="6"/>
      <c r="J9" s="6"/>
      <c r="K9" s="6"/>
    </row>
    <row r="10" spans="1:11" x14ac:dyDescent="0.2">
      <c r="A10" s="6"/>
      <c r="B10" s="8" t="s">
        <v>970</v>
      </c>
      <c r="C10" s="32" t="s">
        <v>971</v>
      </c>
      <c r="D10" s="9" t="s">
        <v>93</v>
      </c>
      <c r="E10" s="9" t="s">
        <v>128</v>
      </c>
      <c r="F10" s="9" t="s">
        <v>271</v>
      </c>
      <c r="G10" s="9" t="s">
        <v>168</v>
      </c>
      <c r="H10" s="10" t="s">
        <v>43</v>
      </c>
      <c r="I10" s="6"/>
      <c r="J10" s="6"/>
      <c r="K10" s="6"/>
    </row>
    <row r="11" spans="1:11" x14ac:dyDescent="0.2">
      <c r="A11" s="6"/>
      <c r="B11" s="33" t="s">
        <v>972</v>
      </c>
      <c r="C11" s="58" t="e">
        <f>COUNTIFS('Resumen 1'!#REF!,"Renta Fija",'Resumen 1'!#REF!,B11)</f>
        <v>#REF!</v>
      </c>
      <c r="D11" s="58" t="e">
        <f>COUNTIFS('Resumen 1'!#REF!,"Bono Turno",'Resumen 1'!#REF!,B11)</f>
        <v>#REF!</v>
      </c>
      <c r="E11" s="58" t="e">
        <f>COUNTIFS('Resumen 1'!#REF!,"CPPT",'Resumen 1'!#REF!,B11)</f>
        <v>#REF!</v>
      </c>
      <c r="F11" s="58" t="e">
        <f>COUNTIFS('Resumen 1'!#REF!,"Contratista",'Resumen 1'!#REF!,B11)</f>
        <v>#REF!</v>
      </c>
      <c r="G11" s="58" t="e">
        <f>COUNTIFS('Resumen 1'!#REF!,"Eventual",'Resumen 1'!#REF!,B11)</f>
        <v>#REF!</v>
      </c>
      <c r="H11" s="59" t="e">
        <f>SUM(C11:G11)</f>
        <v>#REF!</v>
      </c>
      <c r="I11" s="6"/>
      <c r="J11" s="6"/>
      <c r="K11" s="6"/>
    </row>
    <row r="12" spans="1:11" x14ac:dyDescent="0.2">
      <c r="A12" s="6"/>
      <c r="B12" s="33" t="s">
        <v>8</v>
      </c>
      <c r="C12" s="58" t="e">
        <f>COUNTIFS('Resumen 1'!#REF!,"Renta Fija",'Resumen 1'!#REF!,B12)</f>
        <v>#REF!</v>
      </c>
      <c r="D12" s="58" t="e">
        <f>COUNTIFS('Resumen 1'!#REF!,"Bono Turno",'Resumen 1'!#REF!,B12)</f>
        <v>#REF!</v>
      </c>
      <c r="E12" s="58" t="e">
        <f>COUNTIFS('Resumen 1'!#REF!,"CPPT",'Resumen 1'!#REF!,B12)</f>
        <v>#REF!</v>
      </c>
      <c r="F12" s="58" t="e">
        <f>COUNTIFS('Resumen 1'!#REF!,"Contratista",'Resumen 1'!#REF!,B12)</f>
        <v>#REF!</v>
      </c>
      <c r="G12" s="58" t="e">
        <f>COUNTIFS('Resumen 1'!#REF!,"Eventual",'Resumen 1'!#REF!,B12)</f>
        <v>#REF!</v>
      </c>
      <c r="H12" s="59" t="e">
        <f t="shared" ref="H12:H22" si="0">SUM(C12:G12)</f>
        <v>#REF!</v>
      </c>
      <c r="I12" s="6"/>
      <c r="J12" s="6"/>
      <c r="K12" s="6"/>
    </row>
    <row r="13" spans="1:11" x14ac:dyDescent="0.2">
      <c r="A13" s="6"/>
      <c r="B13" s="33" t="s">
        <v>11</v>
      </c>
      <c r="C13" s="58" t="e">
        <f>COUNTIFS('Resumen 1'!#REF!,"Renta Fija",'Resumen 1'!#REF!,B13)</f>
        <v>#REF!</v>
      </c>
      <c r="D13" s="58" t="e">
        <f>COUNTIFS('Resumen 1'!#REF!,"Bono Turno",'Resumen 1'!#REF!,B13)</f>
        <v>#REF!</v>
      </c>
      <c r="E13" s="58" t="e">
        <f>COUNTIFS('Resumen 1'!#REF!,"CPPT",'Resumen 1'!#REF!,B13)</f>
        <v>#REF!</v>
      </c>
      <c r="F13" s="58" t="e">
        <f>COUNTIFS('Resumen 1'!#REF!,"Contratista",'Resumen 1'!#REF!,B13)</f>
        <v>#REF!</v>
      </c>
      <c r="G13" s="58" t="e">
        <f>COUNTIFS('Resumen 1'!#REF!,"Eventual",'Resumen 1'!#REF!,B13)</f>
        <v>#REF!</v>
      </c>
      <c r="H13" s="59" t="e">
        <f t="shared" si="0"/>
        <v>#REF!</v>
      </c>
      <c r="I13" s="6"/>
      <c r="J13" s="6"/>
      <c r="K13" s="6"/>
    </row>
    <row r="14" spans="1:11" x14ac:dyDescent="0.2">
      <c r="A14" s="6"/>
      <c r="B14" s="33" t="s">
        <v>547</v>
      </c>
      <c r="C14" s="58" t="e">
        <f>COUNTIFS('Resumen 1'!#REF!,"Renta Fija",'Resumen 1'!#REF!,B14)</f>
        <v>#REF!</v>
      </c>
      <c r="D14" s="58" t="e">
        <f>COUNTIFS('Resumen 1'!#REF!,"Bono Turno",'Resumen 1'!#REF!,B14)</f>
        <v>#REF!</v>
      </c>
      <c r="E14" s="58" t="e">
        <f>COUNTIFS('Resumen 1'!#REF!,"CPPT",'Resumen 1'!#REF!,B14)</f>
        <v>#REF!</v>
      </c>
      <c r="F14" s="58" t="e">
        <f>COUNTIFS('Resumen 1'!#REF!,"Contratista",'Resumen 1'!#REF!,B14)</f>
        <v>#REF!</v>
      </c>
      <c r="G14" s="58" t="e">
        <f>COUNTIFS('Resumen 1'!#REF!,"Eventual",'Resumen 1'!#REF!,B14)</f>
        <v>#REF!</v>
      </c>
      <c r="H14" s="59" t="e">
        <f t="shared" si="0"/>
        <v>#REF!</v>
      </c>
      <c r="I14" s="6"/>
      <c r="J14" s="6"/>
      <c r="K14" s="6"/>
    </row>
    <row r="15" spans="1:11" x14ac:dyDescent="0.2">
      <c r="A15" s="6"/>
      <c r="B15" s="33" t="s">
        <v>177</v>
      </c>
      <c r="C15" s="58" t="e">
        <f>COUNTIFS('Resumen 1'!#REF!,"Renta Fija",'Resumen 1'!#REF!,B15)</f>
        <v>#REF!</v>
      </c>
      <c r="D15" s="58" t="e">
        <f>COUNTIFS('Resumen 1'!#REF!,"Bono Turno",'Resumen 1'!#REF!,B15)</f>
        <v>#REF!</v>
      </c>
      <c r="E15" s="58" t="e">
        <f>COUNTIFS('Resumen 1'!#REF!,"CPPT",'Resumen 1'!#REF!,B15)</f>
        <v>#REF!</v>
      </c>
      <c r="F15" s="58" t="e">
        <f>COUNTIFS('Resumen 1'!#REF!,"Contratista",'Resumen 1'!#REF!,B15)</f>
        <v>#REF!</v>
      </c>
      <c r="G15" s="58" t="e">
        <f>COUNTIFS('Resumen 1'!#REF!,"Eventual",'Resumen 1'!#REF!,B15)</f>
        <v>#REF!</v>
      </c>
      <c r="H15" s="59" t="e">
        <f t="shared" si="0"/>
        <v>#REF!</v>
      </c>
      <c r="I15" s="6"/>
      <c r="J15" s="6"/>
      <c r="K15" s="6"/>
    </row>
    <row r="16" spans="1:11" x14ac:dyDescent="0.2">
      <c r="A16" s="6"/>
      <c r="B16" s="33" t="s">
        <v>561</v>
      </c>
      <c r="C16" s="58" t="e">
        <f>COUNTIFS('Resumen 1'!#REF!,"Renta Fija",'Resumen 1'!#REF!,B16)</f>
        <v>#REF!</v>
      </c>
      <c r="D16" s="58" t="e">
        <f>COUNTIFS('Resumen 1'!#REF!,"Bono Turno",'Resumen 1'!#REF!,B16)</f>
        <v>#REF!</v>
      </c>
      <c r="E16" s="58" t="e">
        <f>COUNTIFS('Resumen 1'!#REF!,"CPPT",'Resumen 1'!#REF!,B16)</f>
        <v>#REF!</v>
      </c>
      <c r="F16" s="58" t="e">
        <f>COUNTIFS('Resumen 1'!#REF!,"Contratista",'Resumen 1'!#REF!,B16)</f>
        <v>#REF!</v>
      </c>
      <c r="G16" s="58" t="e">
        <f>COUNTIFS('Resumen 1'!#REF!,"Eventual",'Resumen 1'!#REF!,B16)</f>
        <v>#REF!</v>
      </c>
      <c r="H16" s="59" t="e">
        <f t="shared" si="0"/>
        <v>#REF!</v>
      </c>
      <c r="I16" s="6"/>
      <c r="J16" s="6"/>
      <c r="K16" s="6"/>
    </row>
    <row r="17" spans="1:11" x14ac:dyDescent="0.2">
      <c r="A17" s="6"/>
      <c r="B17" s="33" t="s">
        <v>532</v>
      </c>
      <c r="C17" s="58" t="e">
        <f>COUNTIFS('Resumen 1'!#REF!,"Renta Fija",'Resumen 1'!#REF!,B17)</f>
        <v>#REF!</v>
      </c>
      <c r="D17" s="58" t="e">
        <f>COUNTIFS('Resumen 1'!#REF!,"Bono Turno",'Resumen 1'!#REF!,B17)</f>
        <v>#REF!</v>
      </c>
      <c r="E17" s="58" t="e">
        <f>COUNTIFS('Resumen 1'!#REF!,"CPPT",'Resumen 1'!#REF!,B17)</f>
        <v>#REF!</v>
      </c>
      <c r="F17" s="58" t="e">
        <f>COUNTIFS('Resumen 1'!#REF!,"Contratista",'Resumen 1'!#REF!,B17)</f>
        <v>#REF!</v>
      </c>
      <c r="G17" s="58" t="e">
        <f>COUNTIFS('Resumen 1'!#REF!,"Eventual",'Resumen 1'!#REF!,B17)</f>
        <v>#REF!</v>
      </c>
      <c r="H17" s="59" t="e">
        <f>SUM(C17:G17)</f>
        <v>#REF!</v>
      </c>
      <c r="I17" s="6"/>
      <c r="J17" s="6"/>
      <c r="K17" s="6"/>
    </row>
    <row r="18" spans="1:11" x14ac:dyDescent="0.2">
      <c r="A18" s="6"/>
      <c r="B18" s="33" t="s">
        <v>522</v>
      </c>
      <c r="C18" s="58" t="e">
        <f>COUNTIFS('Resumen 1'!#REF!,"Renta Fija",'Resumen 1'!#REF!,B18)</f>
        <v>#REF!</v>
      </c>
      <c r="D18" s="58" t="e">
        <f>COUNTIFS('Resumen 1'!#REF!,"Bono Turno",'Resumen 1'!#REF!,B18)</f>
        <v>#REF!</v>
      </c>
      <c r="E18" s="58" t="e">
        <f>COUNTIFS('Resumen 1'!#REF!,"CPPT",'Resumen 1'!#REF!,B18)</f>
        <v>#REF!</v>
      </c>
      <c r="F18" s="58" t="e">
        <f>COUNTIFS('Resumen 1'!#REF!,"Contratista",'Resumen 1'!#REF!,B18)</f>
        <v>#REF!</v>
      </c>
      <c r="G18" s="58" t="e">
        <f>COUNTIFS('Resumen 1'!#REF!,"Eventual",'Resumen 1'!#REF!,B18)</f>
        <v>#REF!</v>
      </c>
      <c r="H18" s="59" t="e">
        <f t="shared" si="0"/>
        <v>#REF!</v>
      </c>
      <c r="I18" s="6"/>
      <c r="J18" s="6"/>
      <c r="K18" s="6"/>
    </row>
    <row r="19" spans="1:11" x14ac:dyDescent="0.2">
      <c r="A19" s="6"/>
      <c r="B19" s="33" t="s">
        <v>973</v>
      </c>
      <c r="C19" s="58" t="e">
        <f>COUNTIFS('Resumen 1'!#REF!,"Renta Fija",'Resumen 1'!#REF!,B19)</f>
        <v>#REF!</v>
      </c>
      <c r="D19" s="58" t="e">
        <f>COUNTIFS('Resumen 1'!#REF!,"Bono Turno",'Resumen 1'!#REF!,B19)</f>
        <v>#REF!</v>
      </c>
      <c r="E19" s="58" t="e">
        <f>COUNTIFS('Resumen 1'!#REF!,"CPPT",'Resumen 1'!#REF!,B19)</f>
        <v>#REF!</v>
      </c>
      <c r="F19" s="58" t="e">
        <f>COUNTIFS('Resumen 1'!#REF!,"Contratista",'Resumen 1'!#REF!,B19)</f>
        <v>#REF!</v>
      </c>
      <c r="G19" s="58" t="e">
        <f>COUNTIFS('Resumen 1'!#REF!,"Eventual",'Resumen 1'!#REF!,B19)</f>
        <v>#REF!</v>
      </c>
      <c r="H19" s="59" t="e">
        <f t="shared" si="0"/>
        <v>#REF!</v>
      </c>
      <c r="I19" s="6"/>
      <c r="J19" s="6"/>
      <c r="K19" s="6"/>
    </row>
    <row r="20" spans="1:11" x14ac:dyDescent="0.2">
      <c r="A20" s="6"/>
      <c r="B20" s="33" t="s">
        <v>575</v>
      </c>
      <c r="C20" s="58" t="e">
        <f>COUNTIFS('Resumen 1'!#REF!,"Renta Fija",'Resumen 1'!#REF!,B20)</f>
        <v>#REF!</v>
      </c>
      <c r="D20" s="58" t="e">
        <f>COUNTIFS('Resumen 1'!#REF!,"Bono Turno",'Resumen 1'!#REF!,B20)</f>
        <v>#REF!</v>
      </c>
      <c r="E20" s="58" t="e">
        <f>COUNTIFS('Resumen 1'!#REF!,"CPPT",'Resumen 1'!#REF!,B20)</f>
        <v>#REF!</v>
      </c>
      <c r="F20" s="58" t="e">
        <f>COUNTIFS('Resumen 1'!#REF!,"Contratista",'Resumen 1'!#REF!,B20)</f>
        <v>#REF!</v>
      </c>
      <c r="G20" s="58" t="e">
        <f>COUNTIFS('Resumen 1'!#REF!,"Eventual",'Resumen 1'!#REF!,B20)</f>
        <v>#REF!</v>
      </c>
      <c r="H20" s="59" t="e">
        <f t="shared" si="0"/>
        <v>#REF!</v>
      </c>
      <c r="I20" s="6"/>
      <c r="J20" s="6"/>
      <c r="K20" s="6"/>
    </row>
    <row r="21" spans="1:11" x14ac:dyDescent="0.2">
      <c r="A21" s="6"/>
      <c r="B21" s="33" t="s">
        <v>974</v>
      </c>
      <c r="C21" s="58" t="e">
        <f>COUNTIFS('Resumen 1'!#REF!,"Renta Fija",'Resumen 1'!#REF!,B21)</f>
        <v>#REF!</v>
      </c>
      <c r="D21" s="58" t="e">
        <f>COUNTIFS('Resumen 1'!#REF!,"Bono Turno",'Resumen 1'!#REF!,B21)</f>
        <v>#REF!</v>
      </c>
      <c r="E21" s="58" t="e">
        <f>COUNTIFS('Resumen 1'!#REF!,"CPPT",'Resumen 1'!#REF!,B21)</f>
        <v>#REF!</v>
      </c>
      <c r="F21" s="58" t="e">
        <f>COUNTIFS('Resumen 1'!#REF!,"Contratista",'Resumen 1'!#REF!,B21)</f>
        <v>#REF!</v>
      </c>
      <c r="G21" s="58" t="e">
        <f>COUNTIFS('Resumen 1'!#REF!,"Eventual",'Resumen 1'!#REF!,B21)</f>
        <v>#REF!</v>
      </c>
      <c r="H21" s="59" t="e">
        <f t="shared" si="0"/>
        <v>#REF!</v>
      </c>
      <c r="I21" s="6"/>
      <c r="J21" s="6"/>
      <c r="K21" s="6"/>
    </row>
    <row r="22" spans="1:11" ht="16" thickBot="1" x14ac:dyDescent="0.25">
      <c r="A22" s="6"/>
      <c r="B22" s="34" t="s">
        <v>403</v>
      </c>
      <c r="C22" s="58" t="e">
        <f>COUNTIFS('Resumen 1'!#REF!,"Renta Fija",'Resumen 1'!#REF!,B22)</f>
        <v>#REF!</v>
      </c>
      <c r="D22" s="58" t="e">
        <f>COUNTIFS('Resumen 1'!#REF!,"Bono Turno",'Resumen 1'!#REF!,B22)</f>
        <v>#REF!</v>
      </c>
      <c r="E22" s="58" t="e">
        <f>COUNTIFS('Resumen 1'!#REF!,"CPPT",'Resumen 1'!#REF!,B22)</f>
        <v>#REF!</v>
      </c>
      <c r="F22" s="58" t="e">
        <f>COUNTIFS('Resumen 1'!#REF!,"Contratista",'Resumen 1'!#REF!,B22)</f>
        <v>#REF!</v>
      </c>
      <c r="G22" s="58" t="e">
        <f>COUNTIFS('Resumen 1'!#REF!,"Eventual",'Resumen 1'!#REF!,B22)</f>
        <v>#REF!</v>
      </c>
      <c r="H22" s="59" t="e">
        <f t="shared" si="0"/>
        <v>#REF!</v>
      </c>
      <c r="I22" s="6"/>
      <c r="J22" s="6"/>
      <c r="K22" s="6"/>
    </row>
    <row r="23" spans="1:11" ht="16" thickBot="1" x14ac:dyDescent="0.25">
      <c r="A23" s="6"/>
      <c r="B23" s="35" t="s">
        <v>43</v>
      </c>
      <c r="C23" s="60" t="e">
        <f>SUM(C11:C17)</f>
        <v>#REF!</v>
      </c>
      <c r="D23" s="61" t="e">
        <f>SUM(D11:D17)</f>
        <v>#REF!</v>
      </c>
      <c r="E23" s="61" t="e">
        <f>SUM(E11:E17)</f>
        <v>#REF!</v>
      </c>
      <c r="F23" s="61" t="e">
        <f>SUM(F11:F17)</f>
        <v>#REF!</v>
      </c>
      <c r="G23" s="61" t="e">
        <f>SUM(G11:G17)</f>
        <v>#REF!</v>
      </c>
      <c r="H23" s="62" t="e">
        <f>SUM(H11:H22)</f>
        <v>#REF!</v>
      </c>
      <c r="I23" s="6"/>
      <c r="J23" s="6"/>
      <c r="K23" s="6"/>
    </row>
  </sheetData>
  <mergeCells count="1">
    <mergeCell ref="B8:H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8E115115D0FB584BB98C34BD74903FBB" ma:contentTypeVersion="12" ma:contentTypeDescription="Crear nuevo documento." ma:contentTypeScope="" ma:versionID="f611af86a1e5255d47b666d69e322d3f">
  <xsd:schema xmlns:xsd="http://www.w3.org/2001/XMLSchema" xmlns:xs="http://www.w3.org/2001/XMLSchema" xmlns:p="http://schemas.microsoft.com/office/2006/metadata/properties" xmlns:ns2="423fd13c-3ece-44ad-ba4b-180de7da8174" xmlns:ns3="0c151ae5-8e31-4f09-a136-c58ef3d0f8f3" targetNamespace="http://schemas.microsoft.com/office/2006/metadata/properties" ma:root="true" ma:fieldsID="92c790a1be4067c1adae314ab3b80003" ns2:_="" ns3:_="">
    <xsd:import namespace="423fd13c-3ece-44ad-ba4b-180de7da8174"/>
    <xsd:import namespace="0c151ae5-8e31-4f09-a136-c58ef3d0f8f3"/>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3:SharedWithUsers" minOccurs="0"/>
                <xsd:element ref="ns3:SharedWithDetails" minOccurs="0"/>
                <xsd:element ref="ns2:MediaServiceLocation" minOccurs="0"/>
                <xsd:element ref="ns2:MediaServiceAutoKeyPoints" minOccurs="0"/>
                <xsd:element ref="ns2: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23fd13c-3ece-44ad-ba4b-180de7da817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0c151ae5-8e31-4f09-a136-c58ef3d0f8f3" elementFormDefault="qualified">
    <xsd:import namespace="http://schemas.microsoft.com/office/2006/documentManagement/types"/>
    <xsd:import namespace="http://schemas.microsoft.com/office/infopath/2007/PartnerControls"/>
    <xsd:element name="SharedWithUsers" ma:index="15"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les de uso compartido"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6BE8B6E-5664-45DD-96D3-763E9F0C6364}">
  <ds:schemaRefs>
    <ds:schemaRef ds:uri="http://purl.org/dc/dcmitype/"/>
    <ds:schemaRef ds:uri="http://purl.org/dc/elements/1.1/"/>
    <ds:schemaRef ds:uri="http://schemas.openxmlformats.org/package/2006/metadata/core-properties"/>
    <ds:schemaRef ds:uri="0c151ae5-8e31-4f09-a136-c58ef3d0f8f3"/>
    <ds:schemaRef ds:uri="http://schemas.microsoft.com/office/2006/documentManagement/types"/>
    <ds:schemaRef ds:uri="http://www.w3.org/XML/1998/namespace"/>
    <ds:schemaRef ds:uri="http://schemas.microsoft.com/office/infopath/2007/PartnerControls"/>
    <ds:schemaRef ds:uri="http://purl.org/dc/terms/"/>
    <ds:schemaRef ds:uri="http://schemas.microsoft.com/office/2006/metadata/properties"/>
    <ds:schemaRef ds:uri="423fd13c-3ece-44ad-ba4b-180de7da8174"/>
  </ds:schemaRefs>
</ds:datastoreItem>
</file>

<file path=customXml/itemProps2.xml><?xml version="1.0" encoding="utf-8"?>
<ds:datastoreItem xmlns:ds="http://schemas.openxmlformats.org/officeDocument/2006/customXml" ds:itemID="{B8FB276A-39A3-4D24-ACC2-1D159A7F44A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23fd13c-3ece-44ad-ba4b-180de7da8174"/>
    <ds:schemaRef ds:uri="0c151ae5-8e31-4f09-a136-c58ef3d0f8f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486AA56-09AB-4627-BB41-7B2C6D6F450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9</vt:i4>
      </vt:variant>
    </vt:vector>
  </HeadingPairs>
  <TitlesOfParts>
    <vt:vector size="9" baseType="lpstr">
      <vt:lpstr>Dinamico Inc.</vt:lpstr>
      <vt:lpstr>Hoja1</vt:lpstr>
      <vt:lpstr>Hoja5</vt:lpstr>
      <vt:lpstr>Resumen 1</vt:lpstr>
      <vt:lpstr>Hoja3</vt:lpstr>
      <vt:lpstr>Hoja4</vt:lpstr>
      <vt:lpstr>Dinamico Hallazgo</vt:lpstr>
      <vt:lpstr>HALLAZGOS</vt:lpstr>
      <vt:lpstr>RESUMEN ESTADISTICO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VAIO</dc:creator>
  <cp:keywords/>
  <dc:description/>
  <cp:lastModifiedBy>Carlos José Jouanne Guzmán</cp:lastModifiedBy>
  <cp:revision/>
  <dcterms:created xsi:type="dcterms:W3CDTF">2014-03-13T22:00:38Z</dcterms:created>
  <dcterms:modified xsi:type="dcterms:W3CDTF">2025-07-07T22:14:44Z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0x0101008E115115D0FB584BB98C34BD74903FBB</vt:lpwstr>
  </property>
</Properties>
</file>